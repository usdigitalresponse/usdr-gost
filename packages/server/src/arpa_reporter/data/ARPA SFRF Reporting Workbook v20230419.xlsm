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1.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227" codeName="{37A63EE7-654F-3FA9-A528-636911D70600}"/>
  <workbookPr codeName="ThisWorkbook"/>
  <mc:AlternateContent xmlns:mc="http://schemas.openxmlformats.org/markup-compatibility/2006">
    <mc:Choice Requires="x15">
      <x15ac:absPath xmlns:x15ac="http://schemas.microsoft.com/office/spreadsheetml/2010/11/ac" url="https://d.docs.live.net/b5af53ceec432e9d/Documents/USDR/Desktop/"/>
    </mc:Choice>
  </mc:AlternateContent>
  <xr:revisionPtr revIDLastSave="7982" documentId="8_{A3F84CB0-3624-4262-9781-A7D466D76D19}" xr6:coauthVersionLast="47" xr6:coauthVersionMax="47" xr10:uidLastSave="{F3F3490C-44F9-4221-8D4C-7F57238DF7F5}"/>
  <workbookProtection workbookAlgorithmName="SHA-512" workbookHashValue="pwaMlEPR7gJjg3HZq2Iba4XCUUhGu8wHBtw6OdtG3O+ZVconUp7rdZv2NRAhO/11OJOCPmYlqb+zdMfmeussQQ==" workbookSaltValue="mpTc70XfC9J43WSCud8ULQ==" workbookSpinCount="100000" lockStructure="1"/>
  <bookViews>
    <workbookView xWindow="2980" yWindow="2900" windowWidth="26160" windowHeight="15080" tabRatio="913" firstSheet="1" activeTab="1" xr2:uid="{7CADBB64-14AC-448C-8EE2-F2FBA512D337}"/>
  </bookViews>
  <sheets>
    <sheet name="Certification" sheetId="15" r:id="rId1"/>
    <sheet name="Cover" sheetId="1" r:id="rId2"/>
    <sheet name="EC 1 - Public Health" sheetId="21" state="hidden" r:id="rId3"/>
    <sheet name="EC 2 - Negative Economic Impact" sheetId="22" state="hidden" r:id="rId4"/>
    <sheet name="EC 3 - Public Sector Capacity" sheetId="23" state="hidden" r:id="rId5"/>
    <sheet name="EC 4 - Premium Pay" sheetId="24" state="hidden" r:id="rId6"/>
    <sheet name="EC 5 - Infrastructure" sheetId="27" state="hidden" r:id="rId7"/>
    <sheet name="EC 7 - Admin" sheetId="25" state="hidden" r:id="rId8"/>
    <sheet name="Subrecipient" sheetId="13" r:id="rId9"/>
    <sheet name="Awards &gt; 50000" sheetId="4" r:id="rId10"/>
    <sheet name="Expenditures &gt; 50000" sheetId="29" r:id="rId11"/>
    <sheet name="Aggregate Awards &lt; 50000" sheetId="9" r:id="rId12"/>
    <sheet name="Summary" sheetId="16" state="hidden" r:id="rId13"/>
    <sheet name="Dropdowns" sheetId="14" state="hidden" r:id="rId14"/>
    <sheet name="Logic" sheetId="28" state="hidden" r:id="rId15"/>
  </sheets>
  <functionGroups builtInGroupCount="19"/>
  <definedNames>
    <definedName name="_xlnm._FilterDatabase" localSheetId="14" hidden="1">Logic!$A$2:$C$83</definedName>
    <definedName name="Agency">Dropdowns!$B$3:$B$21</definedName>
    <definedName name="AgencyCode">Cover!#REF!</definedName>
    <definedName name="Broadband">Dropdowns!$P$3:$P$6</definedName>
    <definedName name="CapExType">Dropdowns!$N$3:$N$28</definedName>
    <definedName name="Contracts">Dropdowns!$I$3:$I$6</definedName>
    <definedName name="Country">Dropdowns!$F$3:$F$5</definedName>
    <definedName name="Demographics">Dropdowns!$M$3:$M$30</definedName>
    <definedName name="FundingType">Dropdowns!$J$3:$J$8</definedName>
    <definedName name="Location">Dropdowns!$L$3:$L$6</definedName>
    <definedName name="lSheet10">#REF!</definedName>
    <definedName name="lSheet11">#REF!</definedName>
    <definedName name="lSheet12">#REF!</definedName>
    <definedName name="lSheet4">#REF!</definedName>
    <definedName name="lSheet9">#REF!</definedName>
    <definedName name="Sectors">Dropdowns!$K$3:$K$28</definedName>
    <definedName name="Sheet10">#REF!</definedName>
    <definedName name="Sheet11">#REF!</definedName>
    <definedName name="Sheet12">#REF!</definedName>
    <definedName name="Sheet4">#REF!</definedName>
    <definedName name="Sheet9">#REF!</definedName>
    <definedName name="State">Dropdowns!$E$3:$E$61</definedName>
    <definedName name="Status">Dropdowns!$G$3:$G$7</definedName>
    <definedName name="Subrecipient">Dropdowns!$O$3:$O$5</definedName>
    <definedName name="YesNo">Dropdowns!$H$3:$H$4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14" i="29" l="1"/>
  <c r="D15" i="29"/>
  <c r="D16" i="29"/>
  <c r="D17" i="29"/>
  <c r="D18" i="29"/>
  <c r="D19" i="29"/>
  <c r="D20" i="29"/>
  <c r="D21" i="29"/>
  <c r="D22" i="29"/>
  <c r="D23" i="29"/>
  <c r="D24" i="29"/>
  <c r="D25" i="29"/>
  <c r="D26" i="29"/>
  <c r="D27" i="29"/>
  <c r="D28" i="29"/>
  <c r="D29" i="29"/>
  <c r="D30" i="29"/>
  <c r="D31" i="29"/>
  <c r="D32" i="29"/>
  <c r="D33" i="29"/>
  <c r="D34" i="29"/>
  <c r="D35" i="29"/>
  <c r="D36" i="29"/>
  <c r="D37" i="29"/>
  <c r="D38" i="29"/>
  <c r="D39" i="29"/>
  <c r="D40" i="29"/>
  <c r="D41" i="29"/>
  <c r="D42" i="29"/>
  <c r="D43" i="29"/>
  <c r="D44" i="29"/>
  <c r="D45" i="29"/>
  <c r="D46" i="29"/>
  <c r="D47" i="29"/>
  <c r="D48" i="29"/>
  <c r="D49" i="29"/>
  <c r="D50" i="29"/>
  <c r="D51" i="29"/>
  <c r="D52" i="29"/>
  <c r="D53" i="29"/>
  <c r="D54" i="29"/>
  <c r="D55" i="29"/>
  <c r="D56" i="29"/>
  <c r="D57" i="29"/>
  <c r="D58" i="29"/>
  <c r="D59" i="29"/>
  <c r="D60" i="29"/>
  <c r="D61" i="29"/>
  <c r="D62" i="29"/>
  <c r="D63" i="29"/>
  <c r="D64" i="29"/>
  <c r="D65" i="29"/>
  <c r="D66" i="29"/>
  <c r="D67" i="29"/>
  <c r="D68" i="29"/>
  <c r="D69" i="29"/>
  <c r="D70" i="29"/>
  <c r="D71" i="29"/>
  <c r="D72" i="29"/>
  <c r="D73" i="29"/>
  <c r="D74" i="29"/>
  <c r="D75" i="29"/>
  <c r="D76" i="29"/>
  <c r="D77" i="29"/>
  <c r="D78" i="29"/>
  <c r="D79" i="29"/>
  <c r="D80" i="29"/>
  <c r="D81" i="29"/>
  <c r="D82" i="29"/>
  <c r="D83" i="29"/>
  <c r="D84" i="29"/>
  <c r="D85" i="29"/>
  <c r="D86" i="29"/>
  <c r="D87" i="29"/>
  <c r="D88" i="29"/>
  <c r="D89" i="29"/>
  <c r="D90" i="29"/>
  <c r="D91" i="29"/>
  <c r="D92" i="29"/>
  <c r="D93" i="29"/>
  <c r="D94" i="29"/>
  <c r="D95" i="29"/>
  <c r="D96" i="29"/>
  <c r="D97" i="29"/>
  <c r="D98" i="29"/>
  <c r="D99" i="29"/>
  <c r="D100" i="29"/>
  <c r="D101" i="29"/>
  <c r="D102" i="29"/>
  <c r="D103" i="29"/>
  <c r="D104" i="29"/>
  <c r="D105" i="29"/>
  <c r="D106" i="29"/>
  <c r="D107" i="29"/>
  <c r="D108" i="29"/>
  <c r="D109" i="29"/>
  <c r="D110" i="29"/>
  <c r="D111" i="29"/>
  <c r="D112" i="29"/>
  <c r="D113" i="29"/>
  <c r="D114" i="29"/>
  <c r="D115" i="29"/>
  <c r="D116" i="29"/>
  <c r="D117" i="29"/>
  <c r="D118" i="29"/>
  <c r="D119" i="29"/>
  <c r="D120" i="29"/>
  <c r="D121" i="29"/>
  <c r="D122" i="29"/>
  <c r="D123" i="29"/>
  <c r="D124" i="29"/>
  <c r="D125" i="29"/>
  <c r="D126" i="29"/>
  <c r="D127" i="29"/>
  <c r="D128" i="29"/>
  <c r="D129" i="29"/>
  <c r="D130" i="29"/>
  <c r="D131" i="29"/>
  <c r="D132" i="29"/>
  <c r="D133" i="29"/>
  <c r="D134" i="29"/>
  <c r="D135" i="29"/>
  <c r="D136" i="29"/>
  <c r="D137" i="29"/>
  <c r="D138" i="29"/>
  <c r="D139" i="29"/>
  <c r="D140" i="29"/>
  <c r="D141" i="29"/>
  <c r="D142" i="29"/>
  <c r="D143" i="29"/>
  <c r="D144" i="29"/>
  <c r="D145" i="29"/>
  <c r="D146" i="29"/>
  <c r="D147" i="29"/>
  <c r="D148" i="29"/>
  <c r="D149" i="29"/>
  <c r="D150" i="29"/>
  <c r="D151" i="29"/>
  <c r="D152" i="29"/>
  <c r="D153" i="29"/>
  <c r="D154" i="29"/>
  <c r="D155" i="29"/>
  <c r="D156" i="29"/>
  <c r="D157" i="29"/>
  <c r="D158" i="29"/>
  <c r="D159" i="29"/>
  <c r="D160" i="29"/>
  <c r="D161" i="29"/>
  <c r="D162" i="29"/>
  <c r="D163" i="29"/>
  <c r="D164" i="29"/>
  <c r="D165" i="29"/>
  <c r="D166" i="29"/>
  <c r="D167" i="29"/>
  <c r="D168" i="29"/>
  <c r="D169" i="29"/>
  <c r="D170" i="29"/>
  <c r="D171" i="29"/>
  <c r="D172" i="29"/>
  <c r="D173" i="29"/>
  <c r="D174" i="29"/>
  <c r="D175" i="29"/>
  <c r="D176" i="29"/>
  <c r="D177" i="29"/>
  <c r="D178" i="29"/>
  <c r="D179" i="29"/>
  <c r="D180" i="29"/>
  <c r="D181" i="29"/>
  <c r="D182" i="29"/>
  <c r="D183" i="29"/>
  <c r="D184" i="29"/>
  <c r="D185" i="29"/>
  <c r="D186" i="29"/>
  <c r="D187" i="29"/>
  <c r="D188" i="29"/>
  <c r="D189" i="29"/>
  <c r="D190" i="29"/>
  <c r="D191" i="29"/>
  <c r="D192" i="29"/>
  <c r="D193" i="29"/>
  <c r="D194" i="29"/>
  <c r="D195" i="29"/>
  <c r="D196" i="29"/>
  <c r="D197" i="29"/>
  <c r="D198" i="29"/>
  <c r="D199" i="29"/>
  <c r="D200" i="29"/>
  <c r="E16" i="4"/>
  <c r="I16" i="4" s="1"/>
  <c r="E17" i="4"/>
  <c r="I17" i="4" s="1"/>
  <c r="E18" i="4"/>
  <c r="I18" i="4" s="1"/>
  <c r="E19" i="4"/>
  <c r="I19" i="4" s="1"/>
  <c r="E20" i="4"/>
  <c r="I20" i="4" s="1"/>
  <c r="E21" i="4"/>
  <c r="I21" i="4" s="1"/>
  <c r="E22" i="4"/>
  <c r="I22" i="4" s="1"/>
  <c r="E23" i="4"/>
  <c r="I23" i="4" s="1"/>
  <c r="E24" i="4"/>
  <c r="I24" i="4" s="1"/>
  <c r="E25" i="4"/>
  <c r="I25" i="4" s="1"/>
  <c r="E26" i="4"/>
  <c r="I26" i="4" s="1"/>
  <c r="E27" i="4"/>
  <c r="I27" i="4" s="1"/>
  <c r="E28" i="4"/>
  <c r="I28" i="4" s="1"/>
  <c r="E29" i="4"/>
  <c r="I29" i="4" s="1"/>
  <c r="E30" i="4"/>
  <c r="I30" i="4" s="1"/>
  <c r="E31" i="4"/>
  <c r="I31" i="4" s="1"/>
  <c r="E32" i="4"/>
  <c r="I32" i="4" s="1"/>
  <c r="E33" i="4"/>
  <c r="I33" i="4" s="1"/>
  <c r="E34" i="4"/>
  <c r="I34" i="4" s="1"/>
  <c r="E35" i="4"/>
  <c r="I35" i="4" s="1"/>
  <c r="E36" i="4"/>
  <c r="I36" i="4" s="1"/>
  <c r="E37" i="4"/>
  <c r="I37" i="4" s="1"/>
  <c r="E38" i="4"/>
  <c r="I38" i="4" s="1"/>
  <c r="E39" i="4"/>
  <c r="I39" i="4" s="1"/>
  <c r="E40" i="4"/>
  <c r="I40" i="4" s="1"/>
  <c r="E41" i="4"/>
  <c r="I41" i="4" s="1"/>
  <c r="E42" i="4"/>
  <c r="I42" i="4" s="1"/>
  <c r="E43" i="4"/>
  <c r="I43" i="4" s="1"/>
  <c r="E44" i="4"/>
  <c r="I44" i="4" s="1"/>
  <c r="E45" i="4"/>
  <c r="I45" i="4" s="1"/>
  <c r="E46" i="4"/>
  <c r="I46" i="4" s="1"/>
  <c r="E47" i="4"/>
  <c r="I47" i="4" s="1"/>
  <c r="E48" i="4"/>
  <c r="I48" i="4" s="1"/>
  <c r="E49" i="4"/>
  <c r="I49" i="4" s="1"/>
  <c r="E50" i="4"/>
  <c r="I50" i="4" s="1"/>
  <c r="E51" i="4"/>
  <c r="I51" i="4" s="1"/>
  <c r="E52" i="4"/>
  <c r="I52" i="4" s="1"/>
  <c r="E53" i="4"/>
  <c r="I53" i="4" s="1"/>
  <c r="E54" i="4"/>
  <c r="I54" i="4" s="1"/>
  <c r="E55" i="4"/>
  <c r="I55" i="4" s="1"/>
  <c r="E56" i="4"/>
  <c r="I56" i="4" s="1"/>
  <c r="E57" i="4"/>
  <c r="I57" i="4" s="1"/>
  <c r="E58" i="4"/>
  <c r="I58" i="4" s="1"/>
  <c r="E59" i="4"/>
  <c r="I59" i="4" s="1"/>
  <c r="E60" i="4"/>
  <c r="I60" i="4" s="1"/>
  <c r="E61" i="4"/>
  <c r="I61" i="4" s="1"/>
  <c r="E62" i="4"/>
  <c r="I62" i="4" s="1"/>
  <c r="E63" i="4"/>
  <c r="I63" i="4" s="1"/>
  <c r="E64" i="4"/>
  <c r="I64" i="4" s="1"/>
  <c r="E65" i="4"/>
  <c r="I65" i="4" s="1"/>
  <c r="E66" i="4"/>
  <c r="I66" i="4" s="1"/>
  <c r="E67" i="4"/>
  <c r="I67" i="4" s="1"/>
  <c r="E68" i="4"/>
  <c r="I68" i="4" s="1"/>
  <c r="E69" i="4"/>
  <c r="I69" i="4" s="1"/>
  <c r="E70" i="4"/>
  <c r="I70" i="4" s="1"/>
  <c r="E71" i="4"/>
  <c r="I71" i="4" s="1"/>
  <c r="E72" i="4"/>
  <c r="I72" i="4" s="1"/>
  <c r="E73" i="4"/>
  <c r="I73" i="4" s="1"/>
  <c r="E74" i="4"/>
  <c r="I74" i="4" s="1"/>
  <c r="E75" i="4"/>
  <c r="I75" i="4" s="1"/>
  <c r="E76" i="4"/>
  <c r="I76" i="4" s="1"/>
  <c r="E77" i="4"/>
  <c r="I77" i="4" s="1"/>
  <c r="E78" i="4"/>
  <c r="I78" i="4" s="1"/>
  <c r="E79" i="4"/>
  <c r="I79" i="4" s="1"/>
  <c r="E80" i="4"/>
  <c r="I80" i="4" s="1"/>
  <c r="E81" i="4"/>
  <c r="I81" i="4" s="1"/>
  <c r="E82" i="4"/>
  <c r="I82" i="4" s="1"/>
  <c r="E83" i="4"/>
  <c r="I83" i="4" s="1"/>
  <c r="E84" i="4"/>
  <c r="I84" i="4" s="1"/>
  <c r="E85" i="4"/>
  <c r="I85" i="4" s="1"/>
  <c r="E86" i="4"/>
  <c r="I86" i="4" s="1"/>
  <c r="E87" i="4"/>
  <c r="I87" i="4" s="1"/>
  <c r="E88" i="4"/>
  <c r="I88" i="4" s="1"/>
  <c r="E89" i="4"/>
  <c r="I89" i="4" s="1"/>
  <c r="E90" i="4"/>
  <c r="I90" i="4" s="1"/>
  <c r="E91" i="4"/>
  <c r="I91" i="4" s="1"/>
  <c r="E92" i="4"/>
  <c r="I92" i="4" s="1"/>
  <c r="E93" i="4"/>
  <c r="I93" i="4" s="1"/>
  <c r="E94" i="4"/>
  <c r="I94" i="4" s="1"/>
  <c r="E95" i="4"/>
  <c r="I95" i="4" s="1"/>
  <c r="E96" i="4"/>
  <c r="I96" i="4" s="1"/>
  <c r="E97" i="4"/>
  <c r="I97" i="4" s="1"/>
  <c r="E98" i="4"/>
  <c r="I98" i="4" s="1"/>
  <c r="E99" i="4"/>
  <c r="I99" i="4" s="1"/>
  <c r="E100" i="4"/>
  <c r="I100" i="4" s="1"/>
  <c r="E101" i="4"/>
  <c r="I101" i="4" s="1"/>
  <c r="E102" i="4"/>
  <c r="I102" i="4" s="1"/>
  <c r="E103" i="4"/>
  <c r="I103" i="4" s="1"/>
  <c r="E104" i="4"/>
  <c r="I104" i="4" s="1"/>
  <c r="E105" i="4"/>
  <c r="I105" i="4" s="1"/>
  <c r="E106" i="4"/>
  <c r="I106" i="4" s="1"/>
  <c r="E107" i="4"/>
  <c r="I107" i="4" s="1"/>
  <c r="E108" i="4"/>
  <c r="I108" i="4" s="1"/>
  <c r="E109" i="4"/>
  <c r="I109" i="4" s="1"/>
  <c r="E110" i="4"/>
  <c r="I110" i="4" s="1"/>
  <c r="E111" i="4"/>
  <c r="I111" i="4" s="1"/>
  <c r="E112" i="4"/>
  <c r="I112" i="4" s="1"/>
  <c r="E113" i="4"/>
  <c r="I113" i="4" s="1"/>
  <c r="E114" i="4"/>
  <c r="I114" i="4" s="1"/>
  <c r="E115" i="4"/>
  <c r="I115" i="4" s="1"/>
  <c r="E116" i="4"/>
  <c r="I116" i="4" s="1"/>
  <c r="E117" i="4"/>
  <c r="I117" i="4" s="1"/>
  <c r="E118" i="4"/>
  <c r="I118" i="4" s="1"/>
  <c r="E119" i="4"/>
  <c r="I119" i="4" s="1"/>
  <c r="E120" i="4"/>
  <c r="I120" i="4" s="1"/>
  <c r="E121" i="4"/>
  <c r="I121" i="4" s="1"/>
  <c r="E122" i="4"/>
  <c r="I122" i="4" s="1"/>
  <c r="E123" i="4"/>
  <c r="I123" i="4" s="1"/>
  <c r="E124" i="4"/>
  <c r="I124" i="4" s="1"/>
  <c r="E125" i="4"/>
  <c r="I125" i="4" s="1"/>
  <c r="E126" i="4"/>
  <c r="I126" i="4" s="1"/>
  <c r="E127" i="4"/>
  <c r="I127" i="4" s="1"/>
  <c r="E128" i="4"/>
  <c r="I128" i="4" s="1"/>
  <c r="E129" i="4"/>
  <c r="I129" i="4" s="1"/>
  <c r="E130" i="4"/>
  <c r="I130" i="4" s="1"/>
  <c r="E131" i="4"/>
  <c r="I131" i="4" s="1"/>
  <c r="E132" i="4"/>
  <c r="I132" i="4" s="1"/>
  <c r="E133" i="4"/>
  <c r="I133" i="4" s="1"/>
  <c r="E134" i="4"/>
  <c r="I134" i="4" s="1"/>
  <c r="E135" i="4"/>
  <c r="I135" i="4" s="1"/>
  <c r="E136" i="4"/>
  <c r="I136" i="4" s="1"/>
  <c r="E137" i="4"/>
  <c r="I137" i="4" s="1"/>
  <c r="E138" i="4"/>
  <c r="I138" i="4" s="1"/>
  <c r="E139" i="4"/>
  <c r="I139" i="4" s="1"/>
  <c r="E140" i="4"/>
  <c r="I140" i="4" s="1"/>
  <c r="E141" i="4"/>
  <c r="I141" i="4" s="1"/>
  <c r="E142" i="4"/>
  <c r="I142" i="4" s="1"/>
  <c r="E143" i="4"/>
  <c r="I143" i="4" s="1"/>
  <c r="E144" i="4"/>
  <c r="I144" i="4" s="1"/>
  <c r="E145" i="4"/>
  <c r="I145" i="4" s="1"/>
  <c r="E146" i="4"/>
  <c r="I146" i="4" s="1"/>
  <c r="E147" i="4"/>
  <c r="I147" i="4" s="1"/>
  <c r="E148" i="4"/>
  <c r="I148" i="4" s="1"/>
  <c r="E149" i="4"/>
  <c r="I149" i="4" s="1"/>
  <c r="E150" i="4"/>
  <c r="I150" i="4" s="1"/>
  <c r="E151" i="4"/>
  <c r="I151" i="4" s="1"/>
  <c r="E152" i="4"/>
  <c r="I152" i="4" s="1"/>
  <c r="E153" i="4"/>
  <c r="I153" i="4" s="1"/>
  <c r="E154" i="4"/>
  <c r="I154" i="4" s="1"/>
  <c r="E155" i="4"/>
  <c r="I155" i="4" s="1"/>
  <c r="E156" i="4"/>
  <c r="I156" i="4" s="1"/>
  <c r="E157" i="4"/>
  <c r="I157" i="4" s="1"/>
  <c r="E158" i="4"/>
  <c r="I158" i="4" s="1"/>
  <c r="E159" i="4"/>
  <c r="I159" i="4" s="1"/>
  <c r="E160" i="4"/>
  <c r="I160" i="4" s="1"/>
  <c r="E161" i="4"/>
  <c r="I161" i="4" s="1"/>
  <c r="E162" i="4"/>
  <c r="I162" i="4" s="1"/>
  <c r="E163" i="4"/>
  <c r="I163" i="4" s="1"/>
  <c r="E164" i="4"/>
  <c r="I164" i="4" s="1"/>
  <c r="E165" i="4"/>
  <c r="I165" i="4" s="1"/>
  <c r="E166" i="4"/>
  <c r="I166" i="4" s="1"/>
  <c r="E167" i="4"/>
  <c r="I167" i="4" s="1"/>
  <c r="E168" i="4"/>
  <c r="I168" i="4" s="1"/>
  <c r="E169" i="4"/>
  <c r="I169" i="4" s="1"/>
  <c r="E170" i="4"/>
  <c r="I170" i="4" s="1"/>
  <c r="E171" i="4"/>
  <c r="I171" i="4" s="1"/>
  <c r="E172" i="4"/>
  <c r="I172" i="4" s="1"/>
  <c r="E173" i="4"/>
  <c r="I173" i="4" s="1"/>
  <c r="E174" i="4"/>
  <c r="I174" i="4" s="1"/>
  <c r="E175" i="4"/>
  <c r="I175" i="4" s="1"/>
  <c r="E176" i="4"/>
  <c r="I176" i="4" s="1"/>
  <c r="E177" i="4"/>
  <c r="I177" i="4" s="1"/>
  <c r="E178" i="4"/>
  <c r="I178" i="4" s="1"/>
  <c r="E179" i="4"/>
  <c r="I179" i="4" s="1"/>
  <c r="E180" i="4"/>
  <c r="I180" i="4" s="1"/>
  <c r="E181" i="4"/>
  <c r="I181" i="4" s="1"/>
  <c r="E182" i="4"/>
  <c r="I182" i="4" s="1"/>
  <c r="E183" i="4"/>
  <c r="I183" i="4" s="1"/>
  <c r="E184" i="4"/>
  <c r="I184" i="4" s="1"/>
  <c r="E185" i="4"/>
  <c r="I185" i="4" s="1"/>
  <c r="E186" i="4"/>
  <c r="I186" i="4" s="1"/>
  <c r="E187" i="4"/>
  <c r="I187" i="4" s="1"/>
  <c r="E188" i="4"/>
  <c r="I188" i="4" s="1"/>
  <c r="E189" i="4"/>
  <c r="I189" i="4" s="1"/>
  <c r="E190" i="4"/>
  <c r="I190" i="4" s="1"/>
  <c r="E191" i="4"/>
  <c r="I191" i="4" s="1"/>
  <c r="E192" i="4"/>
  <c r="I192" i="4" s="1"/>
  <c r="E193" i="4"/>
  <c r="I193" i="4" s="1"/>
  <c r="E194" i="4"/>
  <c r="I194" i="4" s="1"/>
  <c r="E195" i="4"/>
  <c r="I195" i="4" s="1"/>
  <c r="E196" i="4"/>
  <c r="I196" i="4" s="1"/>
  <c r="E197" i="4"/>
  <c r="I197" i="4" s="1"/>
  <c r="E198" i="4"/>
  <c r="I198" i="4" s="1"/>
  <c r="E199" i="4"/>
  <c r="I199" i="4" s="1"/>
  <c r="E200" i="4"/>
  <c r="I200" i="4" s="1"/>
  <c r="E15" i="4"/>
  <c r="I15" i="4" s="1"/>
  <c r="E14" i="4"/>
  <c r="I14" i="4" s="1"/>
  <c r="E13" i="4"/>
  <c r="I13" i="4" s="1"/>
  <c r="D13" i="29" s="1"/>
  <c r="C11" i="13" l="1"/>
  <c r="C11" i="9" l="1"/>
  <c r="C11" i="29"/>
  <c r="C11" i="4"/>
  <c r="C11" i="25"/>
  <c r="C11" i="27"/>
  <c r="C11" i="24"/>
  <c r="C11" i="23"/>
  <c r="C11" i="22"/>
  <c r="C11" i="21"/>
  <c r="E14" i="16" l="1"/>
  <c r="F14" i="16" s="1"/>
  <c r="E15" i="16"/>
  <c r="F15" i="16" s="1"/>
  <c r="E16" i="16"/>
  <c r="F16" i="16" s="1"/>
  <c r="E17" i="16"/>
  <c r="F17" i="16" s="1"/>
  <c r="E18" i="16"/>
  <c r="F18" i="16" s="1"/>
  <c r="E13" i="16"/>
  <c r="D19" i="16"/>
  <c r="E19" i="16" l="1"/>
  <c r="F13" i="16"/>
  <c r="I10" i="16"/>
  <c r="B8" i="16" l="1"/>
  <c r="B3" i="16" l="1"/>
  <c r="B2" i="16"/>
  <c r="I18" i="16"/>
  <c r="J18" i="16" s="1"/>
  <c r="I14" i="16"/>
  <c r="J14" i="16" s="1"/>
  <c r="N14" i="16" s="1"/>
  <c r="I15" i="16"/>
  <c r="J15" i="16" s="1"/>
  <c r="N15" i="16" s="1"/>
  <c r="I16" i="16"/>
  <c r="J16" i="16" s="1"/>
  <c r="N16" i="16" s="1"/>
  <c r="I17" i="16"/>
  <c r="J17" i="16" s="1"/>
  <c r="N17" i="16" s="1"/>
  <c r="I13" i="16"/>
  <c r="J13" i="16" s="1"/>
  <c r="N13" i="16" s="1"/>
  <c r="I12" i="16"/>
  <c r="J12" i="16" s="1"/>
  <c r="I11" i="16"/>
  <c r="J11" i="16" s="1"/>
  <c r="J10" i="16"/>
  <c r="I8" i="16"/>
  <c r="J8" i="16" s="1"/>
  <c r="N8" i="16" s="1"/>
  <c r="I9" i="16"/>
  <c r="J9" i="16" s="1"/>
  <c r="H19" i="16"/>
  <c r="B12" i="16"/>
  <c r="B11" i="16"/>
  <c r="B10" i="16"/>
  <c r="B9" i="16"/>
  <c r="N9" i="16" s="1"/>
  <c r="N10" i="16" l="1"/>
  <c r="N11" i="16"/>
  <c r="N12" i="16"/>
  <c r="N18" i="16"/>
  <c r="B19" i="16"/>
  <c r="I19" i="16"/>
  <c r="J19" i="16"/>
  <c r="F19" i="16" l="1"/>
  <c r="N19" i="16"/>
  <c r="B5" i="16"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Joe Comeau</author>
  </authors>
  <commentList>
    <comment ref="A10" authorId="0" shapeId="0" xr:uid="{0C9D91B4-9987-4096-B260-9EA7207C5987}">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AAC9B088-D2C5-47F9-92DD-CE69D20A90A8}">
      <text>
        <r>
          <rPr>
            <b/>
            <i/>
            <sz val="9"/>
            <color indexed="81"/>
            <rFont val="Tahoma"/>
            <family val="2"/>
          </rPr>
          <t xml:space="preserve">Required
</t>
        </r>
        <r>
          <rPr>
            <b/>
            <sz val="9"/>
            <color indexed="81"/>
            <rFont val="Tahoma"/>
            <family val="2"/>
          </rPr>
          <t>String
Max Length = 80</t>
        </r>
        <r>
          <rPr>
            <sz val="9"/>
            <color indexed="81"/>
            <rFont val="Tahoma"/>
            <charset val="1"/>
          </rPr>
          <t xml:space="preserve">
Name of the project.</t>
        </r>
      </text>
    </comment>
    <comment ref="D12" authorId="1" shapeId="0" xr:uid="{277A828F-B6B0-48D2-822F-040ADDF94682}">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5F5BCF23-E813-456F-A021-E32CC92A02A4}">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AF467BB9-4CEC-4E88-87E2-F02B8D7CF788}">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This includes single audit fees, and should correspond to what is listed in the Reporting &amp; Compliance form.</t>
        </r>
      </text>
    </comment>
    <comment ref="G12" authorId="1" shapeId="0" xr:uid="{5838F660-9ECC-4AB9-9C82-2611E01187D1}">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9F51DC71-66A9-4251-8D06-80510E61F3B3}">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TCE should be equal to the sum of cumulative expenditures from RIFANS across the entirety of the project. We have provided a tab with expenditures from RIFANS corresponding to the entire project period. </t>
        </r>
      </text>
    </comment>
    <comment ref="I12" authorId="1" shapeId="0" xr:uid="{BDBF9D92-79BE-4E56-895E-AB3832031CA8}">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6921C4AB-8845-4264-873B-DA903C698B8B}">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
This number should be equal to the sum of cumulative expenditures from RIFANS filtered (using col 'Physical Posted Date') to only those expenditures made on or after the start of this reporting period, and on or before the end of this reporting period.</t>
        </r>
      </text>
    </comment>
    <comment ref="K12" authorId="1" shapeId="0" xr:uid="{A9ACE67E-F795-447C-AAB9-B740DB4BD249}">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4222A067-15D9-4E04-B3B9-C0D8581F5286}">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F821F898-A6E4-4C99-8F0E-13D00C777634}">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1" shapeId="0" xr:uid="{ECF4AD85-C09D-43CA-8F81-FBC0E01A12AF}">
      <text>
        <r>
          <rPr>
            <b/>
            <i/>
            <sz val="9"/>
            <color indexed="81"/>
            <rFont val="Tahoma"/>
            <family val="2"/>
          </rPr>
          <t xml:space="preserve">Conditional
</t>
        </r>
        <r>
          <rPr>
            <b/>
            <sz val="9"/>
            <color indexed="81"/>
            <rFont val="Tahoma"/>
            <family val="2"/>
          </rPr>
          <t>Pick List
Max Length = N/A</t>
        </r>
      </text>
    </comment>
    <comment ref="O12" authorId="1" shapeId="0" xr:uid="{62CB3285-B0EC-4448-B98D-0CE4953A8A0A}">
      <text>
        <r>
          <rPr>
            <b/>
            <i/>
            <sz val="9"/>
            <color indexed="81"/>
            <rFont val="Tahoma"/>
            <family val="2"/>
          </rPr>
          <t xml:space="preserve">Conditional
</t>
        </r>
        <r>
          <rPr>
            <b/>
            <sz val="9"/>
            <color indexed="81"/>
            <rFont val="Tahoma"/>
            <family val="2"/>
          </rPr>
          <t>String
Max Length = 250</t>
        </r>
      </text>
    </comment>
    <comment ref="P12" authorId="1" shapeId="0" xr:uid="{8BFAD05D-A625-4F93-BF1B-EA27A241D1DD}">
      <text>
        <r>
          <rPr>
            <b/>
            <i/>
            <sz val="9"/>
            <color indexed="81"/>
            <rFont val="Tahoma"/>
            <family val="2"/>
          </rPr>
          <t xml:space="preserve">Optional
</t>
        </r>
        <r>
          <rPr>
            <b/>
            <sz val="9"/>
            <color indexed="81"/>
            <rFont val="Tahoma"/>
            <family val="2"/>
          </rPr>
          <t>Pick List
Max Length = N/A</t>
        </r>
      </text>
    </comment>
    <comment ref="Q12" authorId="1" shapeId="0" xr:uid="{5661928F-D1D5-4E44-B9EC-96BF5CE7F74D}">
      <text>
        <r>
          <rPr>
            <b/>
            <i/>
            <sz val="9"/>
            <color indexed="81"/>
            <rFont val="Tahoma"/>
            <family val="2"/>
          </rPr>
          <t xml:space="preserve">Conditional
</t>
        </r>
        <r>
          <rPr>
            <b/>
            <sz val="9"/>
            <color indexed="81"/>
            <rFont val="Tahoma"/>
            <family val="2"/>
          </rPr>
          <t>String
Max Length = 250</t>
        </r>
      </text>
    </comment>
    <comment ref="R12" authorId="1" shapeId="0" xr:uid="{19BB7165-1963-484E-80C5-395B5947533C}">
      <text>
        <r>
          <rPr>
            <b/>
            <i/>
            <sz val="9"/>
            <color indexed="81"/>
            <rFont val="Tahoma"/>
            <family val="2"/>
          </rPr>
          <t xml:space="preserve">Optional
</t>
        </r>
        <r>
          <rPr>
            <b/>
            <sz val="9"/>
            <color indexed="81"/>
            <rFont val="Tahoma"/>
            <family val="2"/>
          </rPr>
          <t>Pick List
Max Length = N/A</t>
        </r>
      </text>
    </comment>
    <comment ref="S12" authorId="1" shapeId="0" xr:uid="{9F50FBEE-F736-4D52-A109-EAA166D40E59}">
      <text>
        <r>
          <rPr>
            <b/>
            <i/>
            <sz val="9"/>
            <color indexed="81"/>
            <rFont val="Tahoma"/>
            <family val="2"/>
          </rPr>
          <t xml:space="preserve">Conditional
</t>
        </r>
        <r>
          <rPr>
            <b/>
            <sz val="9"/>
            <color indexed="81"/>
            <rFont val="Tahoma"/>
            <family val="2"/>
          </rPr>
          <t>String
Max Length = 250</t>
        </r>
      </text>
    </comment>
    <comment ref="T12" authorId="1" shapeId="0" xr:uid="{BE7EB519-DFBA-4B7F-A4F9-847E681E3471}">
      <text>
        <r>
          <rPr>
            <b/>
            <i/>
            <sz val="9"/>
            <color indexed="81"/>
            <rFont val="Tahoma"/>
            <family val="2"/>
          </rPr>
          <t xml:space="preserve">Conditional
</t>
        </r>
        <r>
          <rPr>
            <b/>
            <sz val="9"/>
            <color indexed="81"/>
            <rFont val="Tahoma"/>
            <family val="2"/>
          </rPr>
          <t>String
Max Length = 250</t>
        </r>
      </text>
    </comment>
    <comment ref="U12" authorId="1" shapeId="0" xr:uid="{C5B1F73D-2DE1-424C-B00A-75B9CAD1F4AE}">
      <text>
        <r>
          <rPr>
            <b/>
            <i/>
            <sz val="9"/>
            <color indexed="81"/>
            <rFont val="Tahoma"/>
            <family val="2"/>
          </rPr>
          <t xml:space="preserve">Conditional
</t>
        </r>
        <r>
          <rPr>
            <b/>
            <sz val="9"/>
            <color indexed="81"/>
            <rFont val="Tahoma"/>
            <family val="2"/>
          </rPr>
          <t>String
Max Length = 250</t>
        </r>
      </text>
    </comment>
    <comment ref="V12" authorId="1" shapeId="0" xr:uid="{ABA8E444-7BEA-4D6C-BBCE-1627E4433C41}">
      <text>
        <r>
          <rPr>
            <b/>
            <i/>
            <sz val="9"/>
            <color indexed="81"/>
            <rFont val="Tahoma"/>
            <family val="2"/>
          </rPr>
          <t xml:space="preserve">Conditional
</t>
        </r>
        <r>
          <rPr>
            <b/>
            <sz val="9"/>
            <color indexed="81"/>
            <rFont val="Tahoma"/>
            <family val="2"/>
          </rPr>
          <t>Currency
Max Length = 12,2</t>
        </r>
      </text>
    </comment>
    <comment ref="W12" authorId="1" shapeId="0" xr:uid="{CA1586AE-9B4F-4EBB-B7D1-C6EB4FF58AAF}">
      <text>
        <r>
          <rPr>
            <b/>
            <i/>
            <sz val="9"/>
            <color indexed="81"/>
            <rFont val="Tahoma"/>
            <family val="2"/>
          </rPr>
          <t xml:space="preserve">Conditional
</t>
        </r>
        <r>
          <rPr>
            <b/>
            <sz val="9"/>
            <color indexed="81"/>
            <rFont val="Tahoma"/>
            <family val="2"/>
          </rPr>
          <t>Pick List
Max Length = N/A</t>
        </r>
      </text>
    </comment>
    <comment ref="X12" authorId="1" shapeId="0" xr:uid="{DFF44322-D716-4D0C-AF87-41585A5FD306}">
      <text>
        <r>
          <rPr>
            <b/>
            <i/>
            <sz val="9"/>
            <color indexed="81"/>
            <rFont val="Tahoma"/>
            <family val="2"/>
          </rPr>
          <t xml:space="preserve">Conditional
</t>
        </r>
        <r>
          <rPr>
            <b/>
            <sz val="9"/>
            <color indexed="81"/>
            <rFont val="Tahoma"/>
            <family val="2"/>
          </rPr>
          <t>Numeric
Max Length = 10</t>
        </r>
      </text>
    </comment>
    <comment ref="Y12" authorId="1" shapeId="0" xr:uid="{16DC0A0A-4D3B-4349-A914-3531FDD75869}">
      <text>
        <r>
          <rPr>
            <b/>
            <i/>
            <sz val="9"/>
            <color indexed="81"/>
            <rFont val="Tahoma"/>
            <family val="2"/>
          </rPr>
          <t xml:space="preserve">Conditional
</t>
        </r>
        <r>
          <rPr>
            <b/>
            <sz val="9"/>
            <color indexed="81"/>
            <rFont val="Tahoma"/>
            <family val="2"/>
          </rPr>
          <t>Numeric
Max Length = 10</t>
        </r>
      </text>
    </comment>
    <comment ref="Z12" authorId="1" shapeId="0" xr:uid="{62540B87-D899-42FB-A76C-E054337C2E04}">
      <text>
        <r>
          <rPr>
            <b/>
            <i/>
            <sz val="9"/>
            <color indexed="81"/>
            <rFont val="Tahoma"/>
            <family val="2"/>
          </rPr>
          <t xml:space="preserve">Required
</t>
        </r>
        <r>
          <rPr>
            <b/>
            <sz val="9"/>
            <color indexed="81"/>
            <rFont val="Tahoma"/>
            <family val="2"/>
          </rPr>
          <t>Pick List
Max Length = N/A</t>
        </r>
      </text>
    </comment>
    <comment ref="AA12" authorId="1" shapeId="0" xr:uid="{AB0B3BBF-EBCD-42E2-A5A3-5DCB4CA70B2B}">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budget here refers to the total expected capital expenditure.</t>
        </r>
      </text>
    </comment>
    <comment ref="AB12" authorId="1" shapeId="0" xr:uid="{767F7B2F-519A-4A70-B648-0AEA7B0B6916}">
      <text>
        <r>
          <rPr>
            <b/>
            <i/>
            <sz val="9"/>
            <color indexed="81"/>
            <rFont val="Tahoma"/>
            <family val="2"/>
          </rPr>
          <t xml:space="preserve">Conditional
</t>
        </r>
        <r>
          <rPr>
            <b/>
            <sz val="9"/>
            <color indexed="81"/>
            <rFont val="Tahoma"/>
            <family val="2"/>
          </rPr>
          <t>Pick List
Max Length = N/A</t>
        </r>
      </text>
    </comment>
    <comment ref="AC12" authorId="1" shapeId="0" xr:uid="{4CBAEE72-7B54-47C2-97B8-55335C9BE400}">
      <text>
        <r>
          <rPr>
            <b/>
            <i/>
            <sz val="9"/>
            <color indexed="81"/>
            <rFont val="Tahoma"/>
            <family val="2"/>
          </rPr>
          <t xml:space="preserve">Conditional
</t>
        </r>
        <r>
          <rPr>
            <b/>
            <sz val="9"/>
            <color indexed="81"/>
            <rFont val="Tahoma"/>
            <family val="2"/>
          </rPr>
          <t>String
Max Length = 255</t>
        </r>
      </text>
    </comment>
    <comment ref="AD12" authorId="1" shapeId="0" xr:uid="{ED5E7E4D-46F4-46FC-BFBB-BBB055B74453}">
      <text>
        <r>
          <rPr>
            <b/>
            <i/>
            <sz val="9"/>
            <color indexed="81"/>
            <rFont val="Tahoma"/>
            <family val="2"/>
          </rPr>
          <t xml:space="preserve">Conditional
</t>
        </r>
        <r>
          <rPr>
            <b/>
            <sz val="9"/>
            <color indexed="81"/>
            <rFont val="Tahoma"/>
            <family val="2"/>
          </rPr>
          <t>String
Max Length = 1500</t>
        </r>
      </text>
    </comment>
    <comment ref="AE12" authorId="1" shapeId="0" xr:uid="{043EB846-14E7-4085-85E6-5F487F8CF672}">
      <text>
        <r>
          <rPr>
            <b/>
            <i/>
            <sz val="9"/>
            <color indexed="81"/>
            <rFont val="Tahoma"/>
            <family val="2"/>
          </rPr>
          <t xml:space="preserve">Required if Budget &gt; $10M
</t>
        </r>
        <r>
          <rPr>
            <b/>
            <sz val="9"/>
            <color indexed="81"/>
            <rFont val="Tahoma"/>
            <family val="2"/>
          </rPr>
          <t>Pick List
Max Length = N/A</t>
        </r>
      </text>
    </comment>
    <comment ref="AJ12" authorId="1" shapeId="0" xr:uid="{5FFC1CD4-2D5A-474F-A5C5-50B9F4AA4AD8}">
      <text>
        <r>
          <rPr>
            <b/>
            <i/>
            <sz val="9"/>
            <color indexed="81"/>
            <rFont val="Tahoma"/>
            <family val="2"/>
          </rPr>
          <t xml:space="preserve">Required if Budget &gt; $10M
</t>
        </r>
        <r>
          <rPr>
            <b/>
            <sz val="9"/>
            <color indexed="81"/>
            <rFont val="Tahoma"/>
            <family val="2"/>
          </rPr>
          <t>Pick List
Max Length = N/A</t>
        </r>
      </text>
    </comment>
    <comment ref="AP12" authorId="1" shapeId="0" xr:uid="{728E7943-B6AD-4214-87B7-006512A8BB6F}">
      <text>
        <r>
          <rPr>
            <b/>
            <i/>
            <sz val="9"/>
            <color indexed="81"/>
            <rFont val="Tahoma"/>
            <family val="2"/>
          </rPr>
          <t xml:space="preserve">Required if Budget &gt; $10M
</t>
        </r>
        <r>
          <rPr>
            <b/>
            <sz val="9"/>
            <color indexed="81"/>
            <rFont val="Tahoma"/>
            <family val="2"/>
          </rPr>
          <t>Pick List
Max Length = N/A</t>
        </r>
      </text>
    </comment>
    <comment ref="AQ12" authorId="1" shapeId="0" xr:uid="{5C4B5217-530B-4B4C-A475-6A78CD60379E}">
      <text>
        <r>
          <rPr>
            <b/>
            <i/>
            <sz val="9"/>
            <color indexed="81"/>
            <rFont val="Tahoma"/>
            <family val="2"/>
          </rPr>
          <t xml:space="preserve">Required if Budget &gt; $10M
</t>
        </r>
        <r>
          <rPr>
            <b/>
            <sz val="9"/>
            <color indexed="81"/>
            <rFont val="Tahoma"/>
            <family val="2"/>
          </rPr>
          <t>Pick List
Max Length = N/A</t>
        </r>
      </text>
    </comment>
    <comment ref="AS12" authorId="1" shapeId="0" xr:uid="{FD196405-646B-4F08-910A-97A517D52654}">
      <text>
        <r>
          <rPr>
            <b/>
            <i/>
            <sz val="9"/>
            <color indexed="81"/>
            <rFont val="Tahoma"/>
            <family val="2"/>
          </rPr>
          <t xml:space="preserve">Conditional
</t>
        </r>
        <r>
          <rPr>
            <b/>
            <sz val="9"/>
            <color indexed="81"/>
            <rFont val="Tahoma"/>
            <family val="2"/>
          </rPr>
          <t>Numeric
Max Length = 10</t>
        </r>
      </text>
    </comment>
    <comment ref="AT12" authorId="1" shapeId="0" xr:uid="{D21DEC1D-3BFE-41B4-827D-8E29A7788BEE}">
      <text>
        <r>
          <rPr>
            <b/>
            <i/>
            <sz val="9"/>
            <color indexed="81"/>
            <rFont val="Tahoma"/>
            <family val="2"/>
          </rPr>
          <t xml:space="preserve">Conditional
</t>
        </r>
        <r>
          <rPr>
            <b/>
            <sz val="9"/>
            <color indexed="81"/>
            <rFont val="Tahoma"/>
            <family val="2"/>
          </rPr>
          <t>Numeric
Max Length = 10</t>
        </r>
      </text>
    </comment>
    <comment ref="AU12" authorId="1" shapeId="0" xr:uid="{3BBFE1B3-8D61-4B21-B34A-A35856A961C7}">
      <text>
        <r>
          <rPr>
            <b/>
            <i/>
            <sz val="9"/>
            <color indexed="81"/>
            <rFont val="Tahoma"/>
            <family val="2"/>
          </rPr>
          <t xml:space="preserve">Conditional
</t>
        </r>
        <r>
          <rPr>
            <b/>
            <sz val="9"/>
            <color indexed="81"/>
            <rFont val="Tahoma"/>
            <family val="2"/>
          </rPr>
          <t>Numeric
Max Length = 10</t>
        </r>
      </text>
    </comment>
    <comment ref="AV12" authorId="1" shapeId="0" xr:uid="{5CCDC934-4514-4EBA-9DBF-1D9AD1E93199}">
      <text>
        <r>
          <rPr>
            <b/>
            <i/>
            <sz val="9"/>
            <color indexed="81"/>
            <rFont val="Tahoma"/>
            <family val="2"/>
          </rPr>
          <t xml:space="preserve">Conditional
</t>
        </r>
        <r>
          <rPr>
            <b/>
            <sz val="9"/>
            <color indexed="81"/>
            <rFont val="Tahoma"/>
            <family val="2"/>
          </rPr>
          <t>String
Max Length = 255</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Joe Comeau</author>
  </authors>
  <commentList>
    <comment ref="A10" authorId="0" shapeId="0" xr:uid="{0BC05775-53F9-4030-8C44-BC440C9AE545}">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806718FE-5928-4620-94C6-8C64D3362FA8}">
      <text>
        <r>
          <rPr>
            <b/>
            <i/>
            <sz val="9"/>
            <color indexed="81"/>
            <rFont val="Tahoma"/>
            <family val="2"/>
          </rPr>
          <t xml:space="preserve">Required
</t>
        </r>
        <r>
          <rPr>
            <b/>
            <sz val="9"/>
            <color indexed="81"/>
            <rFont val="Tahoma"/>
            <family val="2"/>
          </rPr>
          <t>String
Max Length = 150</t>
        </r>
        <r>
          <rPr>
            <sz val="9"/>
            <color indexed="81"/>
            <rFont val="Tahoma"/>
            <family val="2"/>
          </rPr>
          <t xml:space="preserve">
Name of the project.</t>
        </r>
      </text>
    </comment>
    <comment ref="D12" authorId="1" shapeId="0" xr:uid="{59D4FF88-7D68-437D-81FF-769F56F178A8}">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7E04E574-D884-4CBD-B043-3C70274B7C9D}">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810C6A21-165E-4FA2-A35A-532BDFE635A1}">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This includes single audit fees, and should correspond to what is listed in the Reporting &amp; Compliance form.</t>
        </r>
      </text>
    </comment>
    <comment ref="G12" authorId="1" shapeId="0" xr:uid="{7C217691-9B1E-481E-B7D9-7CFCE6CBFDCE}">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2BEA9C7E-CBCA-48CB-A0B9-F25A342AF57B}">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TCE should be equal to the sum of cumulative expenditures from RIFANS across the entirety of the project. We have provided a tab with expenditures from RIFANS corresponding to the entire project period. </t>
        </r>
      </text>
    </comment>
    <comment ref="I12" authorId="1" shapeId="0" xr:uid="{3A90EB85-2419-44EC-AF8C-7DF7386B6694}">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1568F556-FB7F-4171-87D7-B589FA44B04C}">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 
This number should be equal to the sum of cumulative expenditures from RIFANS filtered (using col 'Physical Posted Date') to only those expenditures made on or after the start of this reporting period, and on or before the end of this reporting period.</t>
        </r>
      </text>
    </comment>
    <comment ref="K12" authorId="1" shapeId="0" xr:uid="{99288A58-F4C7-4AB6-B555-C172F2162291}">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A2EB30A7-A712-4C1E-831E-CBAB8564E488}">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37FB3601-DFF8-443C-B94E-7141DCBC5335}">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1" shapeId="0" xr:uid="{D4D2DAC0-CD0C-49F5-ABD9-FCFD90E010D4}">
      <text>
        <r>
          <rPr>
            <b/>
            <i/>
            <sz val="9"/>
            <color indexed="81"/>
            <rFont val="Tahoma"/>
            <family val="2"/>
          </rPr>
          <t xml:space="preserve">Conditional
</t>
        </r>
        <r>
          <rPr>
            <b/>
            <sz val="9"/>
            <color indexed="81"/>
            <rFont val="Tahoma"/>
            <family val="2"/>
          </rPr>
          <t>Pick List
Max Length = N/A</t>
        </r>
      </text>
    </comment>
    <comment ref="O12" authorId="1" shapeId="0" xr:uid="{A4D4F7AB-9021-4160-97B6-1A61C3F30ED9}">
      <text>
        <r>
          <rPr>
            <b/>
            <i/>
            <sz val="9"/>
            <color indexed="81"/>
            <rFont val="Tahoma"/>
            <family val="2"/>
          </rPr>
          <t xml:space="preserve">Conditional
</t>
        </r>
        <r>
          <rPr>
            <b/>
            <sz val="9"/>
            <color indexed="81"/>
            <rFont val="Tahoma"/>
            <family val="2"/>
          </rPr>
          <t>String
Max Length = 250</t>
        </r>
      </text>
    </comment>
    <comment ref="P12" authorId="1" shapeId="0" xr:uid="{A55B6B5C-48CA-4DEB-A74F-73453481788A}">
      <text>
        <r>
          <rPr>
            <b/>
            <i/>
            <sz val="9"/>
            <color indexed="81"/>
            <rFont val="Tahoma"/>
            <family val="2"/>
          </rPr>
          <t xml:space="preserve">Optional
</t>
        </r>
        <r>
          <rPr>
            <b/>
            <sz val="9"/>
            <color indexed="81"/>
            <rFont val="Tahoma"/>
            <family val="2"/>
          </rPr>
          <t>Pick List
Max Length = N/A</t>
        </r>
      </text>
    </comment>
    <comment ref="Q12" authorId="1" shapeId="0" xr:uid="{BF79F202-11B0-4FCE-AB21-193719EB40CE}">
      <text>
        <r>
          <rPr>
            <b/>
            <i/>
            <sz val="9"/>
            <color indexed="81"/>
            <rFont val="Tahoma"/>
            <family val="2"/>
          </rPr>
          <t xml:space="preserve">Conditional
</t>
        </r>
        <r>
          <rPr>
            <b/>
            <sz val="9"/>
            <color indexed="81"/>
            <rFont val="Tahoma"/>
            <family val="2"/>
          </rPr>
          <t>String
Max Length = 250</t>
        </r>
      </text>
    </comment>
    <comment ref="R12" authorId="1" shapeId="0" xr:uid="{DF973456-B090-4B5C-AAE6-C638E9AD3635}">
      <text>
        <r>
          <rPr>
            <b/>
            <i/>
            <sz val="9"/>
            <color indexed="81"/>
            <rFont val="Tahoma"/>
            <family val="2"/>
          </rPr>
          <t xml:space="preserve">Optional
</t>
        </r>
        <r>
          <rPr>
            <b/>
            <sz val="9"/>
            <color indexed="81"/>
            <rFont val="Tahoma"/>
            <family val="2"/>
          </rPr>
          <t>Pick List
Max Length = N/A</t>
        </r>
      </text>
    </comment>
    <comment ref="S12" authorId="1" shapeId="0" xr:uid="{CCBDE268-FCD7-4661-9A39-F9B1BAA648BF}">
      <text>
        <r>
          <rPr>
            <b/>
            <i/>
            <sz val="9"/>
            <color indexed="81"/>
            <rFont val="Tahoma"/>
            <family val="2"/>
          </rPr>
          <t xml:space="preserve">Conditional
</t>
        </r>
        <r>
          <rPr>
            <b/>
            <sz val="9"/>
            <color indexed="81"/>
            <rFont val="Tahoma"/>
            <family val="2"/>
          </rPr>
          <t>String
Max Length = 250</t>
        </r>
      </text>
    </comment>
    <comment ref="T12" authorId="1" shapeId="0" xr:uid="{B572B696-AACE-4CBB-A4D5-FF6618DB9C75}">
      <text>
        <r>
          <rPr>
            <b/>
            <i/>
            <sz val="9"/>
            <color indexed="81"/>
            <rFont val="Tahoma"/>
            <family val="2"/>
          </rPr>
          <t xml:space="preserve">Conditional
</t>
        </r>
        <r>
          <rPr>
            <b/>
            <sz val="9"/>
            <color indexed="81"/>
            <rFont val="Tahoma"/>
            <family val="2"/>
          </rPr>
          <t>String
Max Length = 250</t>
        </r>
      </text>
    </comment>
    <comment ref="U12" authorId="1" shapeId="0" xr:uid="{C17915CB-C6A4-4E9E-B3B6-EE0EF2004E96}">
      <text>
        <r>
          <rPr>
            <b/>
            <i/>
            <sz val="9"/>
            <color indexed="81"/>
            <rFont val="Tahoma"/>
            <family val="2"/>
          </rPr>
          <t xml:space="preserve">Conditional
</t>
        </r>
        <r>
          <rPr>
            <b/>
            <sz val="9"/>
            <color indexed="81"/>
            <rFont val="Tahoma"/>
            <family val="2"/>
          </rPr>
          <t>String
Max Length = 250</t>
        </r>
      </text>
    </comment>
    <comment ref="V12" authorId="1" shapeId="0" xr:uid="{78899F6D-E731-4759-956F-D976CC8CEBDD}">
      <text>
        <r>
          <rPr>
            <b/>
            <i/>
            <sz val="9"/>
            <color indexed="81"/>
            <rFont val="Tahoma"/>
            <family val="2"/>
          </rPr>
          <t xml:space="preserve">Conditional
</t>
        </r>
        <r>
          <rPr>
            <b/>
            <sz val="9"/>
            <color indexed="81"/>
            <rFont val="Tahoma"/>
            <family val="2"/>
          </rPr>
          <t>Numeric
Max Length = 10</t>
        </r>
      </text>
    </comment>
    <comment ref="W12" authorId="1" shapeId="0" xr:uid="{97F897C2-B36A-459B-9DA6-987AB55031A0}">
      <text>
        <r>
          <rPr>
            <b/>
            <i/>
            <sz val="9"/>
            <color indexed="81"/>
            <rFont val="Tahoma"/>
            <family val="2"/>
          </rPr>
          <t xml:space="preserve">Conditional
</t>
        </r>
        <r>
          <rPr>
            <b/>
            <sz val="9"/>
            <color indexed="81"/>
            <rFont val="Tahoma"/>
            <family val="2"/>
          </rPr>
          <t>Currency
Max Length = 12,2</t>
        </r>
      </text>
    </comment>
    <comment ref="X12" authorId="1" shapeId="0" xr:uid="{32E34F13-33B4-4F0F-B637-2BAF9FA4F9F3}">
      <text>
        <r>
          <rPr>
            <b/>
            <i/>
            <sz val="9"/>
            <color indexed="81"/>
            <rFont val="Tahoma"/>
            <family val="2"/>
          </rPr>
          <t xml:space="preserve">Conditional
</t>
        </r>
        <r>
          <rPr>
            <b/>
            <sz val="9"/>
            <color indexed="81"/>
            <rFont val="Tahoma"/>
            <family val="2"/>
          </rPr>
          <t>Pick List
Max Length = N/A</t>
        </r>
      </text>
    </comment>
    <comment ref="Y12" authorId="1" shapeId="0" xr:uid="{79A0C3D9-170C-4A73-8134-23EEEEEC7CA2}">
      <text>
        <r>
          <rPr>
            <b/>
            <i/>
            <sz val="9"/>
            <color indexed="81"/>
            <rFont val="Tahoma"/>
            <family val="2"/>
          </rPr>
          <t xml:space="preserve">Conditional
</t>
        </r>
        <r>
          <rPr>
            <b/>
            <sz val="9"/>
            <color indexed="81"/>
            <rFont val="Tahoma"/>
            <family val="2"/>
          </rPr>
          <t>Numeric
Max Length = 10</t>
        </r>
      </text>
    </comment>
    <comment ref="Z12" authorId="1" shapeId="0" xr:uid="{5759EC2C-6E8F-450B-8852-49D1A05BB499}">
      <text>
        <r>
          <rPr>
            <b/>
            <i/>
            <sz val="9"/>
            <color indexed="81"/>
            <rFont val="Tahoma"/>
            <family val="2"/>
          </rPr>
          <t xml:space="preserve">Conditional
</t>
        </r>
        <r>
          <rPr>
            <b/>
            <sz val="9"/>
            <color indexed="81"/>
            <rFont val="Tahoma"/>
            <family val="2"/>
          </rPr>
          <t>String
Max Length = 10</t>
        </r>
      </text>
    </comment>
    <comment ref="AA12" authorId="1" shapeId="0" xr:uid="{93219805-6037-407C-AB14-48DA25059D83}">
      <text>
        <r>
          <rPr>
            <b/>
            <i/>
            <sz val="9"/>
            <color indexed="81"/>
            <rFont val="Tahoma"/>
            <family val="2"/>
          </rPr>
          <t xml:space="preserve">Conditional
</t>
        </r>
        <r>
          <rPr>
            <b/>
            <sz val="9"/>
            <color indexed="81"/>
            <rFont val="Tahoma"/>
            <family val="2"/>
          </rPr>
          <t>String
Max Length = 750</t>
        </r>
      </text>
    </comment>
    <comment ref="AB12" authorId="1" shapeId="0" xr:uid="{ED613ED2-A9D7-4127-AE51-FBBD6D25A8B5}">
      <text>
        <r>
          <rPr>
            <b/>
            <i/>
            <sz val="9"/>
            <color indexed="81"/>
            <rFont val="Tahoma"/>
            <family val="2"/>
          </rPr>
          <t xml:space="preserve">Conditional
</t>
        </r>
        <r>
          <rPr>
            <b/>
            <sz val="9"/>
            <color indexed="81"/>
            <rFont val="Tahoma"/>
            <family val="2"/>
          </rPr>
          <t>String
Max Length = 250</t>
        </r>
      </text>
    </comment>
    <comment ref="AC12" authorId="1" shapeId="0" xr:uid="{FA96AE1A-8E8B-4A58-957B-4793E3971DEE}">
      <text>
        <r>
          <rPr>
            <b/>
            <i/>
            <sz val="9"/>
            <color indexed="81"/>
            <rFont val="Tahoma"/>
            <family val="2"/>
          </rPr>
          <t xml:space="preserve">Required
</t>
        </r>
        <r>
          <rPr>
            <b/>
            <sz val="9"/>
            <color indexed="81"/>
            <rFont val="Tahoma"/>
            <family val="2"/>
          </rPr>
          <t>Pick List
Max Length = N/A</t>
        </r>
      </text>
    </comment>
    <comment ref="AD12" authorId="1" shapeId="0" xr:uid="{4374610F-F8F4-477E-B36E-63111EDE85DA}">
      <text>
        <r>
          <rPr>
            <b/>
            <i/>
            <sz val="9"/>
            <color indexed="81"/>
            <rFont val="Tahoma"/>
            <family val="2"/>
          </rPr>
          <t xml:space="preserve">Conditional
</t>
        </r>
        <r>
          <rPr>
            <b/>
            <sz val="9"/>
            <color indexed="81"/>
            <rFont val="Tahoma"/>
            <family val="2"/>
          </rPr>
          <t>Currency
Max Length = 12,2</t>
        </r>
      </text>
    </comment>
    <comment ref="AE12" authorId="1" shapeId="0" xr:uid="{6DA066D5-6C8D-43AB-A892-ACAADAB7C83C}">
      <text>
        <r>
          <rPr>
            <b/>
            <i/>
            <sz val="9"/>
            <color indexed="81"/>
            <rFont val="Tahoma"/>
            <family val="2"/>
          </rPr>
          <t xml:space="preserve">Conditional
</t>
        </r>
        <r>
          <rPr>
            <b/>
            <sz val="9"/>
            <color indexed="81"/>
            <rFont val="Tahoma"/>
            <family val="2"/>
          </rPr>
          <t>Pick List
Max Length = N/A</t>
        </r>
      </text>
    </comment>
    <comment ref="AF12" authorId="1" shapeId="0" xr:uid="{481CAE9F-6D62-4F0D-BB7C-68DCF01E911C}">
      <text>
        <r>
          <rPr>
            <b/>
            <i/>
            <sz val="9"/>
            <color indexed="81"/>
            <rFont val="Tahoma"/>
            <family val="2"/>
          </rPr>
          <t xml:space="preserve">Conditional
</t>
        </r>
        <r>
          <rPr>
            <b/>
            <sz val="9"/>
            <color indexed="81"/>
            <rFont val="Tahoma"/>
            <family val="2"/>
          </rPr>
          <t>String
Max Length = 255</t>
        </r>
      </text>
    </comment>
    <comment ref="AG12" authorId="1" shapeId="0" xr:uid="{C98A64E3-D8F8-4BC7-A1A7-E96F2830F58E}">
      <text>
        <r>
          <rPr>
            <b/>
            <i/>
            <sz val="9"/>
            <color indexed="81"/>
            <rFont val="Tahoma"/>
            <family val="2"/>
          </rPr>
          <t xml:space="preserve">Conditional
</t>
        </r>
        <r>
          <rPr>
            <b/>
            <sz val="9"/>
            <color indexed="81"/>
            <rFont val="Tahoma"/>
            <family val="2"/>
          </rPr>
          <t>String
Max Length = 1500</t>
        </r>
      </text>
    </comment>
    <comment ref="AH12" authorId="1" shapeId="0" xr:uid="{733C749F-38E0-4AC8-B722-5042E80165E5}">
      <text>
        <r>
          <rPr>
            <b/>
            <i/>
            <sz val="9"/>
            <color indexed="81"/>
            <rFont val="Tahoma"/>
            <family val="2"/>
          </rPr>
          <t xml:space="preserve">Required if Budget &gt; $10M
</t>
        </r>
        <r>
          <rPr>
            <b/>
            <sz val="9"/>
            <color indexed="81"/>
            <rFont val="Tahoma"/>
            <family val="2"/>
          </rPr>
          <t>Pick List
Max Length = N/A</t>
        </r>
        <r>
          <rPr>
            <sz val="9"/>
            <color indexed="81"/>
            <rFont val="Tahoma"/>
            <family val="2"/>
          </rPr>
          <t xml:space="preserve">
The budget here refers to the total expected capital expenditure.</t>
        </r>
      </text>
    </comment>
    <comment ref="AM12" authorId="1" shapeId="0" xr:uid="{E9E71475-CC25-4BA7-BBCF-9DBE388E316A}">
      <text>
        <r>
          <rPr>
            <b/>
            <i/>
            <sz val="9"/>
            <color indexed="81"/>
            <rFont val="Tahoma"/>
            <family val="2"/>
          </rPr>
          <t xml:space="preserve">Required if Budget &gt; $10M
</t>
        </r>
        <r>
          <rPr>
            <b/>
            <sz val="9"/>
            <color indexed="81"/>
            <rFont val="Tahoma"/>
            <family val="2"/>
          </rPr>
          <t>Pick List
Max Length = N/A</t>
        </r>
      </text>
    </comment>
    <comment ref="AS12" authorId="1" shapeId="0" xr:uid="{6BCD8716-751F-4264-99BF-356E5242D2EC}">
      <text>
        <r>
          <rPr>
            <b/>
            <i/>
            <sz val="9"/>
            <color indexed="81"/>
            <rFont val="Tahoma"/>
            <family val="2"/>
          </rPr>
          <t xml:space="preserve">Required if Budget &gt; $10M
</t>
        </r>
        <r>
          <rPr>
            <b/>
            <sz val="9"/>
            <color indexed="81"/>
            <rFont val="Tahoma"/>
            <family val="2"/>
          </rPr>
          <t>Pick List
Max Length = N/A</t>
        </r>
      </text>
    </comment>
    <comment ref="AT12" authorId="1" shapeId="0" xr:uid="{D2CEE180-0E6B-464E-B33B-F70818577E4B}">
      <text>
        <r>
          <rPr>
            <b/>
            <i/>
            <sz val="9"/>
            <color indexed="81"/>
            <rFont val="Tahoma"/>
            <family val="2"/>
          </rPr>
          <t xml:space="preserve">Required if Budget &gt; $10M
</t>
        </r>
        <r>
          <rPr>
            <b/>
            <sz val="9"/>
            <color indexed="81"/>
            <rFont val="Tahoma"/>
            <family val="2"/>
          </rPr>
          <t>Pick List
Max Length = N/A</t>
        </r>
      </text>
    </comment>
    <comment ref="AV12" authorId="1" shapeId="0" xr:uid="{BD2E83A8-3FFE-48B4-AF99-DE13202345D2}">
      <text>
        <r>
          <rPr>
            <b/>
            <i/>
            <sz val="9"/>
            <color indexed="81"/>
            <rFont val="Tahoma"/>
            <family val="2"/>
          </rPr>
          <t xml:space="preserve">Conditional
</t>
        </r>
        <r>
          <rPr>
            <b/>
            <sz val="9"/>
            <color indexed="81"/>
            <rFont val="Tahoma"/>
            <family val="2"/>
          </rPr>
          <t>Numeric
Max Length = 10</t>
        </r>
      </text>
    </comment>
    <comment ref="AW12" authorId="1" shapeId="0" xr:uid="{6C7AB7D2-4633-4457-ADE0-75071600E6A2}">
      <text>
        <r>
          <rPr>
            <b/>
            <i/>
            <sz val="9"/>
            <color indexed="81"/>
            <rFont val="Tahoma"/>
            <family val="2"/>
          </rPr>
          <t xml:space="preserve">Conditional
</t>
        </r>
        <r>
          <rPr>
            <b/>
            <sz val="9"/>
            <color indexed="81"/>
            <rFont val="Tahoma"/>
            <family val="2"/>
          </rPr>
          <t>Numeric
Max Length = 10</t>
        </r>
      </text>
    </comment>
    <comment ref="AX12" authorId="1" shapeId="0" xr:uid="{C4FA7100-8AB7-4857-89C0-4366524EB15A}">
      <text>
        <r>
          <rPr>
            <b/>
            <i/>
            <sz val="9"/>
            <color indexed="81"/>
            <rFont val="Tahoma"/>
            <family val="2"/>
          </rPr>
          <t xml:space="preserve">Conditional
</t>
        </r>
        <r>
          <rPr>
            <b/>
            <sz val="9"/>
            <color indexed="81"/>
            <rFont val="Tahoma"/>
            <family val="2"/>
          </rPr>
          <t>Numeric
Max Length = 10</t>
        </r>
      </text>
    </comment>
    <comment ref="AY12" authorId="1" shapeId="0" xr:uid="{893FF2F5-E10F-4776-ABC8-47CD4EE862B7}">
      <text>
        <r>
          <rPr>
            <b/>
            <i/>
            <sz val="9"/>
            <color indexed="81"/>
            <rFont val="Tahoma"/>
            <family val="2"/>
          </rPr>
          <t xml:space="preserve">Conditional
</t>
        </r>
        <r>
          <rPr>
            <b/>
            <sz val="9"/>
            <color indexed="81"/>
            <rFont val="Tahoma"/>
            <family val="2"/>
          </rPr>
          <t>Numeric
Max Length = 10</t>
        </r>
      </text>
    </comment>
    <comment ref="AZ12" authorId="1" shapeId="0" xr:uid="{386CC7B5-C9D4-4798-9215-F3162D4A539E}">
      <text>
        <r>
          <rPr>
            <b/>
            <i/>
            <sz val="9"/>
            <color indexed="81"/>
            <rFont val="Tahoma"/>
            <family val="2"/>
          </rPr>
          <t xml:space="preserve">Conditional
</t>
        </r>
        <r>
          <rPr>
            <b/>
            <sz val="9"/>
            <color indexed="81"/>
            <rFont val="Tahoma"/>
            <family val="2"/>
          </rPr>
          <t>Numeric
Max Length = 10</t>
        </r>
      </text>
    </comment>
    <comment ref="BA12" authorId="1" shapeId="0" xr:uid="{6DF3A93A-F1E9-423B-B4EA-C80FFC11E730}">
      <text>
        <r>
          <rPr>
            <b/>
            <i/>
            <sz val="9"/>
            <color indexed="81"/>
            <rFont val="Tahoma"/>
            <family val="2"/>
          </rPr>
          <t xml:space="preserve">Conditional
</t>
        </r>
        <r>
          <rPr>
            <b/>
            <sz val="9"/>
            <color indexed="81"/>
            <rFont val="Tahoma"/>
            <family val="2"/>
          </rPr>
          <t>Numeric
Max Length = 10</t>
        </r>
      </text>
    </comment>
    <comment ref="BB12" authorId="1" shapeId="0" xr:uid="{79670FB7-3150-48D0-8B81-820E27170E79}">
      <text>
        <r>
          <rPr>
            <b/>
            <i/>
            <sz val="9"/>
            <color indexed="81"/>
            <rFont val="Tahoma"/>
            <family val="2"/>
          </rPr>
          <t xml:space="preserve">Conditional
</t>
        </r>
        <r>
          <rPr>
            <b/>
            <sz val="9"/>
            <color indexed="81"/>
            <rFont val="Tahoma"/>
            <family val="2"/>
          </rPr>
          <t>Numeric
Max Length = 10</t>
        </r>
      </text>
    </comment>
    <comment ref="BC12" authorId="1" shapeId="0" xr:uid="{826507C1-3EDB-4D63-A5C8-E0EBAD0B27C1}">
      <text>
        <r>
          <rPr>
            <b/>
            <i/>
            <sz val="9"/>
            <color indexed="81"/>
            <rFont val="Tahoma"/>
            <family val="2"/>
          </rPr>
          <t xml:space="preserve">Conditional
</t>
        </r>
        <r>
          <rPr>
            <b/>
            <sz val="9"/>
            <color indexed="81"/>
            <rFont val="Tahoma"/>
            <family val="2"/>
          </rPr>
          <t>Numeric
Max Length = 10</t>
        </r>
      </text>
    </comment>
    <comment ref="BD12" authorId="1" shapeId="0" xr:uid="{29D7FD62-510E-4435-A17C-B0514D9FAFB2}">
      <text>
        <r>
          <rPr>
            <b/>
            <i/>
            <sz val="9"/>
            <color indexed="81"/>
            <rFont val="Tahoma"/>
            <family val="2"/>
          </rPr>
          <t xml:space="preserve">Conditional
</t>
        </r>
        <r>
          <rPr>
            <b/>
            <sz val="9"/>
            <color indexed="81"/>
            <rFont val="Tahoma"/>
            <family val="2"/>
          </rPr>
          <t>String
Max Length = 255</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Joe Comeau</author>
  </authors>
  <commentList>
    <comment ref="A10" authorId="0" shapeId="0" xr:uid="{52080F4E-DF7C-4AA3-96ED-A8E02BE136C8}">
      <text>
        <r>
          <rPr>
            <b/>
            <sz val="9"/>
            <color indexed="81"/>
            <rFont val="Tahoma"/>
            <family val="2"/>
          </rPr>
          <t>Partner Specifc</t>
        </r>
        <r>
          <rPr>
            <sz val="9"/>
            <color indexed="81"/>
            <rFont val="Tahoma"/>
            <family val="2"/>
          </rPr>
          <t xml:space="preserve">
OPTIONAL Add text to this row to help your users better understand what is expected of them. You must click the 'Update Help' button on the Logic sheet to have the changes applied.</t>
        </r>
      </text>
    </comment>
    <comment ref="C12" authorId="1" shapeId="0" xr:uid="{04045692-3B53-4A68-959E-34D8A137DF13}">
      <text>
        <r>
          <rPr>
            <b/>
            <i/>
            <sz val="9"/>
            <color indexed="81"/>
            <rFont val="Tahoma"/>
            <family val="2"/>
          </rPr>
          <t xml:space="preserve">Required
</t>
        </r>
        <r>
          <rPr>
            <b/>
            <sz val="9"/>
            <color indexed="81"/>
            <rFont val="Tahoma"/>
            <family val="2"/>
          </rPr>
          <t>String
Max Length = 150</t>
        </r>
        <r>
          <rPr>
            <sz val="9"/>
            <color indexed="81"/>
            <rFont val="Tahoma"/>
            <family val="2"/>
          </rPr>
          <t xml:space="preserve">
Name of the project.</t>
        </r>
      </text>
    </comment>
    <comment ref="D12" authorId="1" shapeId="0" xr:uid="{87D79456-0E0B-47B1-8759-B3EF18B3DECD}">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FDBF8ADA-6442-4C29-B153-9959985CB376}">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1E7D0E6A-943B-48BF-B1D7-0601B6C67234}">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This includes single audit fees, and should correspond to what is listed in the Reporting &amp; Compliance form.</t>
        </r>
      </text>
    </comment>
    <comment ref="G12" authorId="1" shapeId="0" xr:uid="{1D64F324-69A9-4742-9FA3-1BA147806DDC}">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BCB2D301-693D-411F-B4EB-875A6B01768D}">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TCE should be equal to the sum of cumulative expenditures from RIFANS across the entirety of the project. We have provided a tab with expenditures from RIFANS corresponding to the entire project period. </t>
        </r>
      </text>
    </comment>
    <comment ref="I12" authorId="1" shapeId="0" xr:uid="{063EF7D1-0746-4890-BC34-52515FA634A5}">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60129C44-629C-46B3-8E74-F40B7A5D4843}">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 
This number should be equal to the sum of cumulative expenditures from RIFANS filtered (using col 'Physical Posted Date') to only those expenditures made on or after the start of this reporting period, and on or before the end of this reporting period.</t>
        </r>
      </text>
    </comment>
    <comment ref="K12" authorId="1" shapeId="0" xr:uid="{C678B333-ABBD-43A1-B3E2-78EB21E6A688}">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7C4B8AFB-D545-4AEF-9B7D-2CDB47BC145B}">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2C574C90-17C8-40CB-8DDB-B67B151FAF5C}">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1" shapeId="0" xr:uid="{8F4CC29A-24EF-4D49-9490-0DE0DE0034B5}">
      <text>
        <r>
          <rPr>
            <b/>
            <i/>
            <sz val="9"/>
            <color indexed="81"/>
            <rFont val="Tahoma"/>
            <family val="2"/>
          </rPr>
          <t xml:space="preserve">Conditional
</t>
        </r>
        <r>
          <rPr>
            <b/>
            <sz val="9"/>
            <color indexed="81"/>
            <rFont val="Tahoma"/>
            <family val="2"/>
          </rPr>
          <t>String
Max Length = 250</t>
        </r>
      </text>
    </comment>
    <comment ref="O12" authorId="1" shapeId="0" xr:uid="{5CD4AD6F-83B3-4828-96D0-77D5E1765914}">
      <text>
        <r>
          <rPr>
            <b/>
            <i/>
            <sz val="9"/>
            <color indexed="81"/>
            <rFont val="Tahoma"/>
            <family val="2"/>
          </rPr>
          <t xml:space="preserve">Conditional
</t>
        </r>
        <r>
          <rPr>
            <b/>
            <sz val="9"/>
            <color indexed="81"/>
            <rFont val="Tahoma"/>
            <family val="2"/>
          </rPr>
          <t>String
Max Length = 250</t>
        </r>
      </text>
    </comment>
    <comment ref="P12" authorId="1" shapeId="0" xr:uid="{2D70BD2A-6557-46E0-AFFF-CAD203109A8A}">
      <text>
        <r>
          <rPr>
            <b/>
            <i/>
            <sz val="9"/>
            <color indexed="81"/>
            <rFont val="Tahoma"/>
            <family val="2"/>
          </rPr>
          <t xml:space="preserve">Conditional
</t>
        </r>
        <r>
          <rPr>
            <b/>
            <sz val="9"/>
            <color indexed="81"/>
            <rFont val="Tahoma"/>
            <family val="2"/>
          </rPr>
          <t>Numeric
Max Length = 10</t>
        </r>
      </text>
    </comment>
    <comment ref="Q12" authorId="1" shapeId="0" xr:uid="{11523530-FFAF-4BF8-BCB4-044EC6451928}">
      <text>
        <r>
          <rPr>
            <b/>
            <i/>
            <sz val="9"/>
            <color indexed="81"/>
            <rFont val="Tahoma"/>
            <family val="2"/>
          </rPr>
          <t xml:space="preserve">Conditional
</t>
        </r>
        <r>
          <rPr>
            <b/>
            <sz val="9"/>
            <color indexed="81"/>
            <rFont val="Tahoma"/>
            <family val="2"/>
          </rPr>
          <t>Numeric
Max Length = 10</t>
        </r>
      </text>
    </comment>
    <comment ref="R12" authorId="1" shapeId="0" xr:uid="{C3BBFFDC-C011-497E-9A09-3622A5F13BF5}">
      <text>
        <r>
          <rPr>
            <b/>
            <i/>
            <sz val="9"/>
            <color indexed="81"/>
            <rFont val="Tahoma"/>
            <family val="2"/>
          </rPr>
          <t xml:space="preserve">Required
</t>
        </r>
        <r>
          <rPr>
            <b/>
            <sz val="9"/>
            <color indexed="81"/>
            <rFont val="Tahoma"/>
            <family val="2"/>
          </rPr>
          <t>Pick List
Max Length = N/A</t>
        </r>
      </text>
    </comment>
    <comment ref="S12" authorId="1" shapeId="0" xr:uid="{573CD4A8-7220-4E15-B265-AF800C424C16}">
      <text>
        <r>
          <rPr>
            <b/>
            <i/>
            <sz val="9"/>
            <color indexed="81"/>
            <rFont val="Tahoma"/>
            <family val="2"/>
          </rPr>
          <t xml:space="preserve">Conditional
</t>
        </r>
        <r>
          <rPr>
            <b/>
            <sz val="9"/>
            <color indexed="81"/>
            <rFont val="Tahoma"/>
            <family val="2"/>
          </rPr>
          <t>Currency
Max Length = 12,2</t>
        </r>
      </text>
    </comment>
    <comment ref="T12" authorId="1" shapeId="0" xr:uid="{7F494924-4B56-4D2B-9EC1-E9196D911EB3}">
      <text>
        <r>
          <rPr>
            <b/>
            <i/>
            <sz val="9"/>
            <color indexed="81"/>
            <rFont val="Tahoma"/>
            <family val="2"/>
          </rPr>
          <t xml:space="preserve">Conditional
</t>
        </r>
        <r>
          <rPr>
            <b/>
            <sz val="9"/>
            <color indexed="81"/>
            <rFont val="Tahoma"/>
            <family val="2"/>
          </rPr>
          <t>Pick List
Max Length = N/A</t>
        </r>
      </text>
    </comment>
    <comment ref="U12" authorId="1" shapeId="0" xr:uid="{95AFA395-EDD7-47F4-B4D5-A03DF4317AB1}">
      <text>
        <r>
          <rPr>
            <b/>
            <i/>
            <sz val="9"/>
            <color indexed="81"/>
            <rFont val="Tahoma"/>
            <family val="2"/>
          </rPr>
          <t xml:space="preserve">Conditional
</t>
        </r>
        <r>
          <rPr>
            <b/>
            <sz val="9"/>
            <color indexed="81"/>
            <rFont val="Tahoma"/>
            <family val="2"/>
          </rPr>
          <t>String
Max Length = 255</t>
        </r>
      </text>
    </comment>
    <comment ref="V12" authorId="1" shapeId="0" xr:uid="{82EE2D54-8AA9-43C9-9B5B-5564C6705C18}">
      <text>
        <r>
          <rPr>
            <b/>
            <i/>
            <sz val="9"/>
            <color indexed="81"/>
            <rFont val="Tahoma"/>
            <family val="2"/>
          </rPr>
          <t xml:space="preserve">Conditional
</t>
        </r>
        <r>
          <rPr>
            <b/>
            <sz val="9"/>
            <color indexed="81"/>
            <rFont val="Tahoma"/>
            <family val="2"/>
          </rPr>
          <t>String
Max Length = 1500</t>
        </r>
      </text>
    </comment>
    <comment ref="W12" authorId="1" shapeId="0" xr:uid="{EECB8B88-A038-4336-AA5E-0D6BA284E8CF}">
      <text>
        <r>
          <rPr>
            <b/>
            <i/>
            <sz val="9"/>
            <color indexed="81"/>
            <rFont val="Tahoma"/>
            <family val="2"/>
          </rPr>
          <t xml:space="preserve">Required if Budget &gt; $10M
</t>
        </r>
        <r>
          <rPr>
            <b/>
            <sz val="9"/>
            <color indexed="81"/>
            <rFont val="Tahoma"/>
            <family val="2"/>
          </rPr>
          <t>Pick List
Max Length = N/A</t>
        </r>
        <r>
          <rPr>
            <sz val="9"/>
            <color indexed="81"/>
            <rFont val="Tahoma"/>
            <family val="2"/>
          </rPr>
          <t xml:space="preserve">
The budget here refers to the total expected capital expenditure.</t>
        </r>
      </text>
    </comment>
    <comment ref="AB12" authorId="1" shapeId="0" xr:uid="{FD328BF2-761A-42E6-AC54-D364D06756ED}">
      <text>
        <r>
          <rPr>
            <b/>
            <i/>
            <sz val="9"/>
            <color indexed="81"/>
            <rFont val="Tahoma"/>
            <family val="2"/>
          </rPr>
          <t xml:space="preserve">Required if Budget &gt; $10M
</t>
        </r>
        <r>
          <rPr>
            <b/>
            <sz val="9"/>
            <color indexed="81"/>
            <rFont val="Tahoma"/>
            <family val="2"/>
          </rPr>
          <t>Pick List
Max Length = N/A</t>
        </r>
      </text>
    </comment>
    <comment ref="AH12" authorId="1" shapeId="0" xr:uid="{6BD7B946-3371-47B8-9273-B810C040B186}">
      <text>
        <r>
          <rPr>
            <b/>
            <i/>
            <sz val="9"/>
            <color indexed="81"/>
            <rFont val="Tahoma"/>
            <family val="2"/>
          </rPr>
          <t xml:space="preserve">Required if Budget &gt; $10M
</t>
        </r>
        <r>
          <rPr>
            <b/>
            <sz val="9"/>
            <color indexed="81"/>
            <rFont val="Tahoma"/>
            <family val="2"/>
          </rPr>
          <t>Pick List
Max Length = N/A</t>
        </r>
      </text>
    </comment>
    <comment ref="AI12" authorId="1" shapeId="0" xr:uid="{D807FAF0-DCDC-4183-B3AD-9C3F0F647DE6}">
      <text>
        <r>
          <rPr>
            <b/>
            <i/>
            <sz val="9"/>
            <color indexed="81"/>
            <rFont val="Tahoma"/>
            <family val="2"/>
          </rPr>
          <t xml:space="preserve">Required if Budget &gt; $10M
</t>
        </r>
        <r>
          <rPr>
            <b/>
            <sz val="9"/>
            <color indexed="81"/>
            <rFont val="Tahoma"/>
            <family val="2"/>
          </rPr>
          <t>Pick List
Max Length = N/A</t>
        </r>
      </text>
    </comment>
    <comment ref="AK12" authorId="1" shapeId="0" xr:uid="{92253F42-0DC1-49E3-BF27-68C2B2CEB308}">
      <text>
        <r>
          <rPr>
            <b/>
            <i/>
            <sz val="9"/>
            <color indexed="81"/>
            <rFont val="Tahoma"/>
            <family val="2"/>
          </rPr>
          <t xml:space="preserve">Conditional
</t>
        </r>
        <r>
          <rPr>
            <b/>
            <sz val="9"/>
            <color indexed="81"/>
            <rFont val="Tahoma"/>
            <family val="2"/>
          </rPr>
          <t>String
Max Length = 255</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Joe Comeau</author>
  </authors>
  <commentList>
    <comment ref="A10" authorId="0" shapeId="0" xr:uid="{F448FB3E-7E6B-43BF-A194-B8A6DDD15CFD}">
      <text>
        <r>
          <rPr>
            <b/>
            <sz val="9"/>
            <color indexed="81"/>
            <rFont val="Tahoma"/>
            <family val="2"/>
          </rPr>
          <t xml:space="preserve">Partner Specifc
</t>
        </r>
        <r>
          <rPr>
            <sz val="9"/>
            <color indexed="81"/>
            <rFont val="Tahoma"/>
            <family val="2"/>
          </rPr>
          <t xml:space="preserve">OPTIONAL Add text to this row to help your users better understand what is expected of them. You must click the 'Update Help' button on the Logic sheet to have the changes applied.
</t>
        </r>
      </text>
    </comment>
    <comment ref="C12" authorId="1" shapeId="0" xr:uid="{21A68113-34C8-4E83-B2CF-8C12BF91B954}">
      <text>
        <r>
          <rPr>
            <b/>
            <i/>
            <sz val="9"/>
            <color indexed="81"/>
            <rFont val="Tahoma"/>
            <family val="2"/>
          </rPr>
          <t xml:space="preserve">Required
</t>
        </r>
        <r>
          <rPr>
            <b/>
            <sz val="9"/>
            <color indexed="81"/>
            <rFont val="Tahoma"/>
            <family val="2"/>
          </rPr>
          <t>String
Max Length = 80</t>
        </r>
        <r>
          <rPr>
            <sz val="9"/>
            <color indexed="81"/>
            <rFont val="Tahoma"/>
            <family val="2"/>
          </rPr>
          <t xml:space="preserve">
Name of the project.</t>
        </r>
      </text>
    </comment>
    <comment ref="D12" authorId="1" shapeId="0" xr:uid="{E0956025-8FF3-4E87-804C-BB1989306CB2}">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B7926326-666D-47A8-BD30-4252A54F77A9}">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AA6220AA-5C8F-4D9A-BEA5-11D45A2AD291}">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This includes single audit fees, and should correspond to what is listed in the Reporting &amp; Compliance form.</t>
        </r>
      </text>
    </comment>
    <comment ref="G12" authorId="1" shapeId="0" xr:uid="{CCBE03B9-B5CE-4228-B490-246EB38A326D}">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42E86A7B-A2A3-4C04-8AB8-6B39E4E1C0FA}">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TCE should be equal to the sum of cumulative expenditures from RIFANS across the entirety of the project. We have provided a tab with expenditures from RIFANS corresponding to the entire project period. </t>
        </r>
      </text>
    </comment>
    <comment ref="I12" authorId="1" shapeId="0" xr:uid="{EC3AFF82-C2FF-424B-B227-BE3A0618DB59}">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F4CE350C-C5F7-43AC-9698-98EA46E34D4D}">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 
This number should be equal to the sum of cumulative expenditures from RIFANS filtered (using col 'Physical Posted Date') to only those expenditures made on or after the start of this reporting period, and on or before the end of this reporting period.</t>
        </r>
      </text>
    </comment>
    <comment ref="K12" authorId="1" shapeId="0" xr:uid="{8C0E70F6-B141-4F15-BC74-2BAFECAFCAB2}">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1A9E261B-83FE-4065-8B43-AA7FD80BBFC4}">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DA68FF6F-E1D7-4C05-92C7-4EE8A8BD2478}">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1" shapeId="0" xr:uid="{E9B09631-8165-40F7-8694-231D31391C93}">
      <text>
        <r>
          <rPr>
            <b/>
            <i/>
            <sz val="9"/>
            <color indexed="81"/>
            <rFont val="Tahoma"/>
            <family val="2"/>
          </rPr>
          <t xml:space="preserve">Conditional
</t>
        </r>
        <r>
          <rPr>
            <b/>
            <sz val="9"/>
            <color indexed="81"/>
            <rFont val="Tahoma"/>
            <family val="2"/>
          </rPr>
          <t>Multi-Select
Max Length = 1500</t>
        </r>
      </text>
    </comment>
    <comment ref="O12" authorId="1" shapeId="0" xr:uid="{F0ED46C8-E194-404A-8B11-E3BCD95C2C3F}">
      <text>
        <r>
          <rPr>
            <b/>
            <i/>
            <sz val="9"/>
            <color indexed="81"/>
            <rFont val="Tahoma"/>
            <family val="2"/>
          </rPr>
          <t xml:space="preserve">Conditional
</t>
        </r>
        <r>
          <rPr>
            <b/>
            <sz val="9"/>
            <color indexed="81"/>
            <rFont val="Tahoma"/>
            <family val="2"/>
          </rPr>
          <t>Numeric
Max Length = 7</t>
        </r>
      </text>
    </comment>
    <comment ref="P12" authorId="1" shapeId="0" xr:uid="{CE8FF58A-882E-415A-954C-B33BE4727640}">
      <text>
        <r>
          <rPr>
            <b/>
            <i/>
            <sz val="9"/>
            <color indexed="81"/>
            <rFont val="Tahoma"/>
            <family val="2"/>
          </rPr>
          <t xml:space="preserve">Conditional
</t>
        </r>
        <r>
          <rPr>
            <b/>
            <sz val="9"/>
            <color indexed="81"/>
            <rFont val="Tahoma"/>
            <family val="2"/>
          </rPr>
          <t>String
Max Length = 3000</t>
        </r>
      </text>
    </comment>
    <comment ref="Q12" authorId="1" shapeId="0" xr:uid="{37EC3530-6940-4733-9744-8BF0FC8422BD}">
      <text>
        <r>
          <rPr>
            <b/>
            <i/>
            <sz val="9"/>
            <color indexed="81"/>
            <rFont val="Tahoma"/>
            <family val="2"/>
          </rPr>
          <t xml:space="preserve">Conditional
</t>
        </r>
        <r>
          <rPr>
            <b/>
            <sz val="9"/>
            <color indexed="81"/>
            <rFont val="Tahoma"/>
            <family val="2"/>
          </rPr>
          <t>Numeric
Max Length = 10</t>
        </r>
      </text>
    </comment>
    <comment ref="R12" authorId="1" shapeId="0" xr:uid="{973661F4-3F0A-422B-8B94-AC1A9CC24D5D}">
      <text>
        <r>
          <rPr>
            <b/>
            <i/>
            <sz val="9"/>
            <color indexed="81"/>
            <rFont val="Tahoma"/>
            <family val="2"/>
          </rPr>
          <t xml:space="preserve">Conditional
</t>
        </r>
        <r>
          <rPr>
            <b/>
            <sz val="9"/>
            <color indexed="81"/>
            <rFont val="Tahoma"/>
            <family val="2"/>
          </rPr>
          <t>String
Max Length = 255</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Author</author>
    <author>Joe Comeau</author>
  </authors>
  <commentList>
    <comment ref="A10" authorId="0" shapeId="0" xr:uid="{A0102D9B-FE80-4EB9-A277-B00615C7AB76}">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1C5E8627-C1D4-4756-A396-E0181E3FB602}">
      <text>
        <r>
          <rPr>
            <b/>
            <i/>
            <sz val="9"/>
            <color indexed="81"/>
            <rFont val="Tahoma"/>
            <family val="2"/>
          </rPr>
          <t xml:space="preserve">Required
</t>
        </r>
        <r>
          <rPr>
            <b/>
            <sz val="9"/>
            <color indexed="81"/>
            <rFont val="Tahoma"/>
            <family val="2"/>
          </rPr>
          <t>String
Max Length = 80</t>
        </r>
        <r>
          <rPr>
            <sz val="9"/>
            <color indexed="81"/>
            <rFont val="Tahoma"/>
            <family val="2"/>
          </rPr>
          <t xml:space="preserve">
Name of the project.</t>
        </r>
      </text>
    </comment>
    <comment ref="D12" authorId="1" shapeId="0" xr:uid="{CBF1F03D-FD31-410D-BDA5-3BE08039F782}">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2D8749EC-F702-4C86-8B75-6E87A9DA3AB6}">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48DA94A0-CD24-46E1-9B3B-6706E45E1108}">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This includes single audit fees, and should correspond to what is listed in the Reporting &amp; Compliance form.</t>
        </r>
      </text>
    </comment>
    <comment ref="G12" authorId="1" shapeId="0" xr:uid="{AB477A4E-5CA0-45E6-82F1-F40EC1817B84}">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411601EC-9F68-426D-B217-13C34E5F74DE}">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TCE should be equal to the sum of cumulative expenditures from RIFANS across the entirety of the project. We have provided a tab with expenditures from RIFANS corresponding to the entire project period. </t>
        </r>
      </text>
    </comment>
    <comment ref="I12" authorId="1" shapeId="0" xr:uid="{19967966-0CDC-46AE-8432-3C91AFA96C6E}">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55D1889D-1885-41E8-BCEB-4CFEC3A0CD4D}">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 
This number should be equal to the sum of cumulative expenditures from RIFANS filtered (using col 'Physical Posted Date') to only those expenditures made on or after the start of this reporting period, and on or before the end of this reporting period.</t>
        </r>
      </text>
    </comment>
    <comment ref="K12" authorId="1" shapeId="0" xr:uid="{2FD6D79F-2224-4BE8-ABBE-8128E03AD2B5}">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CF8C659B-6395-485D-BC69-3C3A8DC28EE9}">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3D4DFCF3-AA7E-4329-B220-250CA0326DDC}">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1" shapeId="0" xr:uid="{56054D79-CDE9-4D8C-A23E-34583800CCF7}">
      <text>
        <r>
          <rPr>
            <b/>
            <i/>
            <sz val="9"/>
            <color indexed="81"/>
            <rFont val="Tahoma"/>
            <family val="2"/>
          </rPr>
          <t xml:space="preserve">Conditional
</t>
        </r>
        <r>
          <rPr>
            <b/>
            <sz val="9"/>
            <color indexed="81"/>
            <rFont val="Tahoma"/>
            <family val="2"/>
          </rPr>
          <t>Date
mm/dd/yyyy</t>
        </r>
      </text>
    </comment>
    <comment ref="O12" authorId="1" shapeId="0" xr:uid="{674BACDE-7516-429C-A23C-0109C0370992}">
      <text>
        <r>
          <rPr>
            <b/>
            <i/>
            <sz val="9"/>
            <color indexed="81"/>
            <rFont val="Tahoma"/>
            <family val="2"/>
          </rPr>
          <t xml:space="preserve">Conditional
</t>
        </r>
        <r>
          <rPr>
            <b/>
            <sz val="9"/>
            <color indexed="81"/>
            <rFont val="Tahoma"/>
            <family val="2"/>
          </rPr>
          <t>Date
mm/dd/yyyy</t>
        </r>
      </text>
    </comment>
    <comment ref="P12" authorId="1" shapeId="0" xr:uid="{1F39B660-588A-4220-983D-C4E462587527}">
      <text>
        <r>
          <rPr>
            <b/>
            <i/>
            <sz val="9"/>
            <color indexed="81"/>
            <rFont val="Tahoma"/>
            <family val="2"/>
          </rPr>
          <t xml:space="preserve">Conditional
</t>
        </r>
        <r>
          <rPr>
            <b/>
            <sz val="9"/>
            <color indexed="81"/>
            <rFont val="Tahoma"/>
            <family val="2"/>
          </rPr>
          <t>Pick List
Max Length = N/A</t>
        </r>
      </text>
    </comment>
    <comment ref="Q12" authorId="1" shapeId="0" xr:uid="{F41E2E25-6C28-414C-86EA-B5CA8B25547B}">
      <text>
        <r>
          <rPr>
            <b/>
            <i/>
            <sz val="9"/>
            <color indexed="81"/>
            <rFont val="Tahoma"/>
            <family val="2"/>
          </rPr>
          <t xml:space="preserve">Conditional
</t>
        </r>
        <r>
          <rPr>
            <b/>
            <sz val="9"/>
            <color indexed="81"/>
            <rFont val="Tahoma"/>
            <family val="2"/>
          </rPr>
          <t>String
Max Length = 255</t>
        </r>
      </text>
    </comment>
    <comment ref="R12" authorId="1" shapeId="0" xr:uid="{DD23A006-D612-4236-BCE4-D8ECF298112B}">
      <text>
        <r>
          <rPr>
            <b/>
            <i/>
            <sz val="9"/>
            <color indexed="81"/>
            <rFont val="Tahoma"/>
            <family val="2"/>
          </rPr>
          <t xml:space="preserve">Required if Budget &gt; $10M
</t>
        </r>
        <r>
          <rPr>
            <b/>
            <sz val="9"/>
            <color indexed="81"/>
            <rFont val="Tahoma"/>
            <family val="2"/>
          </rPr>
          <t>Pick List
Max Length = N/A</t>
        </r>
      </text>
    </comment>
    <comment ref="V12" authorId="1" shapeId="0" xr:uid="{E76117E7-3202-4464-A350-C65FCEF1B3CD}">
      <text>
        <r>
          <rPr>
            <b/>
            <i/>
            <sz val="9"/>
            <color indexed="81"/>
            <rFont val="Tahoma"/>
            <family val="2"/>
          </rPr>
          <t xml:space="preserve">Required if DB is No
</t>
        </r>
        <r>
          <rPr>
            <b/>
            <sz val="9"/>
            <color indexed="81"/>
            <rFont val="Tahoma"/>
            <family val="2"/>
          </rPr>
          <t>Pick List
Max Length = N/A</t>
        </r>
      </text>
    </comment>
    <comment ref="W12" authorId="1" shapeId="0" xr:uid="{2E4C9E8C-2966-4F39-89FB-5A699FCF6DE6}">
      <text>
        <r>
          <rPr>
            <b/>
            <i/>
            <sz val="9"/>
            <color indexed="81"/>
            <rFont val="Tahoma"/>
            <family val="2"/>
          </rPr>
          <t xml:space="preserve">Required if Budget &gt; $10M
</t>
        </r>
        <r>
          <rPr>
            <b/>
            <sz val="9"/>
            <color indexed="81"/>
            <rFont val="Tahoma"/>
            <family val="2"/>
          </rPr>
          <t>Pick List
Max Length = N/A</t>
        </r>
      </text>
    </comment>
    <comment ref="AA12" authorId="1" shapeId="0" xr:uid="{BA5ADB43-EA09-4B4C-B905-F9F07AB38E4D}">
      <text>
        <r>
          <rPr>
            <b/>
            <i/>
            <sz val="9"/>
            <color indexed="81"/>
            <rFont val="Tahoma"/>
            <family val="2"/>
          </rPr>
          <t xml:space="preserve">Required if PLA is No
</t>
        </r>
        <r>
          <rPr>
            <b/>
            <sz val="9"/>
            <color indexed="81"/>
            <rFont val="Tahoma"/>
            <family val="2"/>
          </rPr>
          <t>Pick List
Max Length = N/A</t>
        </r>
      </text>
    </comment>
    <comment ref="AB12" authorId="1" shapeId="0" xr:uid="{9D6444A1-EC8A-43C7-80B3-E21E061B3ACB}">
      <text>
        <r>
          <rPr>
            <b/>
            <i/>
            <sz val="9"/>
            <color indexed="81"/>
            <rFont val="Tahoma"/>
            <family val="2"/>
          </rPr>
          <t xml:space="preserve">Required if PLA is No
</t>
        </r>
        <r>
          <rPr>
            <b/>
            <sz val="9"/>
            <color indexed="81"/>
            <rFont val="Tahoma"/>
            <family val="2"/>
          </rPr>
          <t>Pick List
Max Length = N/A</t>
        </r>
      </text>
    </comment>
    <comment ref="AC12" authorId="1" shapeId="0" xr:uid="{232E4667-71CA-48A7-BE29-A9DF7D7873A3}">
      <text>
        <r>
          <rPr>
            <b/>
            <i/>
            <sz val="9"/>
            <color indexed="81"/>
            <rFont val="Tahoma"/>
            <family val="2"/>
          </rPr>
          <t xml:space="preserve">Required if Budget &gt; $10M
</t>
        </r>
        <r>
          <rPr>
            <b/>
            <sz val="9"/>
            <color indexed="81"/>
            <rFont val="Tahoma"/>
            <family val="2"/>
          </rPr>
          <t>Pick List
Max Length = N/A</t>
        </r>
      </text>
    </comment>
    <comment ref="AD12" authorId="1" shapeId="0" xr:uid="{2F71ED65-40FF-478F-AC29-E0C0ADA8EC9B}">
      <text>
        <r>
          <rPr>
            <b/>
            <i/>
            <sz val="9"/>
            <color indexed="81"/>
            <rFont val="Tahoma"/>
            <family val="2"/>
          </rPr>
          <t xml:space="preserve">Required if Budget &gt; $10M
</t>
        </r>
        <r>
          <rPr>
            <b/>
            <sz val="9"/>
            <color indexed="81"/>
            <rFont val="Tahoma"/>
            <family val="2"/>
          </rPr>
          <t>Pick List
Max Length = N/A</t>
        </r>
      </text>
    </comment>
    <comment ref="AF12" authorId="1" shapeId="0" xr:uid="{E9BB9F78-5A88-4E4E-B978-8EE9E0CF11F3}">
      <text>
        <r>
          <rPr>
            <b/>
            <i/>
            <sz val="9"/>
            <color indexed="81"/>
            <rFont val="Tahoma"/>
            <family val="2"/>
          </rPr>
          <t xml:space="preserve">Conditional
</t>
        </r>
        <r>
          <rPr>
            <b/>
            <sz val="9"/>
            <color indexed="81"/>
            <rFont val="Tahoma"/>
            <family val="2"/>
          </rPr>
          <t>String
Max Length = 50</t>
        </r>
      </text>
    </comment>
    <comment ref="AG12" authorId="1" shapeId="0" xr:uid="{E3D4FB8D-5BD4-46FF-B6AB-85344D3F31F6}">
      <text>
        <r>
          <rPr>
            <b/>
            <i/>
            <sz val="9"/>
            <color indexed="81"/>
            <rFont val="Tahoma"/>
            <family val="2"/>
          </rPr>
          <t xml:space="preserve">Conditional
</t>
        </r>
        <r>
          <rPr>
            <b/>
            <sz val="9"/>
            <color indexed="81"/>
            <rFont val="Tahoma"/>
            <family val="2"/>
          </rPr>
          <t>String
Max Length = 50</t>
        </r>
      </text>
    </comment>
    <comment ref="AH12" authorId="1" shapeId="0" xr:uid="{7FB3B7B3-511D-467C-BB2C-875CD0DC0467}">
      <text>
        <r>
          <rPr>
            <b/>
            <i/>
            <sz val="9"/>
            <color indexed="81"/>
            <rFont val="Tahoma"/>
            <family val="2"/>
          </rPr>
          <t xml:space="preserve">Required
</t>
        </r>
        <r>
          <rPr>
            <b/>
            <sz val="9"/>
            <color indexed="81"/>
            <rFont val="Tahoma"/>
            <family val="2"/>
          </rPr>
          <t>Pick List
Max Length = N/A</t>
        </r>
      </text>
    </comment>
    <comment ref="AI12" authorId="1" shapeId="0" xr:uid="{0CB98369-B4CB-4F9B-A5E3-10A8C874B8ED}">
      <text>
        <r>
          <rPr>
            <b/>
            <i/>
            <sz val="9"/>
            <color indexed="81"/>
            <rFont val="Tahoma"/>
            <family val="2"/>
          </rPr>
          <t xml:space="preserve">Conditional
</t>
        </r>
        <r>
          <rPr>
            <b/>
            <sz val="9"/>
            <color indexed="81"/>
            <rFont val="Tahoma"/>
            <family val="2"/>
          </rPr>
          <t>String
Max Length = 1500</t>
        </r>
      </text>
    </comment>
    <comment ref="AJ12" authorId="1" shapeId="0" xr:uid="{CEEC0246-9588-4542-B14C-1F11F9D9F03F}">
      <text>
        <r>
          <rPr>
            <b/>
            <i/>
            <sz val="9"/>
            <color indexed="81"/>
            <rFont val="Tahoma"/>
            <family val="2"/>
          </rPr>
          <t xml:space="preserve">Conditional
</t>
        </r>
        <r>
          <rPr>
            <b/>
            <sz val="9"/>
            <color indexed="81"/>
            <rFont val="Tahoma"/>
            <family val="2"/>
          </rPr>
          <t>Pick List
Max Length = N/A</t>
        </r>
      </text>
    </comment>
    <comment ref="AK12" authorId="1" shapeId="0" xr:uid="{CEB1968F-E64C-4F86-BDC6-ED6275E0FD9F}">
      <text>
        <r>
          <rPr>
            <b/>
            <i/>
            <sz val="9"/>
            <color indexed="81"/>
            <rFont val="Tahoma"/>
            <family val="2"/>
          </rPr>
          <t xml:space="preserve">Conditional
</t>
        </r>
        <r>
          <rPr>
            <b/>
            <sz val="9"/>
            <color indexed="81"/>
            <rFont val="Tahoma"/>
            <family val="2"/>
          </rPr>
          <t>Currency
Max Length = 12,2</t>
        </r>
      </text>
    </comment>
    <comment ref="AL12" authorId="1" shapeId="0" xr:uid="{432FD677-A3E8-4A8F-BD9D-0B711DECA736}">
      <text>
        <r>
          <rPr>
            <b/>
            <i/>
            <sz val="9"/>
            <color indexed="81"/>
            <rFont val="Tahoma"/>
            <family val="2"/>
          </rPr>
          <t xml:space="preserve">Conditional
</t>
        </r>
        <r>
          <rPr>
            <b/>
            <sz val="9"/>
            <color indexed="81"/>
            <rFont val="Tahoma"/>
            <family val="2"/>
          </rPr>
          <t>Currency
Max Length = 12,2</t>
        </r>
      </text>
    </comment>
    <comment ref="AM12" authorId="1" shapeId="0" xr:uid="{56414474-4906-4CE0-9573-7B0F27149845}">
      <text>
        <r>
          <rPr>
            <b/>
            <i/>
            <sz val="9"/>
            <color indexed="81"/>
            <rFont val="Tahoma"/>
            <family val="2"/>
          </rPr>
          <t xml:space="preserve">Conditional
</t>
        </r>
        <r>
          <rPr>
            <b/>
            <sz val="9"/>
            <color indexed="81"/>
            <rFont val="Tahoma"/>
            <family val="2"/>
          </rPr>
          <t>Pick List
Max Length = N/A</t>
        </r>
      </text>
    </comment>
    <comment ref="AN12" authorId="1" shapeId="0" xr:uid="{2487C04B-078C-40ED-B7FB-4FCF895A0E04}">
      <text>
        <r>
          <rPr>
            <b/>
            <i/>
            <sz val="9"/>
            <color indexed="81"/>
            <rFont val="Tahoma"/>
            <family val="2"/>
          </rPr>
          <t xml:space="preserve">Required
</t>
        </r>
        <r>
          <rPr>
            <b/>
            <sz val="9"/>
            <color indexed="81"/>
            <rFont val="Tahoma"/>
            <family val="2"/>
          </rPr>
          <t>Pick List
Max Length = N/A</t>
        </r>
      </text>
    </comment>
    <comment ref="AO12" authorId="1" shapeId="0" xr:uid="{7BEF1783-4743-4860-BF3B-325CF2FAD032}">
      <text>
        <r>
          <rPr>
            <b/>
            <i/>
            <sz val="9"/>
            <color indexed="81"/>
            <rFont val="Tahoma"/>
            <family val="2"/>
          </rPr>
          <t xml:space="preserve">Conditional
</t>
        </r>
        <r>
          <rPr>
            <b/>
            <sz val="9"/>
            <color indexed="81"/>
            <rFont val="Tahoma"/>
            <family val="2"/>
          </rPr>
          <t>String
Max Length = 250</t>
        </r>
      </text>
    </comment>
    <comment ref="AP12" authorId="1" shapeId="0" xr:uid="{1A3E8D61-11B7-4CA3-93C2-6F4AF24DB4B0}">
      <text>
        <r>
          <rPr>
            <b/>
            <i/>
            <sz val="9"/>
            <color indexed="81"/>
            <rFont val="Tahoma"/>
            <family val="2"/>
          </rPr>
          <t xml:space="preserve">Conditional
</t>
        </r>
        <r>
          <rPr>
            <b/>
            <sz val="9"/>
            <color indexed="81"/>
            <rFont val="Tahoma"/>
            <family val="2"/>
          </rPr>
          <t>Pick List
Max Length = N/A</t>
        </r>
      </text>
    </comment>
    <comment ref="AQ12" authorId="1" shapeId="0" xr:uid="{442FAC78-537F-40C8-8695-05F6D7304D8B}">
      <text>
        <r>
          <rPr>
            <b/>
            <i/>
            <sz val="9"/>
            <color indexed="81"/>
            <rFont val="Tahoma"/>
            <family val="2"/>
          </rPr>
          <t xml:space="preserve">Conditional
</t>
        </r>
        <r>
          <rPr>
            <b/>
            <sz val="9"/>
            <color indexed="81"/>
            <rFont val="Tahoma"/>
            <family val="2"/>
          </rPr>
          <t>String
Max Length = 250</t>
        </r>
      </text>
    </comment>
    <comment ref="AR12" authorId="1" shapeId="0" xr:uid="{B54584E9-A50C-4897-A0E3-8A67185DC619}">
      <text>
        <r>
          <rPr>
            <b/>
            <i/>
            <sz val="9"/>
            <color indexed="81"/>
            <rFont val="Tahoma"/>
            <family val="2"/>
          </rPr>
          <t xml:space="preserve">Required
</t>
        </r>
        <r>
          <rPr>
            <b/>
            <sz val="9"/>
            <color indexed="81"/>
            <rFont val="Tahoma"/>
            <family val="2"/>
          </rPr>
          <t>Numeric
Max Length = 10</t>
        </r>
      </text>
    </comment>
    <comment ref="AS12" authorId="1" shapeId="0" xr:uid="{5ABB7F0F-D051-40D4-8C09-8D31239CA37E}">
      <text>
        <r>
          <rPr>
            <b/>
            <i/>
            <sz val="9"/>
            <color indexed="81"/>
            <rFont val="Tahoma"/>
            <family val="2"/>
          </rPr>
          <t xml:space="preserve">Conditional
</t>
        </r>
        <r>
          <rPr>
            <b/>
            <sz val="9"/>
            <color indexed="81"/>
            <rFont val="Tahoma"/>
            <family val="2"/>
          </rPr>
          <t>Numeric
Max Length = 10</t>
        </r>
      </text>
    </comment>
    <comment ref="AT12" authorId="1" shapeId="0" xr:uid="{E9697C99-2ADC-492A-9927-B913B3285E96}">
      <text>
        <r>
          <rPr>
            <b/>
            <i/>
            <sz val="9"/>
            <color indexed="81"/>
            <rFont val="Tahoma"/>
            <family val="2"/>
          </rPr>
          <t xml:space="preserve">Required
</t>
        </r>
        <r>
          <rPr>
            <b/>
            <sz val="9"/>
            <color indexed="81"/>
            <rFont val="Tahoma"/>
            <family val="2"/>
          </rPr>
          <t>Numeric
Max Length = 10</t>
        </r>
      </text>
    </comment>
    <comment ref="AU12" authorId="1" shapeId="0" xr:uid="{977CE420-24D9-4BFC-8537-CB27528A6971}">
      <text>
        <r>
          <rPr>
            <b/>
            <i/>
            <sz val="9"/>
            <color indexed="81"/>
            <rFont val="Tahoma"/>
            <family val="2"/>
          </rPr>
          <t xml:space="preserve">Conditional
</t>
        </r>
        <r>
          <rPr>
            <b/>
            <sz val="9"/>
            <color indexed="81"/>
            <rFont val="Tahoma"/>
            <family val="2"/>
          </rPr>
          <t>Numeric
Max Length = 10</t>
        </r>
      </text>
    </comment>
    <comment ref="AV12" authorId="1" shapeId="0" xr:uid="{386483C2-E955-41FC-BB8B-50C88FA9FA2F}">
      <text>
        <r>
          <rPr>
            <b/>
            <i/>
            <sz val="9"/>
            <color indexed="81"/>
            <rFont val="Tahoma"/>
            <family val="2"/>
          </rPr>
          <t xml:space="preserve">Required
</t>
        </r>
        <r>
          <rPr>
            <b/>
            <sz val="9"/>
            <color indexed="81"/>
            <rFont val="Tahoma"/>
            <family val="2"/>
          </rPr>
          <t>Numeric
Max Length = 10</t>
        </r>
      </text>
    </comment>
    <comment ref="AW12" authorId="1" shapeId="0" xr:uid="{0CC010E1-296E-4F43-AC58-FA460E7FD3B7}">
      <text>
        <r>
          <rPr>
            <b/>
            <i/>
            <sz val="9"/>
            <color indexed="81"/>
            <rFont val="Tahoma"/>
            <family val="2"/>
          </rPr>
          <t xml:space="preserve">Required
</t>
        </r>
        <r>
          <rPr>
            <b/>
            <sz val="9"/>
            <color indexed="81"/>
            <rFont val="Tahoma"/>
            <family val="2"/>
          </rPr>
          <t>Numeric
Max Length = 10</t>
        </r>
      </text>
    </comment>
    <comment ref="AX12" authorId="1" shapeId="0" xr:uid="{8A9D3BC0-A5D8-4B71-9203-1C6E121BE716}">
      <text>
        <r>
          <rPr>
            <b/>
            <i/>
            <sz val="9"/>
            <color indexed="81"/>
            <rFont val="Tahoma"/>
            <family val="2"/>
          </rPr>
          <t xml:space="preserve">Conditional
</t>
        </r>
        <r>
          <rPr>
            <b/>
            <sz val="9"/>
            <color indexed="81"/>
            <rFont val="Tahoma"/>
            <family val="2"/>
          </rPr>
          <t>Numeric
Max Length = 10</t>
        </r>
      </text>
    </comment>
    <comment ref="AY12" authorId="1" shapeId="0" xr:uid="{CFCD7A59-75C2-4B0C-B5A5-11ADC2A64F97}">
      <text>
        <r>
          <rPr>
            <b/>
            <i/>
            <sz val="9"/>
            <color indexed="81"/>
            <rFont val="Tahoma"/>
            <family val="2"/>
          </rPr>
          <t xml:space="preserve">Conditional
</t>
        </r>
        <r>
          <rPr>
            <b/>
            <sz val="9"/>
            <color indexed="81"/>
            <rFont val="Tahoma"/>
            <family val="2"/>
          </rPr>
          <t>Numeric
Max Length = 10</t>
        </r>
      </text>
    </comment>
    <comment ref="AZ12" authorId="1" shapeId="0" xr:uid="{A42120DF-ED7B-4F7A-A4B7-6487ACC684C8}">
      <text>
        <r>
          <rPr>
            <b/>
            <i/>
            <sz val="9"/>
            <color indexed="81"/>
            <rFont val="Tahoma"/>
            <family val="2"/>
          </rPr>
          <t xml:space="preserve">Required
</t>
        </r>
        <r>
          <rPr>
            <b/>
            <sz val="9"/>
            <color indexed="81"/>
            <rFont val="Tahoma"/>
            <family val="2"/>
          </rPr>
          <t>Numeric
Max Length = 10</t>
        </r>
      </text>
    </comment>
    <comment ref="BA12" authorId="1" shapeId="0" xr:uid="{72FC712C-C4A4-478A-84AE-970C41C133EE}">
      <text>
        <r>
          <rPr>
            <b/>
            <i/>
            <sz val="9"/>
            <color indexed="81"/>
            <rFont val="Tahoma"/>
            <family val="2"/>
          </rPr>
          <t xml:space="preserve">Conditional
</t>
        </r>
        <r>
          <rPr>
            <b/>
            <sz val="9"/>
            <color indexed="81"/>
            <rFont val="Tahoma"/>
            <family val="2"/>
          </rPr>
          <t>Numeric
Max Length = 10</t>
        </r>
      </text>
    </comment>
    <comment ref="BB12" authorId="1" shapeId="0" xr:uid="{3E77657B-079A-47C3-8970-718B2B5BF926}">
      <text>
        <r>
          <rPr>
            <b/>
            <i/>
            <sz val="9"/>
            <color indexed="81"/>
            <rFont val="Tahoma"/>
            <family val="2"/>
          </rPr>
          <t xml:space="preserve">Required
</t>
        </r>
        <r>
          <rPr>
            <b/>
            <sz val="9"/>
            <color indexed="81"/>
            <rFont val="Tahoma"/>
            <family val="2"/>
          </rPr>
          <t>Numeric
Max Length = 10</t>
        </r>
      </text>
    </comment>
    <comment ref="BC12" authorId="1" shapeId="0" xr:uid="{C5CCA64A-B7C6-4795-9CD8-56531903EE9D}">
      <text>
        <r>
          <rPr>
            <b/>
            <i/>
            <sz val="9"/>
            <color indexed="81"/>
            <rFont val="Tahoma"/>
            <family val="2"/>
          </rPr>
          <t xml:space="preserve">Conditional
</t>
        </r>
        <r>
          <rPr>
            <b/>
            <sz val="9"/>
            <color indexed="81"/>
            <rFont val="Tahoma"/>
            <family val="2"/>
          </rPr>
          <t>Numeric
Max Length = 10</t>
        </r>
      </text>
    </comment>
    <comment ref="BD12" authorId="1" shapeId="0" xr:uid="{F2D61F3A-A8BC-44CC-A7D1-8DC4DCA7C6E8}">
      <text>
        <r>
          <rPr>
            <b/>
            <i/>
            <sz val="9"/>
            <color indexed="81"/>
            <rFont val="Tahoma"/>
            <family val="2"/>
          </rPr>
          <t xml:space="preserve">Required
</t>
        </r>
        <r>
          <rPr>
            <b/>
            <sz val="9"/>
            <color indexed="81"/>
            <rFont val="Tahoma"/>
            <family val="2"/>
          </rPr>
          <t>Numeric
Max Length = 10</t>
        </r>
      </text>
    </comment>
    <comment ref="BE12" authorId="1" shapeId="0" xr:uid="{6E5A403D-730E-4835-A579-CE1A7604739B}">
      <text>
        <r>
          <rPr>
            <b/>
            <i/>
            <sz val="9"/>
            <color indexed="81"/>
            <rFont val="Tahoma"/>
            <family val="2"/>
          </rPr>
          <t xml:space="preserve">Conditional
</t>
        </r>
        <r>
          <rPr>
            <b/>
            <sz val="9"/>
            <color indexed="81"/>
            <rFont val="Tahoma"/>
            <family val="2"/>
          </rPr>
          <t>Numeric
Max Length = 10</t>
        </r>
      </text>
    </comment>
    <comment ref="BF12" authorId="1" shapeId="0" xr:uid="{C0047891-61AA-4F32-8F1E-9F538385C69F}">
      <text>
        <r>
          <rPr>
            <b/>
            <i/>
            <sz val="9"/>
            <color indexed="81"/>
            <rFont val="Tahoma"/>
            <family val="2"/>
          </rPr>
          <t xml:space="preserve">Required
</t>
        </r>
        <r>
          <rPr>
            <b/>
            <sz val="9"/>
            <color indexed="81"/>
            <rFont val="Tahoma"/>
            <family val="2"/>
          </rPr>
          <t>Numeric
Max Length = 10</t>
        </r>
      </text>
    </comment>
    <comment ref="BG12" authorId="1" shapeId="0" xr:uid="{A4270FCC-8904-4782-B699-69DAB7009F66}">
      <text>
        <r>
          <rPr>
            <b/>
            <i/>
            <sz val="9"/>
            <color indexed="81"/>
            <rFont val="Tahoma"/>
            <family val="2"/>
          </rPr>
          <t xml:space="preserve">Conditional
</t>
        </r>
        <r>
          <rPr>
            <b/>
            <sz val="9"/>
            <color indexed="81"/>
            <rFont val="Tahoma"/>
            <family val="2"/>
          </rPr>
          <t>Numeric
Max Length = 10</t>
        </r>
      </text>
    </comment>
    <comment ref="BH12" authorId="1" shapeId="0" xr:uid="{5A0ABD09-4881-4179-B9CD-3F872138B658}">
      <text>
        <r>
          <rPr>
            <b/>
            <i/>
            <sz val="9"/>
            <color indexed="81"/>
            <rFont val="Tahoma"/>
            <family val="2"/>
          </rPr>
          <t xml:space="preserve">Required
</t>
        </r>
        <r>
          <rPr>
            <b/>
            <sz val="9"/>
            <color indexed="81"/>
            <rFont val="Tahoma"/>
            <family val="2"/>
          </rPr>
          <t>Numeric
Max Length = 10</t>
        </r>
      </text>
    </comment>
    <comment ref="BI12" authorId="1" shapeId="0" xr:uid="{D68BDF3B-240B-4CE0-AEA0-A683108842D5}">
      <text>
        <r>
          <rPr>
            <b/>
            <i/>
            <sz val="9"/>
            <color indexed="81"/>
            <rFont val="Tahoma"/>
            <family val="2"/>
          </rPr>
          <t xml:space="preserve">Conditional
</t>
        </r>
        <r>
          <rPr>
            <b/>
            <sz val="9"/>
            <color indexed="81"/>
            <rFont val="Tahoma"/>
            <family val="2"/>
          </rPr>
          <t>Numeric
Max Length = 10</t>
        </r>
      </text>
    </comment>
    <comment ref="BJ12" authorId="1" shapeId="0" xr:uid="{4BF54264-D0CE-4E94-ABEF-35DD6C80DA22}">
      <text>
        <r>
          <rPr>
            <b/>
            <i/>
            <sz val="9"/>
            <color indexed="81"/>
            <rFont val="Tahoma"/>
            <family val="2"/>
          </rPr>
          <t xml:space="preserve">Required
</t>
        </r>
        <r>
          <rPr>
            <b/>
            <sz val="9"/>
            <color indexed="81"/>
            <rFont val="Tahoma"/>
            <family val="2"/>
          </rPr>
          <t>Numeric
Max Length = 10</t>
        </r>
      </text>
    </comment>
    <comment ref="BK12" authorId="1" shapeId="0" xr:uid="{6852D295-09F4-41A8-9181-A1068318E1FB}">
      <text>
        <r>
          <rPr>
            <b/>
            <i/>
            <sz val="9"/>
            <color indexed="81"/>
            <rFont val="Tahoma"/>
            <family val="2"/>
          </rPr>
          <t xml:space="preserve">Conditional
</t>
        </r>
        <r>
          <rPr>
            <b/>
            <sz val="9"/>
            <color indexed="81"/>
            <rFont val="Tahoma"/>
            <family val="2"/>
          </rPr>
          <t>Numeric
Max Length = 10</t>
        </r>
      </text>
    </comment>
    <comment ref="BL12" authorId="1" shapeId="0" xr:uid="{37430D4B-F133-42C0-BEB7-CD90CCAA2371}">
      <text>
        <r>
          <rPr>
            <b/>
            <i/>
            <sz val="9"/>
            <color indexed="81"/>
            <rFont val="Tahoma"/>
            <family val="2"/>
          </rPr>
          <t xml:space="preserve">Conditional
</t>
        </r>
        <r>
          <rPr>
            <b/>
            <sz val="9"/>
            <color indexed="81"/>
            <rFont val="Tahoma"/>
            <family val="2"/>
          </rPr>
          <t>String
Max Length = 250</t>
        </r>
      </text>
    </comment>
    <comment ref="BM12" authorId="1" shapeId="0" xr:uid="{B873DC28-7C6A-41BD-ABBF-D4A19657E1AD}">
      <text>
        <r>
          <rPr>
            <b/>
            <i/>
            <sz val="9"/>
            <color indexed="81"/>
            <rFont val="Tahoma"/>
            <family val="2"/>
          </rPr>
          <t xml:space="preserve">Conditional
</t>
        </r>
        <r>
          <rPr>
            <b/>
            <sz val="9"/>
            <color indexed="81"/>
            <rFont val="Tahoma"/>
            <family val="2"/>
          </rPr>
          <t>String
Max Length = 250</t>
        </r>
      </text>
    </comment>
    <comment ref="BN12" authorId="1" shapeId="0" xr:uid="{A9CEF717-B890-4E87-A66F-565386F409A0}">
      <text>
        <r>
          <rPr>
            <b/>
            <i/>
            <sz val="9"/>
            <color indexed="81"/>
            <rFont val="Tahoma"/>
            <family val="2"/>
          </rPr>
          <t xml:space="preserve">Conditional
</t>
        </r>
        <r>
          <rPr>
            <b/>
            <sz val="9"/>
            <color indexed="81"/>
            <rFont val="Tahoma"/>
            <family val="2"/>
          </rPr>
          <t>Pick List
Max Length = N/A</t>
        </r>
      </text>
    </comment>
    <comment ref="BO12" authorId="1" shapeId="0" xr:uid="{FDF15EF5-C565-4FB7-8654-BCF454459188}">
      <text>
        <r>
          <rPr>
            <b/>
            <i/>
            <sz val="9"/>
            <color indexed="81"/>
            <rFont val="Tahoma"/>
            <family val="2"/>
          </rPr>
          <t xml:space="preserve">Conditional
</t>
        </r>
        <r>
          <rPr>
            <b/>
            <sz val="9"/>
            <color indexed="81"/>
            <rFont val="Tahoma"/>
            <family val="2"/>
          </rPr>
          <t>String
Max Length = 255</t>
        </r>
      </text>
    </comment>
    <comment ref="BP12" authorId="1" shapeId="0" xr:uid="{3EBB4F6E-9578-44D3-830B-ED68B4C1FFF5}">
      <text>
        <r>
          <rPr>
            <b/>
            <i/>
            <sz val="9"/>
            <color indexed="81"/>
            <rFont val="Tahoma"/>
            <family val="2"/>
          </rPr>
          <t xml:space="preserve">Conditional
</t>
        </r>
        <r>
          <rPr>
            <b/>
            <sz val="9"/>
            <color indexed="81"/>
            <rFont val="Tahoma"/>
            <family val="2"/>
          </rPr>
          <t>String
Max Length = 1500</t>
        </r>
        <r>
          <rPr>
            <sz val="9"/>
            <color indexed="81"/>
            <rFont val="Tahoma"/>
            <family val="2"/>
          </rPr>
          <t xml:space="preserve">
REQUIRED if the sum of broadband speed types does not equal total number of funded locations served.</t>
        </r>
      </text>
    </comment>
    <comment ref="BQ12" authorId="1" shapeId="0" xr:uid="{AE567879-E533-41F3-8171-D347520F420B}">
      <text>
        <r>
          <rPr>
            <b/>
            <i/>
            <sz val="9"/>
            <color indexed="81"/>
            <rFont val="Tahoma"/>
            <family val="2"/>
          </rPr>
          <t xml:space="preserve">Conditional
</t>
        </r>
        <r>
          <rPr>
            <b/>
            <sz val="9"/>
            <color indexed="81"/>
            <rFont val="Tahoma"/>
            <family val="2"/>
          </rPr>
          <t>String
Max Length = 1500</t>
        </r>
        <r>
          <rPr>
            <sz val="9"/>
            <color indexed="81"/>
            <rFont val="Tahoma"/>
            <family val="2"/>
          </rPr>
          <t xml:space="preserve">
REQUIRED if the sum of broadband speed types does not equal total number of funded locations served.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Author</author>
    <author>Joe Comeau</author>
  </authors>
  <commentList>
    <comment ref="A10" authorId="0" shapeId="0" xr:uid="{182B3CEE-D5A8-49D8-9657-A49E1E10C8B8}">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07A349F9-085A-4A02-92E3-5099E0ACBEDB}">
      <text>
        <r>
          <rPr>
            <b/>
            <i/>
            <sz val="9"/>
            <color indexed="81"/>
            <rFont val="Tahoma"/>
            <family val="2"/>
          </rPr>
          <t xml:space="preserve">Required
</t>
        </r>
        <r>
          <rPr>
            <b/>
            <sz val="9"/>
            <color indexed="81"/>
            <rFont val="Tahoma"/>
            <family val="2"/>
          </rPr>
          <t>String
Max Length = 80</t>
        </r>
        <r>
          <rPr>
            <sz val="9"/>
            <color indexed="81"/>
            <rFont val="Tahoma"/>
            <family val="2"/>
          </rPr>
          <t xml:space="preserve">
Name of the project. HI JILL.</t>
        </r>
      </text>
    </comment>
    <comment ref="D12" authorId="1" shapeId="0" xr:uid="{008B30A6-0724-47E4-92D8-911DCAC63154}">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22141D0E-29D7-49D2-A346-9D9E3A5101D1}">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9EBB1EA9-A6CB-4C10-BA66-4F9D83698582}">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This includes single audit fees, and should correspond to what is listed in the Reporting &amp; Compliance form.</t>
        </r>
      </text>
    </comment>
    <comment ref="G12" authorId="1" shapeId="0" xr:uid="{F7E55388-60BA-4A02-B03C-9E5A89E00713}">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E592AD3F-AEBE-49D9-87C4-049E41A26F86}">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TCE should be equal to the sum of cumulative expenditures from RIFANS across the entirety of the project. We have provided a tab with expenditures from RIFANS corresponding to the entire project period. </t>
        </r>
      </text>
    </comment>
    <comment ref="I12" authorId="1" shapeId="0" xr:uid="{F1976EC8-2D06-441D-8DE9-F86038118F44}">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BAE7F9A3-C02B-4490-A2A3-74E09705C21B}">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 
This number should be equal to the sum of cumulative expenditures from RIFANS filtered (using col 'Physical Posted Date') to only those expenditures made on or after the start of this reporting period, and on or before the end of this reporting period.</t>
        </r>
      </text>
    </comment>
    <comment ref="K12" authorId="1" shapeId="0" xr:uid="{290FA314-E68A-4822-BB79-6ACD8AEB0719}">
      <text>
        <r>
          <rPr>
            <b/>
            <i/>
            <sz val="9"/>
            <color indexed="81"/>
            <rFont val="Tahoma"/>
            <family val="2"/>
          </rPr>
          <t xml:space="preserve">Conditional
</t>
        </r>
        <r>
          <rPr>
            <b/>
            <sz val="9"/>
            <color indexed="81"/>
            <rFont val="Tahoma"/>
            <family val="2"/>
          </rPr>
          <t>Pick List
Max Length = N/A</t>
        </r>
      </text>
    </comment>
    <comment ref="L12" authorId="1" shapeId="0" xr:uid="{A1072F0F-1137-4C03-B66E-2C6F55E40503}">
      <text>
        <r>
          <rPr>
            <b/>
            <i/>
            <sz val="9"/>
            <color indexed="81"/>
            <rFont val="Tahoma"/>
            <family val="2"/>
          </rPr>
          <t xml:space="preserve">Conditional
</t>
        </r>
        <r>
          <rPr>
            <b/>
            <sz val="9"/>
            <color indexed="81"/>
            <rFont val="Tahoma"/>
            <family val="2"/>
          </rPr>
          <t>Currency
Max Length = 12,2</t>
        </r>
      </text>
    </comment>
    <comment ref="M12" authorId="1" shapeId="0" xr:uid="{D61F5603-7E53-4881-B0F8-99D14728B2BE}">
      <text>
        <r>
          <rPr>
            <b/>
            <i/>
            <sz val="9"/>
            <color indexed="81"/>
            <rFont val="Tahoma"/>
            <family val="2"/>
          </rPr>
          <t xml:space="preserve">Conditional
</t>
        </r>
        <r>
          <rPr>
            <b/>
            <sz val="9"/>
            <color indexed="81"/>
            <rFont val="Tahoma"/>
            <family val="2"/>
          </rPr>
          <t>Pick List
Max Length = N/A</t>
        </r>
      </text>
    </comment>
    <comment ref="N12" authorId="1" shapeId="0" xr:uid="{6C9D7177-E1D5-455F-AFF2-37056229F9B2}">
      <text>
        <r>
          <rPr>
            <b/>
            <i/>
            <sz val="9"/>
            <color indexed="81"/>
            <rFont val="Tahoma"/>
            <family val="2"/>
          </rPr>
          <t xml:space="preserve">Conditional
</t>
        </r>
        <r>
          <rPr>
            <b/>
            <sz val="9"/>
            <color indexed="81"/>
            <rFont val="Tahoma"/>
            <family val="2"/>
          </rPr>
          <t>String
Max Length = 255</t>
        </r>
      </text>
    </comment>
    <comment ref="O12" authorId="1" shapeId="0" xr:uid="{8EA62728-20A3-45D5-ACFA-CD10353F3BF3}">
      <text>
        <r>
          <rPr>
            <b/>
            <i/>
            <sz val="9"/>
            <color indexed="81"/>
            <rFont val="Tahoma"/>
            <family val="2"/>
          </rPr>
          <t xml:space="preserve">Conditional
</t>
        </r>
        <r>
          <rPr>
            <b/>
            <sz val="9"/>
            <color indexed="81"/>
            <rFont val="Tahoma"/>
            <family val="2"/>
          </rPr>
          <t>String
Max Length = 1500</t>
        </r>
      </text>
    </comment>
    <comment ref="P12" authorId="1" shapeId="0" xr:uid="{3032C326-5582-435D-9062-27E73485961E}">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Q12" authorId="1" shapeId="0" xr:uid="{5F1DC9FC-3D08-4509-AE53-C995FD14E9C9}">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R12" authorId="1" shapeId="0" xr:uid="{F677BFEE-6A77-4C22-AEDD-C78BB3268DF1}">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S12" authorId="1" shapeId="0" xr:uid="{82568F4C-47B9-44C8-B43E-EE7E4166D3E8}">
      <text>
        <r>
          <rPr>
            <b/>
            <i/>
            <sz val="9"/>
            <color indexed="81"/>
            <rFont val="Tahoma"/>
            <family val="2"/>
          </rPr>
          <t xml:space="preserve">Conditional
</t>
        </r>
        <r>
          <rPr>
            <b/>
            <sz val="9"/>
            <color indexed="81"/>
            <rFont val="Tahoma"/>
            <family val="2"/>
          </rPr>
          <t>Pick List
Max Length = N/A</t>
        </r>
      </text>
    </comment>
    <comment ref="T12" authorId="1" shapeId="0" xr:uid="{93AD8F01-17FB-4BA3-B9FB-0BD860D79C93}">
      <text>
        <r>
          <rPr>
            <b/>
            <i/>
            <sz val="9"/>
            <color indexed="81"/>
            <rFont val="Tahoma"/>
            <family val="2"/>
          </rPr>
          <t xml:space="preserve">Conditional
</t>
        </r>
        <r>
          <rPr>
            <b/>
            <sz val="9"/>
            <color indexed="81"/>
            <rFont val="Tahoma"/>
            <family val="2"/>
          </rPr>
          <t>String
Max Length = 250</t>
        </r>
      </text>
    </comment>
    <comment ref="U12" authorId="1" shapeId="0" xr:uid="{0FA57FCA-8170-4386-A9F0-4C9EBAE9CED3}">
      <text>
        <r>
          <rPr>
            <b/>
            <i/>
            <sz val="9"/>
            <color indexed="81"/>
            <rFont val="Tahoma"/>
            <family val="2"/>
          </rPr>
          <t xml:space="preserve">Optional
</t>
        </r>
        <r>
          <rPr>
            <b/>
            <sz val="9"/>
            <color indexed="81"/>
            <rFont val="Tahoma"/>
            <family val="2"/>
          </rPr>
          <t>Pick List
Max Length = N/A</t>
        </r>
      </text>
    </comment>
    <comment ref="V12" authorId="1" shapeId="0" xr:uid="{A69B787D-0F7F-4BA1-8716-86A219C088DA}">
      <text>
        <r>
          <rPr>
            <b/>
            <i/>
            <sz val="9"/>
            <color indexed="81"/>
            <rFont val="Tahoma"/>
            <family val="2"/>
          </rPr>
          <t xml:space="preserve">Conditional
</t>
        </r>
        <r>
          <rPr>
            <b/>
            <sz val="9"/>
            <color indexed="81"/>
            <rFont val="Tahoma"/>
            <family val="2"/>
          </rPr>
          <t>String
Max Length = 250</t>
        </r>
      </text>
    </comment>
    <comment ref="W12" authorId="1" shapeId="0" xr:uid="{0E8C893F-5EAF-4F0F-9452-2548A59A267E}">
      <text>
        <r>
          <rPr>
            <b/>
            <i/>
            <sz val="9"/>
            <color indexed="81"/>
            <rFont val="Tahoma"/>
            <family val="2"/>
          </rPr>
          <t xml:space="preserve">Optional
</t>
        </r>
        <r>
          <rPr>
            <b/>
            <sz val="9"/>
            <color indexed="81"/>
            <rFont val="Tahoma"/>
            <family val="2"/>
          </rPr>
          <t>Pick List
Max Length = N/A</t>
        </r>
      </text>
    </comment>
    <comment ref="X12" authorId="1" shapeId="0" xr:uid="{1F76D865-E00E-46F4-BC8E-A305796F78C2}">
      <text>
        <r>
          <rPr>
            <b/>
            <i/>
            <sz val="9"/>
            <color indexed="81"/>
            <rFont val="Tahoma"/>
            <family val="2"/>
          </rPr>
          <t xml:space="preserve">Conditional
</t>
        </r>
        <r>
          <rPr>
            <b/>
            <sz val="9"/>
            <color indexed="81"/>
            <rFont val="Tahoma"/>
            <family val="2"/>
          </rPr>
          <t>String
Max Length = 250</t>
        </r>
      </text>
    </comment>
    <comment ref="Y12" authorId="1" shapeId="0" xr:uid="{E898A2BB-220B-427E-A145-34417DC40605}">
      <text>
        <r>
          <rPr>
            <b/>
            <i/>
            <sz val="9"/>
            <color indexed="81"/>
            <rFont val="Tahoma"/>
            <family val="2"/>
          </rPr>
          <t xml:space="preserve">Conditional
</t>
        </r>
        <r>
          <rPr>
            <b/>
            <sz val="9"/>
            <color indexed="81"/>
            <rFont val="Tahoma"/>
            <family val="2"/>
          </rPr>
          <t>String
Max Length = 250</t>
        </r>
      </text>
    </comment>
    <comment ref="Z12" authorId="1" shapeId="0" xr:uid="{19264BB5-CC92-4CE9-A31A-3ACF51103F3D}">
      <text>
        <r>
          <rPr>
            <b/>
            <i/>
            <sz val="9"/>
            <color indexed="81"/>
            <rFont val="Tahoma"/>
            <family val="2"/>
          </rPr>
          <t xml:space="preserve">Conditional
</t>
        </r>
        <r>
          <rPr>
            <b/>
            <sz val="9"/>
            <color indexed="81"/>
            <rFont val="Tahoma"/>
            <family val="2"/>
          </rPr>
          <t>String
Max Length = 250</t>
        </r>
      </text>
    </comment>
    <comment ref="AA12" authorId="1" shapeId="0" xr:uid="{22EF85A0-88ED-4A86-B443-E434C4E5AC83}">
      <text>
        <r>
          <rPr>
            <b/>
            <i/>
            <sz val="9"/>
            <color indexed="81"/>
            <rFont val="Tahoma"/>
            <family val="2"/>
          </rPr>
          <t xml:space="preserve">Conditional
</t>
        </r>
        <r>
          <rPr>
            <b/>
            <sz val="9"/>
            <color indexed="81"/>
            <rFont val="Tahoma"/>
            <family val="2"/>
          </rPr>
          <t>String
Max Length = 255</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Author</author>
    <author>Joe Comeau</author>
  </authors>
  <commentList>
    <comment ref="A10" authorId="0" shapeId="0" xr:uid="{1B95BD39-2682-4D16-A727-07F45040E14C}">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04FD091D-66A2-45EB-B6B5-56974ACEE1D5}">
      <text>
        <r>
          <rPr>
            <b/>
            <i/>
            <sz val="9"/>
            <color indexed="81"/>
            <rFont val="Tahoma"/>
            <family val="2"/>
          </rPr>
          <t xml:space="preserve">RequiredOptional
</t>
        </r>
        <r>
          <rPr>
            <b/>
            <sz val="9"/>
            <color indexed="81"/>
            <rFont val="Tahoma"/>
            <family val="2"/>
          </rPr>
          <t>String-Fixed
Length must equal 12</t>
        </r>
        <r>
          <rPr>
            <sz val="9"/>
            <color indexed="81"/>
            <rFont val="Tahoma"/>
            <family val="2"/>
          </rPr>
          <t xml:space="preserve">
The Unique Entity Identifier (UEI) created in SAM.gov. NOTE: Sub-recipients MUST have either a UEI or TIN.</t>
        </r>
      </text>
    </comment>
    <comment ref="D12" authorId="1" shapeId="0" xr:uid="{82428801-1305-496C-861A-AC489EC4B03F}">
      <text>
        <r>
          <rPr>
            <b/>
            <i/>
            <sz val="9"/>
            <color indexed="81"/>
            <rFont val="Tahoma"/>
            <family val="2"/>
          </rPr>
          <t xml:space="preserve">RequiredOptional
</t>
        </r>
        <r>
          <rPr>
            <b/>
            <sz val="9"/>
            <color indexed="81"/>
            <rFont val="Tahoma"/>
            <family val="2"/>
          </rPr>
          <t>String-Fixed
Length must equal 9</t>
        </r>
        <r>
          <rPr>
            <sz val="9"/>
            <color indexed="81"/>
            <rFont val="Tahoma"/>
            <family val="2"/>
          </rPr>
          <t xml:space="preserve">
The Internal Revenue Service (IRS) Taxpayer Identification Number. NOTE: Sub-recipients MUST have either a UEI or TIN.</t>
        </r>
      </text>
    </comment>
    <comment ref="E12" authorId="1" shapeId="0" xr:uid="{4EE479F5-7D88-425F-9D10-D8909117F9C7}">
      <text>
        <r>
          <rPr>
            <b/>
            <i/>
            <sz val="9"/>
            <color indexed="81"/>
            <rFont val="Tahoma"/>
            <family val="2"/>
          </rPr>
          <t xml:space="preserve">Required
</t>
        </r>
        <r>
          <rPr>
            <b/>
            <sz val="9"/>
            <color indexed="81"/>
            <rFont val="Tahoma"/>
            <family val="2"/>
          </rPr>
          <t>String
Max Length = 80</t>
        </r>
        <r>
          <rPr>
            <sz val="9"/>
            <color indexed="81"/>
            <rFont val="Tahoma"/>
            <family val="2"/>
          </rPr>
          <t xml:space="preserve">
The name of the Subrecipient. </t>
        </r>
      </text>
    </comment>
    <comment ref="F12" authorId="1" shapeId="0" xr:uid="{8AEA64CE-ACBB-42A2-A364-E733A2F8BC1E}">
      <text>
        <r>
          <rPr>
            <b/>
            <i/>
            <sz val="9"/>
            <color indexed="81"/>
            <rFont val="Tahoma"/>
            <family val="2"/>
          </rPr>
          <t xml:space="preserve">Required
</t>
        </r>
        <r>
          <rPr>
            <b/>
            <sz val="9"/>
            <color indexed="81"/>
            <rFont val="Tahoma"/>
            <family val="2"/>
          </rPr>
          <t>Multi-Select
Max Length = N/A</t>
        </r>
        <r>
          <rPr>
            <sz val="9"/>
            <color indexed="81"/>
            <rFont val="Tahoma"/>
            <family val="2"/>
          </rPr>
          <t xml:space="preserve">
Indicators for types of entities.</t>
        </r>
      </text>
    </comment>
    <comment ref="G12" authorId="1" shapeId="0" xr:uid="{0DF2A74C-60BB-4035-99C5-0720F311F260}">
      <text>
        <r>
          <rPr>
            <b/>
            <i/>
            <sz val="9"/>
            <color indexed="81"/>
            <rFont val="Tahoma"/>
            <family val="2"/>
          </rPr>
          <t xml:space="preserve">Optional
</t>
        </r>
        <r>
          <rPr>
            <b/>
            <sz val="9"/>
            <color indexed="81"/>
            <rFont val="Tahoma"/>
            <family val="2"/>
          </rPr>
          <t>String
Max Length = 40</t>
        </r>
        <r>
          <rPr>
            <sz val="9"/>
            <color indexed="81"/>
            <rFont val="Tahoma"/>
            <family val="2"/>
          </rPr>
          <t xml:space="preserve">
The email address of the primary point-of-contact for the Subrecipient.</t>
        </r>
      </text>
    </comment>
    <comment ref="H12" authorId="1" shapeId="0" xr:uid="{5A991772-0F80-469D-97D2-3C730F7369AF}">
      <text>
        <r>
          <rPr>
            <b/>
            <i/>
            <sz val="9"/>
            <color indexed="81"/>
            <rFont val="Tahoma"/>
            <family val="2"/>
          </rPr>
          <t xml:space="preserve">Required
</t>
        </r>
        <r>
          <rPr>
            <b/>
            <sz val="9"/>
            <color indexed="81"/>
            <rFont val="Tahoma"/>
            <family val="2"/>
          </rPr>
          <t>String
Max Length = 255</t>
        </r>
        <r>
          <rPr>
            <sz val="9"/>
            <color indexed="81"/>
            <rFont val="Tahoma"/>
            <family val="2"/>
          </rPr>
          <t xml:space="preserve">
First line of the Subrecipient's address.</t>
        </r>
      </text>
    </comment>
    <comment ref="I12" authorId="1" shapeId="0" xr:uid="{40F81E2C-9FEB-4EB5-9A72-163A8E371CCA}">
      <text>
        <r>
          <rPr>
            <b/>
            <i/>
            <sz val="9"/>
            <color indexed="81"/>
            <rFont val="Tahoma"/>
            <family val="2"/>
          </rPr>
          <t xml:space="preserve">Optional
</t>
        </r>
        <r>
          <rPr>
            <b/>
            <sz val="9"/>
            <color indexed="81"/>
            <rFont val="Tahoma"/>
            <family val="2"/>
          </rPr>
          <t>String
Max Length = 255</t>
        </r>
        <r>
          <rPr>
            <sz val="9"/>
            <color indexed="81"/>
            <rFont val="Tahoma"/>
            <family val="2"/>
          </rPr>
          <t xml:space="preserve">
Second line of the Subrecipient's address.</t>
        </r>
      </text>
    </comment>
    <comment ref="J12" authorId="1" shapeId="0" xr:uid="{FC7BFAE4-DF60-44D3-9DC7-79AEC453478A}">
      <text>
        <r>
          <rPr>
            <b/>
            <i/>
            <sz val="9"/>
            <color indexed="81"/>
            <rFont val="Tahoma"/>
            <family val="2"/>
          </rPr>
          <t xml:space="preserve">Optional
</t>
        </r>
        <r>
          <rPr>
            <b/>
            <sz val="9"/>
            <color indexed="81"/>
            <rFont val="Tahoma"/>
            <family val="2"/>
          </rPr>
          <t>String
Max Length = 255</t>
        </r>
        <r>
          <rPr>
            <sz val="9"/>
            <color indexed="81"/>
            <rFont val="Tahoma"/>
            <family val="2"/>
          </rPr>
          <t xml:space="preserve">
Third line of the Subrecipient's address.</t>
        </r>
      </text>
    </comment>
    <comment ref="K12" authorId="1" shapeId="0" xr:uid="{86E632E7-4C0E-4816-8C5F-C9873EF7B7E4}">
      <text>
        <r>
          <rPr>
            <b/>
            <i/>
            <sz val="9"/>
            <color indexed="81"/>
            <rFont val="Tahoma"/>
            <family val="2"/>
          </rPr>
          <t xml:space="preserve">Required
</t>
        </r>
        <r>
          <rPr>
            <b/>
            <sz val="9"/>
            <color indexed="81"/>
            <rFont val="Tahoma"/>
            <family val="2"/>
          </rPr>
          <t>String
Max Length = 100</t>
        </r>
        <r>
          <rPr>
            <sz val="9"/>
            <color indexed="81"/>
            <rFont val="Tahoma"/>
            <family val="2"/>
          </rPr>
          <t xml:space="preserve">
Name of the city in which the Subrecipient is located.</t>
        </r>
      </text>
    </comment>
    <comment ref="L12" authorId="1" shapeId="0" xr:uid="{63D38596-8031-4DD8-88C8-270D71B54DA3}">
      <text>
        <r>
          <rPr>
            <b/>
            <i/>
            <sz val="9"/>
            <color indexed="81"/>
            <rFont val="Tahoma"/>
            <family val="2"/>
          </rPr>
          <t xml:space="preserve">Required
</t>
        </r>
        <r>
          <rPr>
            <b/>
            <sz val="9"/>
            <color indexed="81"/>
            <rFont val="Tahoma"/>
            <family val="2"/>
          </rPr>
          <t>Pick List
Max Length = N/A</t>
        </r>
        <r>
          <rPr>
            <sz val="9"/>
            <color indexed="81"/>
            <rFont val="Tahoma"/>
            <family val="2"/>
          </rPr>
          <t xml:space="preserve">
United States Postal Service (USPS) two-letter abbreviation for the state or territory in which the Subrecipient is located.</t>
        </r>
      </text>
    </comment>
    <comment ref="M12" authorId="1" shapeId="0" xr:uid="{71345DF4-73BB-4C82-8978-E59F701C2406}">
      <text>
        <r>
          <rPr>
            <b/>
            <i/>
            <sz val="9"/>
            <color indexed="81"/>
            <rFont val="Tahoma"/>
            <family val="2"/>
          </rPr>
          <t xml:space="preserve">Required
</t>
        </r>
        <r>
          <rPr>
            <b/>
            <sz val="9"/>
            <color indexed="81"/>
            <rFont val="Tahoma"/>
            <family val="2"/>
          </rPr>
          <t>String
Max Length = 5</t>
        </r>
        <r>
          <rPr>
            <sz val="9"/>
            <color indexed="81"/>
            <rFont val="Tahoma"/>
            <family val="2"/>
          </rPr>
          <t xml:space="preserve">
United States ZIP code (five digits) associated with the Subrecipient's address.</t>
        </r>
      </text>
    </comment>
    <comment ref="N12" authorId="1" shapeId="0" xr:uid="{A29EE7C4-1709-4D62-BB81-130499EC4F06}">
      <text>
        <r>
          <rPr>
            <b/>
            <i/>
            <sz val="9"/>
            <color indexed="81"/>
            <rFont val="Tahoma"/>
            <family val="2"/>
          </rPr>
          <t xml:space="preserve">Optional
</t>
        </r>
        <r>
          <rPr>
            <b/>
            <sz val="9"/>
            <color indexed="81"/>
            <rFont val="Tahoma"/>
            <family val="2"/>
          </rPr>
          <t>String
Max Length = 4</t>
        </r>
        <r>
          <rPr>
            <sz val="9"/>
            <color indexed="81"/>
            <rFont val="Tahoma"/>
            <family val="2"/>
          </rPr>
          <t xml:space="preserve">
Zip Plus4 (four digits) identifying where the predominant performance of the subaward will be accomplished.</t>
        </r>
      </text>
    </comment>
    <comment ref="O12" authorId="1" shapeId="0" xr:uid="{E519D38B-10AC-4159-8F2A-35F3AF2C5C1A}">
      <text>
        <r>
          <rPr>
            <b/>
            <i/>
            <sz val="9"/>
            <color indexed="81"/>
            <rFont val="Tahoma"/>
            <family val="2"/>
          </rPr>
          <t xml:space="preserve">Optional
</t>
        </r>
        <r>
          <rPr>
            <b/>
            <sz val="9"/>
            <color indexed="81"/>
            <rFont val="Tahoma"/>
            <family val="2"/>
          </rPr>
          <t>String
Max Length = 2</t>
        </r>
        <r>
          <rPr>
            <sz val="9"/>
            <color indexed="81"/>
            <rFont val="Tahoma"/>
            <family val="2"/>
          </rPr>
          <t xml:space="preserve">
Two character country code</t>
        </r>
      </text>
    </comment>
    <comment ref="P12" authorId="1" shapeId="0" xr:uid="{78F10A96-AF0D-4D7E-A1C5-28076D56BA0E}">
      <text>
        <r>
          <rPr>
            <b/>
            <i/>
            <sz val="9"/>
            <color indexed="81"/>
            <rFont val="Tahoma"/>
            <family val="2"/>
          </rPr>
          <t xml:space="preserve">Required
</t>
        </r>
        <r>
          <rPr>
            <b/>
            <sz val="9"/>
            <color indexed="81"/>
            <rFont val="Tahoma"/>
            <family val="2"/>
          </rPr>
          <t>Pick List
Max Length = N/A</t>
        </r>
        <r>
          <rPr>
            <sz val="9"/>
            <color indexed="81"/>
            <rFont val="Tahoma"/>
            <family val="2"/>
          </rPr>
          <t xml:space="preserve">
Confirmation that the Subrecipient is registered in SAM.gov.</t>
        </r>
      </text>
    </comment>
    <comment ref="Q12" authorId="1" shapeId="0" xr:uid="{BAF3BE4C-A075-46F6-B644-B8412963ABE8}">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Confirmation that the proportion of the Subrecipient's federal fundingto-total annual gross revenue for the preceding fiscal year is at least 80%.</t>
        </r>
      </text>
    </comment>
    <comment ref="R12" authorId="1" shapeId="0" xr:uid="{671EC7BD-909C-4B29-BE17-7189529181E2}">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Confirmation that the Subrecipient's total annual gross revenue from federal funding across all programs for the preceding fiscal year is greater than $25 million.</t>
        </r>
      </text>
    </comment>
    <comment ref="S12" authorId="1" shapeId="0" xr:uid="{4F37F4C5-6FD3-47C3-BB39-EC506ED00EDA}">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Confirmation that qualifying Subrecipient's publicly identify their top five highest compensated executives or have it listed in their SAM.gov profile, if No please provide names and compensation for top 5 executives.</t>
        </r>
      </text>
    </comment>
    <comment ref="T12" authorId="1" shapeId="0" xr:uid="{E863C28A-95E9-4DE8-A613-E8A86D6333D9}">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U12" authorId="1" shapeId="0" xr:uid="{28236EDA-E275-4C11-BDC6-FDF68AF65133}">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V12" authorId="1" shapeId="0" xr:uid="{E152F6DF-94C6-4104-87C3-DD1CAB41517B}">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W12" authorId="1" shapeId="0" xr:uid="{1BB7E12E-1BC5-4537-88F1-707D4F123589}">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X12" authorId="1" shapeId="0" xr:uid="{7EA8DA65-103E-4896-9EC8-19AD9C15FD11}">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Y12" authorId="1" shapeId="0" xr:uid="{D8AAFC29-E5FB-4274-B57D-BA0209F05A5E}">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Z12" authorId="1" shapeId="0" xr:uid="{B4C18A32-FCAE-40DE-B8AA-6FE02EB8794E}">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AA12" authorId="1" shapeId="0" xr:uid="{E28CC70C-406C-4E9F-B352-322CA3DC1C29}">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AB12" authorId="1" shapeId="0" xr:uid="{AF27F7DE-C676-444A-8977-BC42D251808B}">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AC12" authorId="1" shapeId="0" xr:uid="{4DF5D7EE-C6F5-46D8-B474-C0DF76F3CF24}">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Author</author>
    <author>Joe Comeau</author>
  </authors>
  <commentList>
    <comment ref="A10" authorId="0" shapeId="0" xr:uid="{E40C646F-EA8B-4EE6-936A-5EA01375EC47}">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2D030B19-3DC2-4AC7-BB69-C98BB4F037D0}">
      <text>
        <r>
          <rPr>
            <b/>
            <i/>
            <sz val="9"/>
            <color indexed="81"/>
            <rFont val="Tahoma"/>
            <family val="2"/>
          </rPr>
          <t xml:space="preserve">RequiredOptional
</t>
        </r>
        <r>
          <rPr>
            <b/>
            <sz val="9"/>
            <color indexed="81"/>
            <rFont val="Tahoma"/>
            <family val="2"/>
          </rPr>
          <t>String-Fixed
Length must equal 12</t>
        </r>
        <r>
          <rPr>
            <sz val="9"/>
            <color indexed="81"/>
            <rFont val="Tahoma"/>
            <family val="2"/>
          </rPr>
          <t xml:space="preserve">
The Unique Entity Identifier (UEI) created in SAM.gov. NOTE: Sub-recipients MUST have either a UEI or TIN.</t>
        </r>
      </text>
    </comment>
    <comment ref="D12" authorId="1" shapeId="0" xr:uid="{C314EC17-A6D3-4ED5-85FC-77574B17BE3A}">
      <text>
        <r>
          <rPr>
            <b/>
            <i/>
            <sz val="9"/>
            <color indexed="81"/>
            <rFont val="Tahoma"/>
            <family val="2"/>
          </rPr>
          <t xml:space="preserve">RequiredOptional
</t>
        </r>
        <r>
          <rPr>
            <b/>
            <sz val="9"/>
            <color indexed="81"/>
            <rFont val="Tahoma"/>
            <family val="2"/>
          </rPr>
          <t>String-Fixed
Length must equal 9</t>
        </r>
        <r>
          <rPr>
            <sz val="9"/>
            <color indexed="81"/>
            <rFont val="Tahoma"/>
            <family val="2"/>
          </rPr>
          <t xml:space="preserve">
The Internal Revenue Service (IRS) Taxpayer Identification Number. NOTE: Sub-recipients MUST have either a UEI or TIN.</t>
        </r>
      </text>
    </comment>
    <comment ref="E12" authorId="1" shapeId="0" xr:uid="{407DF2E0-AC07-417C-8C5E-EC8293773749}">
      <text>
        <r>
          <rPr>
            <b/>
            <i/>
            <sz val="9"/>
            <color indexed="81"/>
            <rFont val="Tahoma"/>
            <family val="2"/>
          </rPr>
          <t xml:space="preserve">Informational
</t>
        </r>
        <r>
          <rPr>
            <b/>
            <sz val="9"/>
            <color indexed="81"/>
            <rFont val="Tahoma"/>
            <family val="2"/>
          </rPr>
          <t>Display Only
Max Length = N/A</t>
        </r>
        <r>
          <rPr>
            <sz val="9"/>
            <color indexed="81"/>
            <rFont val="Tahoma"/>
            <family val="2"/>
          </rPr>
          <t xml:space="preserve">
The Legal Name entered on the Subrecipient sheet based on the UEI or TIN entered.</t>
        </r>
      </text>
    </comment>
    <comment ref="F12" authorId="1" shapeId="0" xr:uid="{66082D78-B863-4349-9BF2-987C03F6AF76}">
      <text>
        <r>
          <rPr>
            <b/>
            <i/>
            <sz val="9"/>
            <color indexed="81"/>
            <rFont val="Tahoma"/>
            <family val="2"/>
          </rPr>
          <t xml:space="preserve">Required
</t>
        </r>
        <r>
          <rPr>
            <b/>
            <sz val="9"/>
            <color indexed="81"/>
            <rFont val="Tahoma"/>
            <family val="2"/>
          </rPr>
          <t>Pick List
Max Length = N/A</t>
        </r>
        <r>
          <rPr>
            <sz val="9"/>
            <color indexed="81"/>
            <rFont val="Tahoma"/>
            <family val="2"/>
          </rPr>
          <t xml:space="preserve">
Indicators for types of entities.</t>
        </r>
      </text>
    </comment>
    <comment ref="G12" authorId="1" shapeId="0" xr:uid="{96A3D552-68AA-419C-BBD4-FE71D1B51E8B}">
      <text>
        <r>
          <rPr>
            <b/>
            <i/>
            <sz val="9"/>
            <color indexed="81"/>
            <rFont val="Tahoma"/>
            <family val="2"/>
          </rPr>
          <t xml:space="preserve">Required
</t>
        </r>
        <r>
          <rPr>
            <b/>
            <sz val="9"/>
            <color indexed="81"/>
            <rFont val="Tahoma"/>
            <family val="2"/>
          </rPr>
          <t>String
Max Length = 20</t>
        </r>
        <r>
          <rPr>
            <sz val="9"/>
            <color indexed="81"/>
            <rFont val="Tahoma"/>
            <family val="2"/>
          </rPr>
          <t xml:space="preserve">
Recipient Project ID associated with this Sub Award. This is your unique Project Identification Number.</t>
        </r>
      </text>
    </comment>
    <comment ref="H12" authorId="1" shapeId="0" xr:uid="{DFE76E36-3D6C-4943-A51F-6E5407B59E2F}">
      <text>
        <r>
          <rPr>
            <b/>
            <i/>
            <sz val="9"/>
            <color indexed="81"/>
            <rFont val="Tahoma"/>
            <family val="2"/>
          </rPr>
          <t xml:space="preserve">Required
</t>
        </r>
        <r>
          <rPr>
            <b/>
            <sz val="9"/>
            <color indexed="81"/>
            <rFont val="Tahoma"/>
            <family val="2"/>
          </rPr>
          <t>String
Max Length = 20</t>
        </r>
        <r>
          <rPr>
            <sz val="9"/>
            <color indexed="81"/>
            <rFont val="Tahoma"/>
            <family val="2"/>
          </rPr>
          <t xml:space="preserve">
Recipient's internal account number for the grant, contract, transfer, or direct payment. This can be the account number, or any other unique identifying number assigned by the Recipient to the award. This number is strictly for the Recipient's recordkeeping</t>
        </r>
      </text>
    </comment>
    <comment ref="I12" authorId="1" shapeId="0" xr:uid="{2ACA285F-D9C5-4204-984F-A17B4AF77A10}">
      <text>
        <r>
          <rPr>
            <b/>
            <i/>
            <sz val="9"/>
            <color indexed="81"/>
            <rFont val="Tahoma"/>
            <family val="2"/>
          </rPr>
          <t xml:space="preserve">Hidden
</t>
        </r>
        <r>
          <rPr>
            <b/>
            <sz val="9"/>
            <color indexed="81"/>
            <rFont val="Tahoma"/>
            <family val="2"/>
          </rPr>
          <t>Display Only
Max Length = N/A</t>
        </r>
        <r>
          <rPr>
            <sz val="9"/>
            <color indexed="81"/>
            <rFont val="Tahoma"/>
            <family val="2"/>
          </rPr>
          <t xml:space="preserve">
Hidden from user</t>
        </r>
      </text>
    </comment>
    <comment ref="J12" authorId="1" shapeId="0" xr:uid="{6B3FADD1-AAC8-401C-8298-9A6A3140FEED}">
      <text>
        <r>
          <rPr>
            <b/>
            <i/>
            <sz val="9"/>
            <color indexed="81"/>
            <rFont val="Tahoma"/>
            <family val="2"/>
          </rPr>
          <t xml:space="preserve">Required
</t>
        </r>
        <r>
          <rPr>
            <b/>
            <sz val="9"/>
            <color indexed="81"/>
            <rFont val="Tahoma"/>
            <family val="2"/>
          </rPr>
          <t>Pick List
Max Length = N/A</t>
        </r>
        <r>
          <rPr>
            <sz val="9"/>
            <color indexed="81"/>
            <rFont val="Tahoma"/>
            <family val="2"/>
          </rPr>
          <t xml:space="preserve">
The type of Subaward.</t>
        </r>
      </text>
    </comment>
    <comment ref="K12" authorId="1" shapeId="0" xr:uid="{98F928D2-2422-4D00-B82E-9A6F2778D00A}">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amount of SLFRF funds obligated by the Recipient to a Subrecipient under a given Subaward.</t>
        </r>
      </text>
    </comment>
    <comment ref="L12" authorId="1" shapeId="0" xr:uid="{EC8F0303-CD38-47C2-965E-3F7EBFF2C302}">
      <text>
        <r>
          <rPr>
            <b/>
            <i/>
            <sz val="9"/>
            <color indexed="81"/>
            <rFont val="Tahoma"/>
            <family val="2"/>
          </rPr>
          <t xml:space="preserve">Required
</t>
        </r>
        <r>
          <rPr>
            <b/>
            <sz val="9"/>
            <color indexed="81"/>
            <rFont val="Tahoma"/>
            <family val="2"/>
          </rPr>
          <t>Date
mm/dd/yyyy</t>
        </r>
        <r>
          <rPr>
            <sz val="9"/>
            <color indexed="81"/>
            <rFont val="Tahoma"/>
            <family val="2"/>
          </rPr>
          <t xml:space="preserve">
The date the Recipient obligated funds to a Subrecipient.</t>
        </r>
      </text>
    </comment>
    <comment ref="M12" authorId="1" shapeId="0" xr:uid="{61773478-188A-4184-9D17-CFAA494A961E}">
      <text>
        <r>
          <rPr>
            <b/>
            <i/>
            <sz val="9"/>
            <color indexed="81"/>
            <rFont val="Tahoma"/>
            <family val="2"/>
          </rPr>
          <t xml:space="preserve">Required
</t>
        </r>
        <r>
          <rPr>
            <b/>
            <sz val="9"/>
            <color indexed="81"/>
            <rFont val="Tahoma"/>
            <family val="2"/>
          </rPr>
          <t>Pick List
Max Length = N/A</t>
        </r>
        <r>
          <rPr>
            <sz val="9"/>
            <color indexed="81"/>
            <rFont val="Tahoma"/>
            <family val="2"/>
          </rPr>
          <t xml:space="preserve">
Select Primary Sector from picklist.</t>
        </r>
      </text>
    </comment>
    <comment ref="N12" authorId="1" shapeId="0" xr:uid="{A6FC371B-7530-47BE-A9B2-09C8647961F5}">
      <text>
        <r>
          <rPr>
            <b/>
            <i/>
            <sz val="9"/>
            <color indexed="81"/>
            <rFont val="Tahoma"/>
            <family val="2"/>
          </rPr>
          <t xml:space="preserve">Conditional
</t>
        </r>
        <r>
          <rPr>
            <b/>
            <sz val="9"/>
            <color indexed="81"/>
            <rFont val="Tahoma"/>
            <family val="2"/>
          </rPr>
          <t>String
Max Length = 100</t>
        </r>
        <r>
          <rPr>
            <sz val="9"/>
            <color indexed="81"/>
            <rFont val="Tahoma"/>
            <family val="2"/>
          </rPr>
          <t xml:space="preserve">
Explanation if the Primary Sector is “Other”</t>
        </r>
      </text>
    </comment>
    <comment ref="O12" authorId="1" shapeId="0" xr:uid="{3756AB37-028B-4BE4-9E89-513F3070C69B}">
      <text>
        <r>
          <rPr>
            <b/>
            <i/>
            <sz val="9"/>
            <color indexed="81"/>
            <rFont val="Tahoma"/>
            <family val="2"/>
          </rPr>
          <t xml:space="preserve">Conditional
</t>
        </r>
        <r>
          <rPr>
            <b/>
            <sz val="9"/>
            <color indexed="81"/>
            <rFont val="Tahoma"/>
            <family val="2"/>
          </rPr>
          <t>String
Max Length = 3000</t>
        </r>
        <r>
          <rPr>
            <sz val="9"/>
            <color indexed="81"/>
            <rFont val="Tahoma"/>
            <family val="2"/>
          </rPr>
          <t xml:space="preserve">
Recipients must submit a written justification to Treasury describing how the premium pay or grant is responsive to workers performing essential work during the public health emergency unless the worker or groups of workers receiving premium pay meet one of two criteria: (1) the eligible worker(s) receiving premium pay earn (with the premium included) below 150 percent of their residing state or county’s average annual wage for all occupations, as defined by the Bureau of Labor Statistics Occupational Employment and Wage Statistics; or (2) the eligible worker(s) receiving premium pay is not exempt from the Fair Labor Standards Act overtime provisions.</t>
        </r>
      </text>
    </comment>
    <comment ref="P12" authorId="1" shapeId="0" xr:uid="{4CB5A883-AFCB-447C-BB10-D1C97DFEE667}">
      <text>
        <r>
          <rPr>
            <b/>
            <i/>
            <sz val="9"/>
            <color indexed="81"/>
            <rFont val="Tahoma"/>
            <family val="2"/>
          </rPr>
          <t xml:space="preserve">Required
</t>
        </r>
        <r>
          <rPr>
            <b/>
            <sz val="9"/>
            <color indexed="81"/>
            <rFont val="Tahoma"/>
            <family val="2"/>
          </rPr>
          <t>Date
mm/dd/yyyy</t>
        </r>
        <r>
          <rPr>
            <sz val="9"/>
            <color indexed="81"/>
            <rFont val="Tahoma"/>
            <family val="2"/>
          </rPr>
          <t xml:space="preserve">
The date on which efforts begin or the Subaward is otherwise effective.</t>
        </r>
      </text>
    </comment>
    <comment ref="Q12" authorId="1" shapeId="0" xr:uid="{1CE4049E-9AC8-4F0F-8183-4CF9ABA8D12F}">
      <text>
        <r>
          <rPr>
            <b/>
            <i/>
            <sz val="9"/>
            <color indexed="81"/>
            <rFont val="Tahoma"/>
            <family val="2"/>
          </rPr>
          <t xml:space="preserve">Required
</t>
        </r>
        <r>
          <rPr>
            <b/>
            <sz val="9"/>
            <color indexed="81"/>
            <rFont val="Tahoma"/>
            <family val="2"/>
          </rPr>
          <t>Date
mm/dd/yyyy</t>
        </r>
        <r>
          <rPr>
            <sz val="9"/>
            <color indexed="81"/>
            <rFont val="Tahoma"/>
            <family val="2"/>
          </rPr>
          <t xml:space="preserve">
The date on which all effort is completed or the Subaward is otherwise ended.</t>
        </r>
      </text>
    </comment>
    <comment ref="R12" authorId="1" shapeId="0" xr:uid="{B78362B1-387B-484A-A447-CFA35233F171}">
      <text>
        <r>
          <rPr>
            <b/>
            <i/>
            <sz val="9"/>
            <color indexed="81"/>
            <rFont val="Tahoma"/>
            <family val="2"/>
          </rPr>
          <t xml:space="preserve">Required
</t>
        </r>
        <r>
          <rPr>
            <b/>
            <sz val="9"/>
            <color indexed="81"/>
            <rFont val="Tahoma"/>
            <family val="2"/>
          </rPr>
          <t>String
Max Length = 120</t>
        </r>
        <r>
          <rPr>
            <sz val="9"/>
            <color indexed="81"/>
            <rFont val="Tahoma"/>
            <family val="2"/>
          </rPr>
          <t xml:space="preserve">
First line of the address where the predominant performance of the Subaward will be accomplished.</t>
        </r>
      </text>
    </comment>
    <comment ref="S12" authorId="1" shapeId="0" xr:uid="{79FDE75B-363D-4EA3-BAA6-0DA093A90829}">
      <text>
        <r>
          <rPr>
            <b/>
            <i/>
            <sz val="9"/>
            <color indexed="81"/>
            <rFont val="Tahoma"/>
            <family val="2"/>
          </rPr>
          <t xml:space="preserve">Optional
</t>
        </r>
        <r>
          <rPr>
            <b/>
            <sz val="9"/>
            <color indexed="81"/>
            <rFont val="Tahoma"/>
            <family val="2"/>
          </rPr>
          <t>String
Max Length = 120</t>
        </r>
        <r>
          <rPr>
            <sz val="9"/>
            <color indexed="81"/>
            <rFont val="Tahoma"/>
            <family val="2"/>
          </rPr>
          <t xml:space="preserve">
Second line of the address where the predominant performance of the Subaward will be accomplished.</t>
        </r>
      </text>
    </comment>
    <comment ref="T12" authorId="1" shapeId="0" xr:uid="{07C0500F-7378-4396-A82B-A1D5DD07905C}">
      <text>
        <r>
          <rPr>
            <b/>
            <i/>
            <sz val="9"/>
            <color indexed="81"/>
            <rFont val="Tahoma"/>
            <family val="2"/>
          </rPr>
          <t xml:space="preserve">Optional
</t>
        </r>
        <r>
          <rPr>
            <b/>
            <sz val="9"/>
            <color indexed="81"/>
            <rFont val="Tahoma"/>
            <family val="2"/>
          </rPr>
          <t>String
Max Length = 120</t>
        </r>
        <r>
          <rPr>
            <sz val="9"/>
            <color indexed="81"/>
            <rFont val="Tahoma"/>
            <family val="2"/>
          </rPr>
          <t xml:space="preserve">
Third line of the address where the predominant performance of the Subaward will be accomplished.</t>
        </r>
      </text>
    </comment>
    <comment ref="U12" authorId="1" shapeId="0" xr:uid="{1095697C-B730-4FDC-A31B-A53901929D87}">
      <text>
        <r>
          <rPr>
            <b/>
            <i/>
            <sz val="9"/>
            <color indexed="81"/>
            <rFont val="Tahoma"/>
            <family val="2"/>
          </rPr>
          <t xml:space="preserve">Required
</t>
        </r>
        <r>
          <rPr>
            <b/>
            <sz val="9"/>
            <color indexed="81"/>
            <rFont val="Tahoma"/>
            <family val="2"/>
          </rPr>
          <t>String
Max Length = 40</t>
        </r>
        <r>
          <rPr>
            <sz val="9"/>
            <color indexed="81"/>
            <rFont val="Tahoma"/>
            <family val="2"/>
          </rPr>
          <t xml:space="preserve">
The name of the city where the predominant performance of the Subaward will be accomplished.</t>
        </r>
      </text>
    </comment>
    <comment ref="V12" authorId="1" shapeId="0" xr:uid="{A919507D-1297-45E8-84AF-C96EBAA40E78}">
      <text>
        <r>
          <rPr>
            <b/>
            <i/>
            <sz val="9"/>
            <color indexed="81"/>
            <rFont val="Tahoma"/>
            <family val="2"/>
          </rPr>
          <t xml:space="preserve">Required
</t>
        </r>
        <r>
          <rPr>
            <b/>
            <sz val="9"/>
            <color indexed="81"/>
            <rFont val="Tahoma"/>
            <family val="2"/>
          </rPr>
          <t>Pick List
Max Length = 2</t>
        </r>
        <r>
          <rPr>
            <sz val="9"/>
            <color indexed="81"/>
            <rFont val="Tahoma"/>
            <family val="2"/>
          </rPr>
          <t xml:space="preserve">
United States Postal Service (USPS) two-letter abbreviation for the state or territory indicating where the predominant performance of the Subaward will be accomplished.</t>
        </r>
      </text>
    </comment>
    <comment ref="W12" authorId="1" shapeId="0" xr:uid="{EC07E31E-96B0-47DF-8ABF-77FA4F65B2A0}">
      <text>
        <r>
          <rPr>
            <b/>
            <i/>
            <sz val="9"/>
            <color indexed="81"/>
            <rFont val="Tahoma"/>
            <family val="2"/>
          </rPr>
          <t xml:space="preserve">Required
</t>
        </r>
        <r>
          <rPr>
            <b/>
            <sz val="9"/>
            <color indexed="81"/>
            <rFont val="Tahoma"/>
            <family val="2"/>
          </rPr>
          <t>Numeric
Max Length = 5</t>
        </r>
        <r>
          <rPr>
            <sz val="9"/>
            <color indexed="81"/>
            <rFont val="Tahoma"/>
            <family val="2"/>
          </rPr>
          <t xml:space="preserve">
United States ZIP code (five digits) identifying where the predominant performance of the subaward will be accomplished.</t>
        </r>
      </text>
    </comment>
    <comment ref="X12" authorId="1" shapeId="0" xr:uid="{81A67CE9-A870-4205-8E8F-1D666C6131E1}">
      <text>
        <r>
          <rPr>
            <b/>
            <i/>
            <sz val="9"/>
            <color indexed="81"/>
            <rFont val="Tahoma"/>
            <family val="2"/>
          </rPr>
          <t xml:space="preserve">Optional
</t>
        </r>
        <r>
          <rPr>
            <b/>
            <sz val="9"/>
            <color indexed="81"/>
            <rFont val="Tahoma"/>
            <family val="2"/>
          </rPr>
          <t>Numeric
Max Length = 4</t>
        </r>
        <r>
          <rPr>
            <sz val="9"/>
            <color indexed="81"/>
            <rFont val="Tahoma"/>
            <family val="2"/>
          </rPr>
          <t xml:space="preserve">
United States ZIP code (four digits) identifying where the predominant performance of the Subaward will be accomplished.</t>
        </r>
      </text>
    </comment>
    <comment ref="Y12" authorId="1" shapeId="0" xr:uid="{6A9D6116-A05E-49DC-88A5-C5F219CDFA61}">
      <text>
        <r>
          <rPr>
            <b/>
            <i/>
            <sz val="9"/>
            <color indexed="81"/>
            <rFont val="Tahoma"/>
            <family val="2"/>
          </rPr>
          <t xml:space="preserve">Required
</t>
        </r>
        <r>
          <rPr>
            <b/>
            <sz val="9"/>
            <color indexed="81"/>
            <rFont val="Tahoma"/>
            <family val="2"/>
          </rPr>
          <t>String
Max Length = 750</t>
        </r>
        <r>
          <rPr>
            <sz val="9"/>
            <color indexed="81"/>
            <rFont val="Tahoma"/>
            <family val="2"/>
          </rPr>
          <t xml:space="preserve">
A description of the overall purpose and expected outputs and outcomes or results of the funded subaward, including significant deliverables and, if appropriate, associated units of measure. The purpose and outcomes or results should be stated in terms that allow an understanding that the subaward constitutes an eligible use of funds.</t>
        </r>
      </text>
    </comment>
    <comment ref="Z12" authorId="1" shapeId="0" xr:uid="{52B6052E-A6BA-427F-A0B9-DD8122687225}">
      <text>
        <r>
          <rPr>
            <b/>
            <i/>
            <sz val="9"/>
            <color indexed="81"/>
            <rFont val="Tahoma"/>
            <family val="2"/>
          </rPr>
          <t xml:space="preserve">Required
</t>
        </r>
        <r>
          <rPr>
            <b/>
            <sz val="9"/>
            <color indexed="81"/>
            <rFont val="Tahoma"/>
            <family val="2"/>
          </rPr>
          <t>Pick List
Max Length = N/A</t>
        </r>
        <r>
          <rPr>
            <sz val="9"/>
            <color indexed="81"/>
            <rFont val="Tahoma"/>
            <family val="2"/>
          </rPr>
          <t xml:space="preserve">
If the Subaward amount (obligation) changed from the last reporting period, answer "Yes."</t>
        </r>
      </text>
    </comment>
    <comment ref="AA12" authorId="1" shapeId="0" xr:uid="{FFFE713D-A381-4CF4-96BD-325B9F9FFAA7}">
      <text>
        <r>
          <rPr>
            <b/>
            <i/>
            <sz val="9"/>
            <color indexed="81"/>
            <rFont val="Tahoma"/>
            <family val="2"/>
          </rPr>
          <t xml:space="preserve">Conditional
</t>
        </r>
        <r>
          <rPr>
            <b/>
            <sz val="9"/>
            <color indexed="81"/>
            <rFont val="Tahoma"/>
            <family val="2"/>
          </rPr>
          <t>String
Max Length = 250</t>
        </r>
        <r>
          <rPr>
            <sz val="9"/>
            <color indexed="81"/>
            <rFont val="Tahoma"/>
            <family val="2"/>
          </rPr>
          <t xml:space="preserve">
A brief reason for why the Subaward Amount (Obligation) changed.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Author</author>
    <author>Joe Comeau</author>
  </authors>
  <commentList>
    <comment ref="A10" authorId="0" shapeId="0" xr:uid="{C5027264-4262-4C2F-9E44-E3D688BC1EDC}">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27BEE856-58E9-4D24-ABB1-032391161FF9}">
      <text>
        <r>
          <rPr>
            <b/>
            <i/>
            <sz val="9"/>
            <color indexed="81"/>
            <rFont val="Tahoma"/>
            <family val="2"/>
          </rPr>
          <t xml:space="preserve">Required
</t>
        </r>
        <r>
          <rPr>
            <b/>
            <sz val="9"/>
            <color indexed="81"/>
            <rFont val="Tahoma"/>
            <family val="2"/>
          </rPr>
          <t>String
Max Length = 20</t>
        </r>
        <r>
          <rPr>
            <sz val="9"/>
            <color indexed="81"/>
            <rFont val="Tahoma"/>
            <family val="2"/>
          </rPr>
          <t xml:space="preserve">
Subaward number that allows the Recipient to associate Expenditure records to Subaward records. Enter Subaward Number. Subaward Number is not required if Expenditure Category is "Administrative Cost".</t>
        </r>
      </text>
    </comment>
    <comment ref="D12" authorId="1" shapeId="0" xr:uid="{7E90E620-48A2-4211-8296-4FC777CBCBD8}">
      <text>
        <r>
          <rPr>
            <b/>
            <i/>
            <sz val="9"/>
            <color indexed="81"/>
            <rFont val="Tahoma"/>
            <family val="2"/>
          </rPr>
          <t xml:space="preserve">Informational
</t>
        </r>
        <r>
          <rPr>
            <b/>
            <sz val="9"/>
            <color indexed="81"/>
            <rFont val="Tahoma"/>
            <family val="2"/>
          </rPr>
          <t>Display Only
Max Length = N/A</t>
        </r>
        <r>
          <rPr>
            <sz val="9"/>
            <color indexed="81"/>
            <rFont val="Tahoma"/>
            <family val="2"/>
          </rPr>
          <t xml:space="preserve">
The Legal Name based on the subaward on the Awards &gt; 50000 sheet.</t>
        </r>
      </text>
    </comment>
    <comment ref="E12" authorId="1" shapeId="0" xr:uid="{78D4A27C-8DF6-4097-BAE0-AEF0382723C7}">
      <text>
        <r>
          <rPr>
            <b/>
            <i/>
            <sz val="9"/>
            <color indexed="81"/>
            <rFont val="Tahoma"/>
            <family val="2"/>
          </rPr>
          <t xml:space="preserve">Required
</t>
        </r>
        <r>
          <rPr>
            <b/>
            <sz val="9"/>
            <color indexed="81"/>
            <rFont val="Tahoma"/>
            <family val="2"/>
          </rPr>
          <t>Date
mm/dd/yyyy</t>
        </r>
        <r>
          <rPr>
            <sz val="9"/>
            <color indexed="81"/>
            <rFont val="Tahoma"/>
            <family val="2"/>
          </rPr>
          <t xml:space="preserve">
Start date for the range of time when the expenditure(s) occurred.</t>
        </r>
      </text>
    </comment>
    <comment ref="F12" authorId="1" shapeId="0" xr:uid="{2EAD8940-31A9-4524-B7B5-9280E1F369EE}">
      <text>
        <r>
          <rPr>
            <b/>
            <i/>
            <sz val="9"/>
            <color indexed="81"/>
            <rFont val="Tahoma"/>
            <family val="2"/>
          </rPr>
          <t xml:space="preserve">Required
</t>
        </r>
        <r>
          <rPr>
            <b/>
            <sz val="9"/>
            <color indexed="81"/>
            <rFont val="Tahoma"/>
            <family val="2"/>
          </rPr>
          <t>Date
mm/dd/yyyy</t>
        </r>
        <r>
          <rPr>
            <sz val="9"/>
            <color indexed="81"/>
            <rFont val="Tahoma"/>
            <family val="2"/>
          </rPr>
          <t xml:space="preserve">
End date for the range of time when the expenditure(s) occurred.</t>
        </r>
      </text>
    </comment>
    <comment ref="G12" authorId="1" shapeId="0" xr:uid="{06D38D3D-C215-498D-9002-BD55E08AB1E4}">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amount of SLFRF dollars on the Subaward.</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Author</author>
    <author>Joe Comeau</author>
  </authors>
  <commentList>
    <comment ref="A10" authorId="0" shapeId="0" xr:uid="{EFE4896E-A280-4B6B-9F20-8B80AD0EC444}">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A9A54C55-9302-46C1-BE56-466ECF786D2C}">
      <text>
        <r>
          <rPr>
            <b/>
            <i/>
            <sz val="9"/>
            <color indexed="81"/>
            <rFont val="Tahoma"/>
            <family val="2"/>
          </rPr>
          <t xml:space="preserve">Required
</t>
        </r>
        <r>
          <rPr>
            <b/>
            <sz val="9"/>
            <color indexed="81"/>
            <rFont val="Tahoma"/>
            <family val="2"/>
          </rPr>
          <t>String
Max Length = 20</t>
        </r>
        <r>
          <rPr>
            <sz val="9"/>
            <color indexed="81"/>
            <rFont val="Tahoma"/>
            <family val="2"/>
          </rPr>
          <t xml:space="preserve">
Recipient Project ID that allows the Recipient to associate Expenditure records to Project records.</t>
        </r>
      </text>
    </comment>
    <comment ref="D12" authorId="1" shapeId="0" xr:uid="{DB03CDEE-D694-4C0E-8A96-1B50B4DCFB34}">
      <text>
        <r>
          <rPr>
            <b/>
            <i/>
            <sz val="9"/>
            <color indexed="81"/>
            <rFont val="Tahoma"/>
            <family val="2"/>
          </rPr>
          <t xml:space="preserve">Required
</t>
        </r>
        <r>
          <rPr>
            <b/>
            <sz val="9"/>
            <color indexed="81"/>
            <rFont val="Tahoma"/>
            <family val="2"/>
          </rPr>
          <t>Pick List
Max Length = N/A</t>
        </r>
        <r>
          <rPr>
            <sz val="9"/>
            <color indexed="81"/>
            <rFont val="Tahoma"/>
            <family val="2"/>
          </rPr>
          <t xml:space="preserve">
The Subaward Type that had obligation or expenditure/payment activity during the reporting period.</t>
        </r>
      </text>
    </comment>
    <comment ref="E12" authorId="1" shapeId="0" xr:uid="{E08E7EBE-0D10-4F21-8954-65A867EE88DF}">
      <text>
        <r>
          <rPr>
            <b/>
            <i/>
            <sz val="9"/>
            <color indexed="81"/>
            <rFont val="Tahoma"/>
            <family val="2"/>
          </rPr>
          <t xml:space="preserve">Required
</t>
        </r>
        <r>
          <rPr>
            <b/>
            <sz val="9"/>
            <color indexed="81"/>
            <rFont val="Tahoma"/>
            <family val="2"/>
          </rPr>
          <t>Currency
Max Length = 12, 2</t>
        </r>
        <r>
          <rPr>
            <sz val="9"/>
            <color indexed="81"/>
            <rFont val="Tahoma"/>
            <family val="2"/>
          </rPr>
          <t xml:space="preserve">
Sum of sub-award amounts/obligations during the most recent period for this Sub-Award Type (Aggregates).</t>
        </r>
      </text>
    </comment>
    <comment ref="F12" authorId="1" shapeId="0" xr:uid="{508F1948-8A27-409C-A29E-B270C669C54E}">
      <text>
        <r>
          <rPr>
            <b/>
            <i/>
            <sz val="9"/>
            <color indexed="81"/>
            <rFont val="Tahoma"/>
            <family val="2"/>
          </rPr>
          <t xml:space="preserve">Required
</t>
        </r>
        <r>
          <rPr>
            <b/>
            <sz val="9"/>
            <color indexed="81"/>
            <rFont val="Tahoma"/>
            <family val="2"/>
          </rPr>
          <t>Currency
Max Length = 12, 2</t>
        </r>
        <r>
          <rPr>
            <sz val="9"/>
            <color indexed="81"/>
            <rFont val="Tahoma"/>
            <family val="2"/>
          </rPr>
          <t xml:space="preserve">
Sum of Expenditures or Payments during the most recent period for this SubAward Type (Aggregates).</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B2" authorId="0" shapeId="0" xr:uid="{6068BD92-F5C2-47BD-A2BB-BFDD8F6C1ECA}">
      <text>
        <r>
          <rPr>
            <b/>
            <sz val="9"/>
            <color indexed="81"/>
            <rFont val="Tahoma"/>
            <family val="2"/>
          </rPr>
          <t xml:space="preserve">Partner Specific:
</t>
        </r>
        <r>
          <rPr>
            <sz val="9"/>
            <color indexed="81"/>
            <rFont val="Tahoma"/>
            <family val="2"/>
          </rPr>
          <t>Enter your unique agency identity codes here. Click 'Update Agencies' to apply the changes to the list on the Cover sheet.</t>
        </r>
        <r>
          <rPr>
            <sz val="9"/>
            <color indexed="81"/>
            <rFont val="Tahoma"/>
            <family val="2"/>
          </rPr>
          <t xml:space="preserve">
</t>
        </r>
      </text>
    </comment>
  </commentList>
</comments>
</file>

<file path=xl/sharedStrings.xml><?xml version="1.0" encoding="utf-8"?>
<sst xmlns="http://schemas.openxmlformats.org/spreadsheetml/2006/main" count="6400" uniqueCount="1043">
  <si>
    <t>Certification</t>
  </si>
  <si>
    <t>Agency Financial Reviewer Name</t>
  </si>
  <si>
    <t>Date</t>
  </si>
  <si>
    <t>By signing this report, I certify to the best of my knowledge and belief that the report is true, complete, and accurate, and the expenditures, disbursements and cash receipts are for the purposes and objectives set forth in the terms and conditions of the Federal award. I am aware that any false, fictitious, or fraudulent information, or the omission of any material fact, may subject me to criminal, civil or administrative penalties for fraud, false statements, false claims or otherwise. (U.S. Code Title 18, Section 1001 and Title 31, Sections 3729-3730 and 3801-3812). (2 CFR 200.415)</t>
  </si>
  <si>
    <t>Agency Code</t>
  </si>
  <si>
    <t>Project ID</t>
  </si>
  <si>
    <t>Reporting Period End Date</t>
  </si>
  <si>
    <t>Project Name</t>
  </si>
  <si>
    <t>GA</t>
  </si>
  <si>
    <t>Legal Name</t>
  </si>
  <si>
    <t>Address Line 1</t>
  </si>
  <si>
    <t>Address Line 2</t>
  </si>
  <si>
    <t>Address Line 3</t>
  </si>
  <si>
    <t>City Name</t>
  </si>
  <si>
    <t>State Code</t>
  </si>
  <si>
    <t>Zip</t>
  </si>
  <si>
    <t>RI</t>
  </si>
  <si>
    <t>United States</t>
  </si>
  <si>
    <t>MA</t>
  </si>
  <si>
    <t>NJ</t>
  </si>
  <si>
    <t>IL</t>
  </si>
  <si>
    <t>CT</t>
  </si>
  <si>
    <t>FL</t>
  </si>
  <si>
    <t>NY</t>
  </si>
  <si>
    <t>MI</t>
  </si>
  <si>
    <t>TN</t>
  </si>
  <si>
    <t>CA</t>
  </si>
  <si>
    <t>TX</t>
  </si>
  <si>
    <t>VA</t>
  </si>
  <si>
    <t>KY</t>
  </si>
  <si>
    <t>PA</t>
  </si>
  <si>
    <t>NC</t>
  </si>
  <si>
    <t>ID</t>
  </si>
  <si>
    <t>MD</t>
  </si>
  <si>
    <t>UT</t>
  </si>
  <si>
    <t>CO</t>
  </si>
  <si>
    <t>DC</t>
  </si>
  <si>
    <t>WA</t>
  </si>
  <si>
    <t>WI</t>
  </si>
  <si>
    <t>AR</t>
  </si>
  <si>
    <t>OH</t>
  </si>
  <si>
    <t>MN</t>
  </si>
  <si>
    <t>MO</t>
  </si>
  <si>
    <t>NH</t>
  </si>
  <si>
    <t>MS</t>
  </si>
  <si>
    <t>IN</t>
  </si>
  <si>
    <t>ME</t>
  </si>
  <si>
    <t>IA</t>
  </si>
  <si>
    <t>NV</t>
  </si>
  <si>
    <t>MT</t>
  </si>
  <si>
    <t>AZ</t>
  </si>
  <si>
    <t>SC</t>
  </si>
  <si>
    <t>NE</t>
  </si>
  <si>
    <t>AL</t>
  </si>
  <si>
    <t xml:space="preserve">Period of Performance Start Date </t>
  </si>
  <si>
    <t xml:space="preserve">Period of Performance End Date </t>
  </si>
  <si>
    <t xml:space="preserve">Primary Place of Performance Address Line 1 </t>
  </si>
  <si>
    <t>Primary Place of Performance Address Line 2</t>
  </si>
  <si>
    <t>Primary Place of Performance Address Line 3</t>
  </si>
  <si>
    <t xml:space="preserve">Primary Place of Performance City Name </t>
  </si>
  <si>
    <t xml:space="preserve">Primary Place of Performance State Code </t>
  </si>
  <si>
    <t>Primary Place of Performance Zip</t>
  </si>
  <si>
    <t>Current Quarter Obligation</t>
  </si>
  <si>
    <t>Expenditure Start Date</t>
  </si>
  <si>
    <t>Expenditure End Date</t>
  </si>
  <si>
    <t>Total Expenditure Amount</t>
  </si>
  <si>
    <t>Funding Type</t>
  </si>
  <si>
    <t>Current Quarter Expenditure/Payments</t>
  </si>
  <si>
    <t>CRF Project Summary Financial Report</t>
  </si>
  <si>
    <t>Award Type</t>
  </si>
  <si>
    <t>Award Amounts (Awards ≥ $50,000 only)</t>
  </si>
  <si>
    <t>Obligations - Prior Periods</t>
  </si>
  <si>
    <t>Current Reporting Period Obligation Amounts</t>
  </si>
  <si>
    <t>Cumulative Obligation Amounts</t>
  </si>
  <si>
    <t>Expenditures - Prior Periods</t>
  </si>
  <si>
    <t>Current Reporting Period Expenditure Amounts</t>
  </si>
  <si>
    <t>Cumulative Expenditure Amounts</t>
  </si>
  <si>
    <t>Award Balance - Prior Periods</t>
  </si>
  <si>
    <t>Award Balance - Current Period</t>
  </si>
  <si>
    <t>Cumulative Award Balance</t>
  </si>
  <si>
    <t>Contract Amounts</t>
  </si>
  <si>
    <t>Grant Amounts</t>
  </si>
  <si>
    <t>Loan Amounts</t>
  </si>
  <si>
    <t>Transfer Amounts</t>
  </si>
  <si>
    <t>Direct Payments</t>
  </si>
  <si>
    <t>Contracts &lt; $50k</t>
  </si>
  <si>
    <t>Grants &lt; $50k</t>
  </si>
  <si>
    <t>Loans &lt; $50k</t>
  </si>
  <si>
    <t>Transfers &lt; $50k</t>
  </si>
  <si>
    <t>Direct Payments &lt; $50k</t>
  </si>
  <si>
    <t>Pmts to Individuals</t>
  </si>
  <si>
    <t>CRF Project TOTALS</t>
  </si>
  <si>
    <r>
      <t xml:space="preserve">Negative </t>
    </r>
    <r>
      <rPr>
        <b/>
        <u/>
        <sz val="11"/>
        <color rgb="FF000000"/>
        <rFont val="Calibri"/>
        <family val="2"/>
      </rPr>
      <t>Cumulative</t>
    </r>
    <r>
      <rPr>
        <b/>
        <sz val="11"/>
        <color rgb="FF000000"/>
        <rFont val="Calibri"/>
        <family val="2"/>
      </rPr>
      <t xml:space="preserve"> Award Balances will cause your upload to fail and/or require corrections.  </t>
    </r>
  </si>
  <si>
    <t>Correct data on relevant tab(s).  Please do NOT change this tab.</t>
  </si>
  <si>
    <t>Tab</t>
  </si>
  <si>
    <t xml:space="preserve">Cover </t>
  </si>
  <si>
    <t>Multiple</t>
  </si>
  <si>
    <t>Aggregate Awards</t>
  </si>
  <si>
    <t>Field</t>
  </si>
  <si>
    <t>Country</t>
  </si>
  <si>
    <t>Dropdown Options</t>
  </si>
  <si>
    <t>Not started</t>
  </si>
  <si>
    <t>Yes</t>
  </si>
  <si>
    <t>AK</t>
  </si>
  <si>
    <t>Canada</t>
  </si>
  <si>
    <t>No</t>
  </si>
  <si>
    <t>Completed 50% or more</t>
  </si>
  <si>
    <t>AS</t>
  </si>
  <si>
    <t>Mexico</t>
  </si>
  <si>
    <t>DE</t>
  </si>
  <si>
    <t>FM</t>
  </si>
  <si>
    <t>GU</t>
  </si>
  <si>
    <t>HI</t>
  </si>
  <si>
    <t>Other</t>
  </si>
  <si>
    <t>KS</t>
  </si>
  <si>
    <t>LA</t>
  </si>
  <si>
    <t>MH</t>
  </si>
  <si>
    <t>NM</t>
  </si>
  <si>
    <t>ND</t>
  </si>
  <si>
    <t>MP</t>
  </si>
  <si>
    <t>OK</t>
  </si>
  <si>
    <t>OR</t>
  </si>
  <si>
    <t>PW</t>
  </si>
  <si>
    <t>PR</t>
  </si>
  <si>
    <t>SD</t>
  </si>
  <si>
    <t>VT</t>
  </si>
  <si>
    <t>VI</t>
  </si>
  <si>
    <t>WV</t>
  </si>
  <si>
    <t>WY</t>
  </si>
  <si>
    <t>Detailed Expenditure Category</t>
  </si>
  <si>
    <t>Add instructions to this tab?</t>
  </si>
  <si>
    <t>Whether those wages are at rates less than those prevailing</t>
  </si>
  <si>
    <t>Whether workers on the project will receive wages and benefits that will secure an appropriately skilled workforce in the context of the local or regional labor market</t>
  </si>
  <si>
    <t xml:space="preserve">Whether the project has completed a project labor agreement. </t>
  </si>
  <si>
    <t>N/A</t>
  </si>
  <si>
    <t>Lock columns I, J.  Still allows data to be pasted from J to H</t>
  </si>
  <si>
    <t xml:space="preserve">Number of government FTEs responding to COVID-19 supported under this </t>
  </si>
  <si>
    <t>Number of workers to be served</t>
  </si>
  <si>
    <t>Name</t>
  </si>
  <si>
    <t>Project_Identification_Number__c</t>
  </si>
  <si>
    <t>Completion_Status__c</t>
  </si>
  <si>
    <t>Adopted_Budget__c</t>
  </si>
  <si>
    <t>Total_Obligations__c</t>
  </si>
  <si>
    <t>Total_Expenditures__c</t>
  </si>
  <si>
    <t>Does_Project_Include_Capital_Expenditure__c</t>
  </si>
  <si>
    <t>Total_Cost_Capital_Expenditure__c</t>
  </si>
  <si>
    <t>Project_Description__c</t>
  </si>
  <si>
    <t>Program_Income_Earned__c</t>
  </si>
  <si>
    <t>Program_Income_Expended__c</t>
  </si>
  <si>
    <t>Required</t>
  </si>
  <si>
    <t>Optional</t>
  </si>
  <si>
    <t>Label</t>
  </si>
  <si>
    <t>Project Identification Number
(Assigned by recipient)</t>
  </si>
  <si>
    <t>Status of Completion</t>
  </si>
  <si>
    <t>Adopted Budget</t>
  </si>
  <si>
    <t>Does this project include a capital expenditure?</t>
  </si>
  <si>
    <t>If yes, what is the total expected capital expenditure?</t>
  </si>
  <si>
    <t>Project Description</t>
  </si>
  <si>
    <t>Program Income Earned</t>
  </si>
  <si>
    <t>Program Income Expended</t>
  </si>
  <si>
    <t>Enter Project Name (Text - max Characters 80)</t>
  </si>
  <si>
    <t>Enter Project Description (Text - max characters 1,500)</t>
  </si>
  <si>
    <t>Required/Optional?</t>
  </si>
  <si>
    <t>Treasury Column Title (Field ID)</t>
  </si>
  <si>
    <t>Column Label</t>
  </si>
  <si>
    <t xml:space="preserve">Users will complete these fields, may do multiple rows </t>
  </si>
  <si>
    <t>List Values</t>
  </si>
  <si>
    <t xml:space="preserve">Data Type </t>
  </si>
  <si>
    <t>Max Length</t>
  </si>
  <si>
    <t>String</t>
  </si>
  <si>
    <t>Not started
Completed less than 50%
Completed 50% or more
Completed"</t>
  </si>
  <si>
    <t>Pick List</t>
  </si>
  <si>
    <t>Identification number assigned to project by recipient. DO NOT USE Duplicate Project Numbers, system updates record on duplicate project ID.</t>
  </si>
  <si>
    <t>Currency</t>
  </si>
  <si>
    <t>12,2</t>
  </si>
  <si>
    <t xml:space="preserve">The amount of the adopted budget  for this project. </t>
  </si>
  <si>
    <t xml:space="preserve">The total dollar value of obligations for this project.  </t>
  </si>
  <si>
    <t xml:space="preserve">The total dollar value of expenditures for this project. </t>
  </si>
  <si>
    <t>Yes
No</t>
  </si>
  <si>
    <t xml:space="preserve">If you answered "Yes" to the previous question, enter the total dollar value of the expected capital expenditure. </t>
  </si>
  <si>
    <t>Enter the amount of Federal program income earned.</t>
  </si>
  <si>
    <t>Enter the amount of program income that was used to cover eligible project costs.</t>
  </si>
  <si>
    <t>ALL EC1</t>
  </si>
  <si>
    <t>TBD</t>
  </si>
  <si>
    <t>Payroll_Public_Health_Safety__c</t>
  </si>
  <si>
    <t>Numeric</t>
  </si>
  <si>
    <t>ALL EC2</t>
  </si>
  <si>
    <t>Individuals_Served__c</t>
  </si>
  <si>
    <t xml:space="preserve">Number of households served (by program if recipient establishes multiple separate
household assistance programs) </t>
  </si>
  <si>
    <t>Number_of_FTEs_Rehired__c</t>
  </si>
  <si>
    <t>Number of FTEs rehired by governments under this authority</t>
  </si>
  <si>
    <t>Number of FTEs rehired by governments under this authority.</t>
  </si>
  <si>
    <t>ALL EC3</t>
  </si>
  <si>
    <t>School_ID_or_District_ID__c</t>
  </si>
  <si>
    <t>The National Center for Education Statistics ("NCES") School ID or NCES District
ID.  Separate IDs with comma's for multiple entries.
Example - 10002, 10005,10010, etc</t>
  </si>
  <si>
    <t>Sectors_Critical_to_Health_Well_Being__c</t>
  </si>
  <si>
    <t>Workers_Served__c</t>
  </si>
  <si>
    <t>Premium_Pay_Narrative__c</t>
  </si>
  <si>
    <t>Sectors Designated as Essential Critical Infrastructure</t>
  </si>
  <si>
    <t>Premium Pay Narrative</t>
  </si>
  <si>
    <t>List of Sectors Designated as Essential Critical Infrastructure by the chief executive of the jurisdiction, if beyond those included in the Interim Final
Rule
(Text - max characters 1,500)</t>
  </si>
  <si>
    <t>For groups of workers that do not meet one of the two criteria, submit a written justification describing how the premium pay or grant is responsive to workers performing essential work during the public health emergency: 1) eligible worker receiving premium pay is earning (with the premium included) below 150 percent of their residing state or countys average annual wage for all occupations, as defined by the Bureau of Labor Statistics Occupational Employment and Wage Statistics, whichever is higher, on an annual basis; or 2) eligible worker receiving premium pay is not exempt from the Fair Labor Standards Act overtime provisions. Please see User Guide for additional detail on information to include and not to include in the description</t>
  </si>
  <si>
    <t>ALL EC4</t>
  </si>
  <si>
    <t>Zip4</t>
  </si>
  <si>
    <t>Unique_Entity_Identifier__c</t>
  </si>
  <si>
    <t>POC_Email_Address__c</t>
  </si>
  <si>
    <t>Address__c</t>
  </si>
  <si>
    <t>Address_2__c</t>
  </si>
  <si>
    <t>Address_3__c</t>
  </si>
  <si>
    <t>City__c</t>
  </si>
  <si>
    <t>State_Abbreviated__c</t>
  </si>
  <si>
    <t>Zip__c</t>
  </si>
  <si>
    <t>Zip_4__c</t>
  </si>
  <si>
    <t>Registered_in_Sam_gov__c</t>
  </si>
  <si>
    <t>Federal_Funds_80_or_More_of_Revenue__c</t>
  </si>
  <si>
    <t>Derives_25_Million_or_More_from_Federal__c</t>
  </si>
  <si>
    <t>Total_Compensation_for_Officers_Public__c</t>
  </si>
  <si>
    <t>Officer_Name__c</t>
  </si>
  <si>
    <t>Officer_Total_Comp__c</t>
  </si>
  <si>
    <t>Officer_2_Name__c</t>
  </si>
  <si>
    <t>Officer_2_Total_Comp__c</t>
  </si>
  <si>
    <t>Officer_3_Name__c</t>
  </si>
  <si>
    <t>Officer_3_Total_Comp__c</t>
  </si>
  <si>
    <t>Officer_4_Name__c</t>
  </si>
  <si>
    <t>Officer_4_Total_Comp__c</t>
  </si>
  <si>
    <t>Officer_5_Name__c</t>
  </si>
  <si>
    <t>Officer_5_Total_Comp__c</t>
  </si>
  <si>
    <t>In its preceding fiscal year, did recipient receive 80% or more of its annual gross revenue from federal funds?</t>
  </si>
  <si>
    <t>In the preceding fiscal year, did recipient receive $25 million or more of its annual gross revenue from federal funds?</t>
  </si>
  <si>
    <t>Executive Name (1)</t>
  </si>
  <si>
    <t>Total Compensation Executive (1)</t>
  </si>
  <si>
    <t>Executive Name (2)</t>
  </si>
  <si>
    <t>Total Compensation Executive (2)</t>
  </si>
  <si>
    <t>Executive Name (3)</t>
  </si>
  <si>
    <t>Total Compensation Executive (3)</t>
  </si>
  <si>
    <t>Executive Name (4)</t>
  </si>
  <si>
    <t>Total Compensation Executive (4)</t>
  </si>
  <si>
    <t>Executive Name (5)</t>
  </si>
  <si>
    <t>Total Compensation Executive (5)</t>
  </si>
  <si>
    <t xml:space="preserve">Confirmation that the proportion of the Sub-Recipient's federal funding-to-total annual gross revenue for the preceding fiscal year is at least 80%.
Must select Yes or No. </t>
  </si>
  <si>
    <t xml:space="preserve">Confirmation that the Sub-Recipient's total annual gross revenue from federal funding across all programs for the preceding fiscal year is greater than $25 million. 
Must select Yes or No. </t>
  </si>
  <si>
    <t xml:space="preserve">Confirmation that qualifying Sub-Recipient's publicly identify their top five highest compensated executives or have it listed in their SAM.gov profile, if No please enter the names and compensation for the 5 highest officers. 
Must select Yes or No. </t>
  </si>
  <si>
    <t xml:space="preserve">The legal name belonging to one of the five highest paid executives, officers, or employees of the Sub-Recipient. </t>
  </si>
  <si>
    <t xml:space="preserve">The Total Compensation, as defined in 2 CFR part 170.330, earned by the five highest paid executives, officers, or employees of the Sub-Recipient. 
DO NOT include a "$" sign when entering compensation. </t>
  </si>
  <si>
    <t>The legal name belonging to one of the five highest paid executives, officers, or employees of the Sub-Recipient.</t>
  </si>
  <si>
    <t xml:space="preserve">The Total Compensation, as defined in 2 CFR part 170.330, earned by the five highest paid executives, officers, or employees of the Sub-Recipient.
DO NOT include a "$" sign when entering compensation. </t>
  </si>
  <si>
    <t>2 Letter State abbr.</t>
  </si>
  <si>
    <t>Award_No__c</t>
  </si>
  <si>
    <t>Award_Type__c</t>
  </si>
  <si>
    <t>Award_Amount__c</t>
  </si>
  <si>
    <t>Award_Date__c</t>
  </si>
  <si>
    <t>Primary_Sector__c</t>
  </si>
  <si>
    <t>If_Other__c</t>
  </si>
  <si>
    <t>Primary Sector</t>
  </si>
  <si>
    <t>If Other</t>
  </si>
  <si>
    <t>SubAward Type</t>
  </si>
  <si>
    <t>SubAward Amount (Obligation)</t>
  </si>
  <si>
    <t>SubAward Award Date</t>
  </si>
  <si>
    <t>Period_of_Performance_Start__c</t>
  </si>
  <si>
    <t>Period_of_Performance_End__c</t>
  </si>
  <si>
    <t>Place_of_Performance_Address_1__c</t>
  </si>
  <si>
    <t>Place_of_Performance_Address_2__c</t>
  </si>
  <si>
    <t>Place_of_Performance_Address_3__c</t>
  </si>
  <si>
    <t>Place_of_Performance_City__c</t>
  </si>
  <si>
    <t>Place_of_Performance_Zip__c</t>
  </si>
  <si>
    <t>Place_of_Performance_Zip_4__c</t>
  </si>
  <si>
    <t>Place of Performance Zip4</t>
  </si>
  <si>
    <t>SubAward Description</t>
  </si>
  <si>
    <t>Description__c</t>
  </si>
  <si>
    <t>Expenditure_Start__c</t>
  </si>
  <si>
    <t>Expenditure_End__c</t>
  </si>
  <si>
    <t>Expenditure_Amount__c</t>
  </si>
  <si>
    <t xml:space="preserve"> "Contract: Purchase Order"
 "Contract: Delivery Order"
 "Contract: Blanket Purchase Agreement"
 "Contract: Definitive Contract"
 "Grant: Lump Sum Payment(s)"
 "Grant: Reimbursable"
 "Direct Payment"
 "Transfer: Lump Sum Payment(s)"
 "Transfer: Reimbursable"  
 "Loan - maturity prior to 12/31/26 with planned forgiveness"
 "Loan - maturity prior to 12/31/26 without planned forgiveness"
 "Loan - maturity past 12/31/26 with planned forgiveness"
 "Loan - maturity past 12/31/26 without planned forgiveness"</t>
  </si>
  <si>
    <t xml:space="preserve"> "Aggregate of Contracts Awarded"
 "Aggregate of Grants Awarded"
 "Aggregate of Loans Issued"
 "Aggregate of Transfers"
 "Aggregate of Direct Payments"
Payments to Individuals</t>
  </si>
  <si>
    <t>12, 2</t>
  </si>
  <si>
    <t>ALL EC5</t>
  </si>
  <si>
    <t>Proj_Actual_Construction_Start_Date__c</t>
  </si>
  <si>
    <t>Initiation_of_Operations_Date__c</t>
  </si>
  <si>
    <t>Projected/actual construction start date</t>
  </si>
  <si>
    <t>Projected/actual initiation of operations date</t>
  </si>
  <si>
    <t>Location (for broadband, geospatial location data)</t>
  </si>
  <si>
    <t>All EC5</t>
  </si>
  <si>
    <t>Location Details</t>
  </si>
  <si>
    <t>Required if DB is No</t>
  </si>
  <si>
    <t xml:space="preserve"> The wages and benefits of workers on the project by classification</t>
  </si>
  <si>
    <t xml:space="preserve">the number of employees of contractors and sub-contractors working on the project; </t>
  </si>
  <si>
    <t>The number of employees on the project hired directly and hired through a third party;</t>
  </si>
  <si>
    <t>Required if PLA is No</t>
  </si>
  <si>
    <t>How the recipient will ensure the project has ready access to a sufficient supply of appropriately skilled and unskilled labor to ensure high-quality construction throughout the life of the project, including a description of any required professional certifications and/or in-house training;</t>
  </si>
  <si>
    <t xml:space="preserve">How the recipient will minimize risks of labor disputes and disruptions that would jeopardize timeliness and cost-effectiveness of the project; </t>
  </si>
  <si>
    <t xml:space="preserve">How the recipient will provide a safe and healthy workplace that avoids delays and costs associated with workplace illnesses, injuries, and fatalities, including descriptions of safety training, certification, and/or licensure requirements for all relevant workers (e.g., OSHA 10, OSHA 30);  </t>
  </si>
  <si>
    <t>Latitude/longitude (WGS84 or NAD83 geographic coordinate system)
Address
Address Range
Road Segment</t>
  </si>
  <si>
    <t>This field is:
NOT REQUIRED if you selected "Not Started" for the "Status to Completion" question. 
Projected/actual construction start date  Valid Date - (MM/DD/YYYY)</t>
  </si>
  <si>
    <t>ADJ01</t>
  </si>
  <si>
    <t>AGE01</t>
  </si>
  <si>
    <t>AGO01</t>
  </si>
  <si>
    <t>AGR01</t>
  </si>
  <si>
    <t>ART01</t>
  </si>
  <si>
    <t>BOR01</t>
  </si>
  <si>
    <t>BWC01</t>
  </si>
  <si>
    <t>DAS01</t>
  </si>
  <si>
    <t>DEV01</t>
  </si>
  <si>
    <t>DMH01</t>
  </si>
  <si>
    <t>DNR01</t>
  </si>
  <si>
    <t>DOH01</t>
  </si>
  <si>
    <t>DPS01</t>
  </si>
  <si>
    <t>DRC01</t>
  </si>
  <si>
    <t>DVS01</t>
  </si>
  <si>
    <t>EDU01</t>
  </si>
  <si>
    <t>EPA01</t>
  </si>
  <si>
    <t>JFS01</t>
  </si>
  <si>
    <t>OBM01</t>
  </si>
  <si>
    <t>Expenditures</t>
  </si>
  <si>
    <t>Types</t>
  </si>
  <si>
    <t>Contract: Purchase Order</t>
  </si>
  <si>
    <t>Contract: Delivery Order</t>
  </si>
  <si>
    <t>Contract: Blanket Purchase Agreement</t>
  </si>
  <si>
    <t>Contract: Definitive Contract</t>
  </si>
  <si>
    <t>Grant: Lump Sum Payment(s)</t>
  </si>
  <si>
    <t>Grant: Reimbursable</t>
  </si>
  <si>
    <t>Direct Payment</t>
  </si>
  <si>
    <t>Transfer: Lump Sum Payment(s)</t>
  </si>
  <si>
    <t>Transfer: Reimbursable</t>
  </si>
  <si>
    <t>Loan - maturity prior to 12/31/26 with planned forgiveness</t>
  </si>
  <si>
    <t>Loan - maturity prior to 12/31/26 without planned forgiveness</t>
  </si>
  <si>
    <t>Loan - maturity past 12/31/26 with planned forgiveness</t>
  </si>
  <si>
    <t>Loan - maturity past 12/31/26 without planned forgiveness</t>
  </si>
  <si>
    <t>Upload ID</t>
  </si>
  <si>
    <t>Point of Contact Email Address</t>
  </si>
  <si>
    <t>Recipient SAM.gov Registration?</t>
  </si>
  <si>
    <t>SubAward Number (unique identifier)</t>
  </si>
  <si>
    <t>Aggregate Sub Award Type</t>
  </si>
  <si>
    <t>Payments to Individuals</t>
  </si>
  <si>
    <t>Aggregate of Contracts Awarded</t>
  </si>
  <si>
    <t>Aggregate of Grants Awarded</t>
  </si>
  <si>
    <t>Aggregate of Loans Issued</t>
  </si>
  <si>
    <t>Aggregate of Transfers</t>
  </si>
  <si>
    <t>Aggregate of Direct Payments</t>
  </si>
  <si>
    <t>Project Status</t>
  </si>
  <si>
    <t>Not started
Completed less than 50%
Completed 50% or more
Completed</t>
  </si>
  <si>
    <t>Completed less than 50%</t>
  </si>
  <si>
    <t>Completed</t>
  </si>
  <si>
    <t>EC 1.9</t>
  </si>
  <si>
    <t>Yes/No Questions</t>
  </si>
  <si>
    <t>Expenditure Category Group</t>
  </si>
  <si>
    <t>1-Public Health</t>
  </si>
  <si>
    <t>2-Negative Economic Impacts</t>
  </si>
  <si>
    <t>7-Administrative and Other</t>
  </si>
  <si>
    <t>4-Premium Pay</t>
  </si>
  <si>
    <t>5-Infrastructure</t>
  </si>
  <si>
    <t>5.1-Clean Water: Centralized wastewater treatment</t>
  </si>
  <si>
    <t>5.2-Clean Water: Centralized wastewater collection and conveyance</t>
  </si>
  <si>
    <t>5.3-Clean Water: Decentralized wastewater</t>
  </si>
  <si>
    <t>5.4-Clean Water: Combined sewer overflows</t>
  </si>
  <si>
    <t>5.5-Clean Water: Other sewer infrastructure</t>
  </si>
  <si>
    <t>5.6-Clean Water: Stormwater</t>
  </si>
  <si>
    <t>5.7-Clean Water: Energy conservation</t>
  </si>
  <si>
    <t>5.8-Clean Water: Water conservation</t>
  </si>
  <si>
    <t>5.9-Clean Water: Nonpoint source</t>
  </si>
  <si>
    <t>5.11-Drinking water: Transmission &amp; distribution</t>
  </si>
  <si>
    <t>5.13-Drinking water: Source</t>
  </si>
  <si>
    <t>5.14-Drinking water: Storage</t>
  </si>
  <si>
    <t>5.15-Drinking water: Other water infrastructure</t>
  </si>
  <si>
    <t>2.1-Household Assistance: Food Programs</t>
  </si>
  <si>
    <t>2.3-Household Assistance: Cash Transfers</t>
  </si>
  <si>
    <t>2.4-Household Assistance: Internet Access Programs</t>
  </si>
  <si>
    <t>4.1-Public Sector Employees</t>
  </si>
  <si>
    <t>4.2-Private Sector: Grants to other employers</t>
  </si>
  <si>
    <t>1.1-COVID-19 Vaccination</t>
  </si>
  <si>
    <t>1.2-COVID-19 Testing</t>
  </si>
  <si>
    <t>1.3-COVID-19 Contact Tracing</t>
  </si>
  <si>
    <t>1.5-Personal Protective Equipment</t>
  </si>
  <si>
    <t>1.6-Medical Expenses (including Alternative Care Facilities)</t>
  </si>
  <si>
    <t>7.1-Administrative Expenses</t>
  </si>
  <si>
    <t>Metrics 5</t>
  </si>
  <si>
    <t>Latitude/longitude (WGS84 or NAD83 geographic coordinate system)</t>
  </si>
  <si>
    <t>Address</t>
  </si>
  <si>
    <t>Address Range</t>
  </si>
  <si>
    <t>Road Segment</t>
  </si>
  <si>
    <t>If budget is over $10M, was a Davis Bacon Act Certification completed?</t>
  </si>
  <si>
    <t xml:space="preserve">If budget is over $10M and Davis Bacon Act Certification NOT completed - enter the number of employees on the project hired directly and hired through a third party. </t>
  </si>
  <si>
    <t>If budget is over $10M and Davis Bacon Act Certification NOT completed - enter the number of employees of contractors and sub-contractors working on the project.</t>
  </si>
  <si>
    <t>If budget is over $10M and Davis Bacon Act Certification NOT completed - are those wages are at rates less than those prevailing?</t>
  </si>
  <si>
    <t>If budget is over $10M, was a Labor Agreement Certification completed?</t>
  </si>
  <si>
    <t>If budget is over $10M and Davis Bacon Act Certification NOT completed - enter the wages and benefits of workers on the project by classification</t>
  </si>
  <si>
    <t xml:space="preserve">If budget is over $10M and Labor Agreement Certification NOT completed - enter how the recipient will ensure the project has ready access to a sufficient supply of appropriately skilled and unskilled labor to ensure high-quality construction throughout the life of the project, including a description of any required professional certifications and/or in-house training. </t>
  </si>
  <si>
    <t>If budget is over $10M and Labor Agreement Certification NOT completed - enter how the recipient will minimize risks of labor disputes and disruptions that would jeopardize timeliness and cost-effectiveness of the project.</t>
  </si>
  <si>
    <t>If budget is over $10M and Labor Agreement Certification NOT completed - enter how the recipient will provide a safe and healthy workplace that avoids delays and costs associated with workplace illnesses, injuries, and fatalities, including descriptions of safety training, certification, and/or licensure requirements for all relevant workers (e.g., OSHA 10, OSHA 30).</t>
  </si>
  <si>
    <t>If budget is over $10M and Labor Agreement Certification NOT completed - enter whether workers on the project will receive wages and benefits that will secure an appropriately skilled workforce in the context of the local or regional labor market.</t>
  </si>
  <si>
    <t xml:space="preserve">If budget is over $10M and Labor Agreement Certification NOT completed - enter whether the project has completed a project labor agreement. </t>
  </si>
  <si>
    <t xml:space="preserve">If budget is over $10M, does the project prioritize local hires? </t>
  </si>
  <si>
    <t xml:space="preserve">If budget is over $10M and has a Community Benefit Agreement, provide a description. </t>
  </si>
  <si>
    <t>If budget is over $10M, does the project have a Community Benefit Agreement?</t>
  </si>
  <si>
    <t>Expenditure category info:</t>
  </si>
  <si>
    <t>treasury template reference</t>
  </si>
  <si>
    <t>Field definition (expected contents)</t>
  </si>
  <si>
    <t>Suggested validations</t>
  </si>
  <si>
    <t>Subrecipient</t>
  </si>
  <si>
    <t>Visibility</t>
  </si>
  <si>
    <t>Columns</t>
  </si>
  <si>
    <t>Detail Expenditure</t>
  </si>
  <si>
    <t>Summary</t>
  </si>
  <si>
    <t>Sheet</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</si>
  <si>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</si>
  <si>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</si>
  <si>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</si>
  <si>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</si>
  <si>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</si>
  <si>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</si>
  <si>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</si>
  <si>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</si>
  <si>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</si>
  <si>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</si>
  <si>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</si>
  <si>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</si>
  <si>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</si>
  <si>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</si>
  <si>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</si>
  <si>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</si>
  <si>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</si>
  <si>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</si>
  <si>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</si>
  <si>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</si>
  <si>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</si>
  <si>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</si>
  <si>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</si>
  <si>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</si>
  <si>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</si>
  <si>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</si>
  <si>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</si>
  <si>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</si>
  <si>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</si>
  <si>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</si>
  <si>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</si>
  <si>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</si>
  <si>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</si>
  <si>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</si>
  <si>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</si>
  <si>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</si>
  <si>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x</t>
  </si>
  <si>
    <t>&lt;&lt; Values contained on Logic sheet &gt;&gt;</t>
  </si>
  <si>
    <t>Number of households served</t>
  </si>
  <si>
    <t>EC 1.8</t>
  </si>
  <si>
    <t>EC 2.29-2.33</t>
  </si>
  <si>
    <t>EC 2.34</t>
  </si>
  <si>
    <t>Brief description of structure and objectives of assistance program(s), including public health or negative economic impact experienced.</t>
  </si>
  <si>
    <t>Brief description of how a recipient’s response is related and reasonably and proportional  to a public health or negative economic impact of COVID-19.</t>
  </si>
  <si>
    <t>The dollar amount of the total project spending that is allocated towards evidence-based interventions</t>
  </si>
  <si>
    <t xml:space="preserve">Indicate if a program evaluation of the project is being conducted </t>
  </si>
  <si>
    <t>EC 1.4, 1.11, 1.12, 1.13</t>
  </si>
  <si>
    <t>EC 2.1-2.4, 2.6, 2.7, 2.9-2.20, 2.25, 2.26, 2.30, 2.32, 2.33, 2.37</t>
  </si>
  <si>
    <t xml:space="preserve">Number of small businesses served (by program if recipient establishes multiple separate 
small businesses assistance programs) </t>
  </si>
  <si>
    <t>EC 1.10, 2.35-2.36</t>
  </si>
  <si>
    <t xml:space="preserve">Number of workers to be served with premium pay in K-12 schools </t>
  </si>
  <si>
    <t>EC 5.1-5.18</t>
  </si>
  <si>
    <t>EC5.19-5.21</t>
  </si>
  <si>
    <t>EC5.1-5.18</t>
  </si>
  <si>
    <t>EC 3.2</t>
  </si>
  <si>
    <t>EC 3.1</t>
  </si>
  <si>
    <t>1.8-COVID-19 Assistance to Small Businesses</t>
  </si>
  <si>
    <t>1.10-COVID-19 Aid to Impacted Industries</t>
  </si>
  <si>
    <t>1.11-Community Violence Interventions</t>
  </si>
  <si>
    <t>1.12-Mental Health Services</t>
  </si>
  <si>
    <t>1.13-Substance Use Services</t>
  </si>
  <si>
    <t>1.14-Other Public Health Services</t>
  </si>
  <si>
    <t>2.5-Household Assistance: Paid Sick and Medical Leave</t>
  </si>
  <si>
    <t>2.6-Household Assistance: Health Insurance</t>
  </si>
  <si>
    <t>2.7-Household Assistance: Services for Un/Unbanked</t>
  </si>
  <si>
    <t>2.9-Unemployment Benefits or Cash Assistance to Unemployed Workers</t>
  </si>
  <si>
    <t>2.11-Healthy Childhood Environments: Child Care</t>
  </si>
  <si>
    <t>2.12-Healthy Childhood Environments: Home Visiting</t>
  </si>
  <si>
    <t>2.14-Healthy Childhood Environments: Early Learning</t>
  </si>
  <si>
    <t>2.15-Long-term Housing Security: Affordable Housing</t>
  </si>
  <si>
    <t>2.17-Housing Support: Housing Vouchers and Relocation Assistance for Disproportionately Impacted Communities</t>
  </si>
  <si>
    <t>2.18-Housing Support: Other Housing Assistance</t>
  </si>
  <si>
    <t>2.20-Social Determinants of Health: Lead Remediation</t>
  </si>
  <si>
    <t>2.21-Medical Facilities for Disproportionately Impacted Communities</t>
  </si>
  <si>
    <t>2.22-Strong Healthy Communities: Neighborhood Features that Promote Health and Safety</t>
  </si>
  <si>
    <t>2.23-Strong Healthy Communities: Demolition and Rehabilitation of Properties</t>
  </si>
  <si>
    <t>2.24-Addressing Educational Disparities: Aid to High-Poverty Districts</t>
  </si>
  <si>
    <t>2.26-Addressing Educational Disparities: Mental Health Services</t>
  </si>
  <si>
    <t>2.27-Addressing Impacts of Lost Instructional Time</t>
  </si>
  <si>
    <t>2.28-Contributions to UI Trust Funds</t>
  </si>
  <si>
    <t>2.31-Rehabilitation of Commercial Properties or Other Improvements</t>
  </si>
  <si>
    <t>2.32-Business Incubators and Start-Up or Expansion Assistance</t>
  </si>
  <si>
    <t>2.33-Enhanced Support to Microbusinesses</t>
  </si>
  <si>
    <t>2.36-Aid to Other Impacted Industries</t>
  </si>
  <si>
    <t>2.37-Economic Impact Assistance: Other</t>
  </si>
  <si>
    <t>3.2-Public Sector Workforce: Rehiring Public Sector Staff</t>
  </si>
  <si>
    <t>3.3-Public Sector Workforce: Other</t>
  </si>
  <si>
    <t>3.4-Public Sector Capacity: Effective Service Delivery</t>
  </si>
  <si>
    <t>3.5-Public Sector Capacity: Administrative Needs</t>
  </si>
  <si>
    <t xml:space="preserve">3-Public Health-Negative Economic Impact: Public Sector Capacity </t>
  </si>
  <si>
    <t xml:space="preserve">5.16-Water and Sewer: Private Wells </t>
  </si>
  <si>
    <t xml:space="preserve">5.17-Water and Sewer: IIJA Bureau of Reclamation Match </t>
  </si>
  <si>
    <t xml:space="preserve">5.18-Water and Sewer: Other </t>
  </si>
  <si>
    <t>5.20-Broadband: IIJA Match</t>
  </si>
  <si>
    <t>5.21-Broadband: Other projects</t>
  </si>
  <si>
    <t>7.2-Transfers to Other Units of Government</t>
  </si>
  <si>
    <t>Number of government FTEs responding to COVID-19 supported under this authority</t>
  </si>
  <si>
    <t>EC 2.36</t>
  </si>
  <si>
    <t xml:space="preserve">Number of Non-Profits served (by program if recipient establishes multiple separate non-
profit assistance programs) </t>
  </si>
  <si>
    <t>Purpose of funds</t>
  </si>
  <si>
    <t>Unused</t>
  </si>
  <si>
    <t>project19_234BulkUploads</t>
  </si>
  <si>
    <t xml:space="preserve">The amount of the adopted budget  for this project. Currency field with max 12 characters, 2 decimals. 
DO NOT include a "$" sign or commas "," when entering Amounts. </t>
  </si>
  <si>
    <t>Current_Period_Obligations__c</t>
  </si>
  <si>
    <t>Current_Period_Expenditures__c</t>
  </si>
  <si>
    <t>Total Cumulative 
Obligations</t>
  </si>
  <si>
    <t>Total Cumulative 
Expenditures</t>
  </si>
  <si>
    <t>Current Period Obligations</t>
  </si>
  <si>
    <t>Current Period Expenditures</t>
  </si>
  <si>
    <t>The total dollar value of obligations for this project.  Currency max 12 characters, 2 decimals. DO NOT include a "$" sign or commas "," when entering Amounts.</t>
  </si>
  <si>
    <t>The total dollar value of expenditures for this project.  Currency max 12 characters, 2 decimals. DO NOT include a "$" sign or commas "," when entering Amounts.</t>
  </si>
  <si>
    <t>The dollar value of obligations for this project for the current period.  Currency max 12 characters, 2 decimals. DO NOT include a "$" sign or commas "," when entering Amounts.</t>
  </si>
  <si>
    <t>The dollar value of expenditures for this project for the current period.  Currency max 12 characters, 2 decimals. DO NOT include a "$" sign or commas "," when entering Amounts.</t>
  </si>
  <si>
    <t>Conditional</t>
  </si>
  <si>
    <t>If this project includes a capital expenditure, select one of the valid predefined responses from the picklist:
"Yes"
"No"</t>
  </si>
  <si>
    <t>Primary_Project_Demographics__c</t>
  </si>
  <si>
    <t>Primary_Project_Demographics_Explanation__c</t>
  </si>
  <si>
    <t>Secondary_Project_Demographics__c</t>
  </si>
  <si>
    <t>Secondary_Proj_Demographics_Explanation__c</t>
  </si>
  <si>
    <t>Tertiary_Project_Demographics__c</t>
  </si>
  <si>
    <t>Tertiary_Proj_Demographics_Explanation__c</t>
  </si>
  <si>
    <t>Primary Project Demographic Explanation</t>
  </si>
  <si>
    <t>Project Demographic Distribution - Additional Populations Served</t>
  </si>
  <si>
    <t>Secondary Project Demographic Explanation</t>
  </si>
  <si>
    <t>Tertiary Project Demographic Explanation</t>
  </si>
  <si>
    <t>What Impacted and/or Disproportionally Impacted population does this project primarily serve? Please select the population primarily served. 
Note: Populate this field with one of the below predefined responses. Cut and paste the exact verbiage, and do not include the quotation marks (" ").
"1 Imp General Public"
"2 Imp Low or moderate income HHs or populations"
"3 Imp HHs that experienced unemployment"
"4 Imp HHs that experienced increased food or housing insecurity"
"5 Imp HHs that qualify for certain federal programs"
"6 Imp For services to address lost instructional time in K-12 schools"
"7 Imp Other HHs or populations that experienced a negative economic"
"8 Imp SBs that experienced a negative economic impact"
"9 Imp Classes of SBs designated as negatively economically impacted"
"10 Imp NPs that experienced a negative economic impact specify"
"11 Imp Classes of NPs designated as negatively economically impacted"
"12 Imp Travel tourism or hospitality sectors"
"13 Imp Industry outside the travel tourism or hospitality sectors specify"
"14 Dis Imp Low income HHs and populations"
"15 Dis Imp HHs and populations residing in Qualified Census Tracts"
"16 Dis Imp HHs that qualify for certain federal programs"
"17 Dis Imp HHs receiving services provided by Tribal governments"
"18 Dis Imp HHs residing in the U.S. territories or receiving services"
"19 Dis Imp For services to address educational disparities Title I eligible"
"20 Dis Imp Other HHs or populations that experienced a disproportionate"
"21 Dis Imp SBs operating in Qualified Census Tracts"
"22 Dis Imp SBs operated by Tribal governments or on Tribal lands"
"23 Dis Imp SBs operating in the U.S. territories"
"24 Dis Imp Other SBs Dis Imp by the pandemic specify"
"25 Dis Imp NPs operating in Qualified Census Tracts"
"26 Dis Imp NPs operated by Tribal governments or on Tribal lands"
"27 Dis Imp NPs operating in the U.S. territories"
"28 Dis Imp Other NPs Dis Imp by the pandemic specify"</t>
  </si>
  <si>
    <t>If the selected demographic includes 'specify' please provide a brief explanation
(Text - max 250 characters)</t>
  </si>
  <si>
    <t>1 Imp General Public</t>
  </si>
  <si>
    <t>2 Imp Low or moderate income HHs or populations</t>
  </si>
  <si>
    <t>3 Imp HHs that experienced unemployment</t>
  </si>
  <si>
    <t>4 Imp HHs that experienced increased food or housing insecurity</t>
  </si>
  <si>
    <t>5 Imp HHs that qualify for certain federal programs</t>
  </si>
  <si>
    <t>6 Imp For services to address lost instructional time in K-12 schools</t>
  </si>
  <si>
    <t>7 Imp Other HHs or populations that experienced a negative economic</t>
  </si>
  <si>
    <t>8 Imp SBs that experienced a negative economic impact</t>
  </si>
  <si>
    <t>9 Imp Classes of SBs designated as negatively economically impacted</t>
  </si>
  <si>
    <t>10 Imp NPs that experienced a negative economic impact specify</t>
  </si>
  <si>
    <t>11 Imp Classes of NPs designated as negatively economically impacted</t>
  </si>
  <si>
    <t>12 Imp Travel tourism or hospitality sectors</t>
  </si>
  <si>
    <t>13 Imp Industry outside the travel tourism or hospitality sectors specify</t>
  </si>
  <si>
    <t>14 Dis Imp Low income HHs and populations</t>
  </si>
  <si>
    <t>15 Dis Imp HHs and populations residing in Qualified Census Tracts</t>
  </si>
  <si>
    <t>16 Dis Imp HHs that qualify for certain federal programs</t>
  </si>
  <si>
    <t>17 Dis Imp HHs receiving services provided by Tribal governments</t>
  </si>
  <si>
    <t>18 Dis Imp HHs residing in the U.S. territories or receiving services</t>
  </si>
  <si>
    <t>19 Dis Imp For services to address educational disparities Title I eligible</t>
  </si>
  <si>
    <t>20 Dis Imp Other HHs or populations that experienced a disproportionate</t>
  </si>
  <si>
    <t>21 Dis Imp SBs operating in Qualified Census Tracts</t>
  </si>
  <si>
    <t>22 Dis Imp SBs operated by Tribal governments or on Tribal lands</t>
  </si>
  <si>
    <t>23 Dis Imp SBs operating in the U.S. territories</t>
  </si>
  <si>
    <t>24 Dis Imp Other SBs Dis Imp by the pandemic specify</t>
  </si>
  <si>
    <t>25 Dis Imp NPs operating in Qualified Census Tracts</t>
  </si>
  <si>
    <t>26 Dis Imp NPs operated by Tribal governments or on Tribal lands</t>
  </si>
  <si>
    <t>27 Dis Imp NPs operating in the U.S. territories</t>
  </si>
  <si>
    <t>28 Dis Imp Other NPs Dis Imp by the pandemic specify</t>
  </si>
  <si>
    <t>Metrics 1</t>
  </si>
  <si>
    <t>Project Demographics</t>
  </si>
  <si>
    <t>Structure_Objectives_of_Asst_Programs__c</t>
  </si>
  <si>
    <t>Recipient_Approach_Description__c</t>
  </si>
  <si>
    <t>Structure and objectives of assistance program</t>
  </si>
  <si>
    <t>Recipients approach</t>
  </si>
  <si>
    <t>Brief description of structure and objectives of assistance program(s), including public health or negative economic impact experienced 
(Text - max 250 characters)</t>
  </si>
  <si>
    <t>Brief description of recipients approach to ensuring that response is reasonable and proportional to a public health or negative economic impact of Covid-19, as described in the final rule 
(Text - max 250 characters)</t>
  </si>
  <si>
    <t>Type_of_Capital_Expenditure__c</t>
  </si>
  <si>
    <t>Type_of_Capital_Expenditure_Other__c</t>
  </si>
  <si>
    <t>Capital_Expenditure_Justification__c</t>
  </si>
  <si>
    <t>Capital Expenditure Type</t>
  </si>
  <si>
    <t>Other Capital Expenditure Explanation</t>
  </si>
  <si>
    <t>Capital Expenditure Narrative</t>
  </si>
  <si>
    <t>If you answered "Yes" for the "Does this project include a capital expenditure" question, then you are required to select one of the valid predefined responses from the picklist.
The below picklist values are abbreviated. Please reference the User Guide for the the comprehensive list of acceptable picklist values. 
"Acquisition of equipment for COVID-19 prevention and treatment"
"Adaptations to congregate living facilities"
"Affordable housing, supportive housing, or recovery housing"
"Behavioral health facilities and equipment"
"Childcare, daycare and early learning facilities"
"COVID-19 testing sites and laboratories, and acquisition of related equipment"
"COVID-19 vaccination sites"
"Devices and equipment that assist households in accessing the internet"
"Emergency operations centers and acquisition of emergency response equipment"
"Food banks and other facilities"
"Improvements to existing facilities"
"Installation and improvement of ventilation systems"
"Job and workforce training centers"
"Medical equipment and facilities"
"Medical facilities generally dedicated to COVID-19 treatment and mitigation"
"Mitigation measures in small businesses, nonprofits and impacted industries"
"Parks, green spaces, recreational facilities, sidewalks"
"Public health data systems"
"Rehabilitations, renovation, remediation, cleanup, or conversions"
"Schools and other educational facilities"
"Technology and equipment to allow law enforcement"
"Technology and tools"
"Technology infrastructure to adapt government operations"
"Temporary medical facilities and other measures"
"Transitional shelters"
"Other (please specify)"</t>
  </si>
  <si>
    <t>If you selected "Other (please specify)" for the Capital Expenditure Type, please provide more details.
(Text - max character 255)</t>
  </si>
  <si>
    <t xml:space="preserve">For recipients (other than Tribal governments) investing in projects with total expected capital expenditures for an enumerated eligible use of $10 million or more, as well as projects with total expected capital expenditures for an "other" use of $1 million or more, please provide a written justification.
(Text - max character 1500)
</t>
  </si>
  <si>
    <t>Acquisition of equipment for COVID-19 prevention and treatment</t>
  </si>
  <si>
    <t>Adaptations to congregate living facilities</t>
  </si>
  <si>
    <t>Behavioral health facilities and equipment</t>
  </si>
  <si>
    <t>COVID-19 vaccination sites</t>
  </si>
  <si>
    <t>Devices and equipment that assist households in accessing the internet</t>
  </si>
  <si>
    <t>Emergency operations centers and acquisition of emergency response equipment</t>
  </si>
  <si>
    <t>Food banks and other facilities</t>
  </si>
  <si>
    <t>Improvements to existing facilities</t>
  </si>
  <si>
    <t>Installation and improvement of ventilation systems</t>
  </si>
  <si>
    <t>Job and workforce training centers</t>
  </si>
  <si>
    <t>Medical equipment and facilities</t>
  </si>
  <si>
    <t>Medical facilities generally dedicated to COVID-19 treatment and mitigation</t>
  </si>
  <si>
    <t>Parks, green spaces, recreational facilities, sidewalks</t>
  </si>
  <si>
    <t>Public health data systems</t>
  </si>
  <si>
    <t>Rehabilitations, renovation, remediation, cleanup, or conversions</t>
  </si>
  <si>
    <t>Schools and other educational facilities</t>
  </si>
  <si>
    <t>Technology and equipment to allow law enforcement</t>
  </si>
  <si>
    <t>Technology and tools</t>
  </si>
  <si>
    <t>Technology infrastructure to adapt government operations</t>
  </si>
  <si>
    <t>Temporary medical facilities and other measures</t>
  </si>
  <si>
    <t>Transitional shelters</t>
  </si>
  <si>
    <t>Other (please specify)</t>
  </si>
  <si>
    <t>"Acquisition of equipment for COVID-19 prevention and treatment"
"Adaptations to congregate living facilities"
"Affordable housing, supportive housing, or recovery housing"
"Behavioral health facilities and equipment"
"Childcare, daycare and early learning facilities"
"COVID-19 testing sites and laboratories, and acquisition of related equipment"
"COVID-19 vaccination sites"
"Devices and equipment that assist households in accessing the internet"
"Emergency operations centers and acquisition of emergency response equipment"
"Food banks and other facilities"
"Improvements to existing facilities"
"Installation and improvement of ventilation systems"
"Job and workforce training centers"
"Medical equipment and facilities"
"Medical facilities generally dedicated to COVID-19 treatment and mitigation"
"Mitigation measures in small businesses, nonprofits and impacted industries"
"Parks, green spaces, recreational facilities, sidewalks"
"Public health data systems"
"Rehabilitations, renovation, remediation, cleanup, or conversions"
"Schools and other educational facilities"
"Technology and equipment to allow law enforcement"
"Technology and tools"
"Technology infrastructure to adapt government operations"
"Temporary medical facilities and other measures"
"Transitional shelters"
"Other (please specify)"</t>
  </si>
  <si>
    <t>project18_229233BulkUploads</t>
  </si>
  <si>
    <t>Small_Businesses_Served__c</t>
  </si>
  <si>
    <t xml:space="preserve">Number of Small Businesses Served </t>
  </si>
  <si>
    <t>Number of small businesses served (by program if recipient establishes multiple separate small businesses assistance programs)
(Numeric value - max 10 characters)</t>
  </si>
  <si>
    <t>Number_Non_Profits_Served__c</t>
  </si>
  <si>
    <t>Non-Profits Served</t>
  </si>
  <si>
    <t>Number of Non-Profits served (by program if recipient establishes multiple separate non-profit assistance programs)
(Numeric value - max 10 characters)</t>
  </si>
  <si>
    <t>Industry_Experienced_8_Percent_Loss__c</t>
  </si>
  <si>
    <t>Industry other than tourism Narrative</t>
  </si>
  <si>
    <t>If aid is provided to industries other than travel, tourism, and hospitality (EC 2.36), please describe if the industry experienced at least 8 percent employment loss from pre-pandemic levels, or the industry is experiencing comparable or worse economic impacts as the national tourism, travel, and hospitality industries as of the date of the Final Rule, and rationale for providing aide to the industry
(Text - max 250 characters)</t>
  </si>
  <si>
    <t>will equal total for this project ID from the expenditure and aggregate tabs</t>
  </si>
  <si>
    <t>(conditional formatting moved to this one, based on amount in Column F?)</t>
  </si>
  <si>
    <t>conditional formatting based on Column K</t>
  </si>
  <si>
    <t>conditional formatting based on Column M</t>
  </si>
  <si>
    <t>ALL EC 7</t>
  </si>
  <si>
    <t>projectBaselineBulkUpload</t>
  </si>
  <si>
    <t>project4142BulkUpload</t>
  </si>
  <si>
    <t>Number_of_Workers_K_12__c</t>
  </si>
  <si>
    <t>Number of workers to be served with premium pay in K-12 schools</t>
  </si>
  <si>
    <t>project51518BulkUpload</t>
  </si>
  <si>
    <t>Location__c</t>
  </si>
  <si>
    <t>Location_Detail__c</t>
  </si>
  <si>
    <t>REQUIRED if the project has started. 
NOT REQUIRED if you selected "Not Started" for the "Status to Completion" question. 
Select one of the valid predefined responses from the picklist:
-Latitude/longitude (WGS84 or NAD83 geographic coordinate system)
-Address
-Address Range
-Road Segment</t>
  </si>
  <si>
    <t>REQUIRED if the project has started. 
NOT REQUIRED if you selected "Not Started" for the "Status to Completion" question.
(Text - Max Characters 255)</t>
  </si>
  <si>
    <t>conditional based on Column E</t>
  </si>
  <si>
    <t>National_Pollutant_Discharge_Number__c</t>
  </si>
  <si>
    <t>Public_Water_System_PWS_ID_number__c</t>
  </si>
  <si>
    <t>National Pollutant Discharge Elimination System (NPDES)</t>
  </si>
  <si>
    <t xml:space="preserve">Public Water System (PWS) ID number   </t>
  </si>
  <si>
    <t>REQUIRED if the project has started. 
NOT REQUIRED if you selected "Not Started" for the "Status to Completion" question. 
National Pollutant Discharge Elimination System (NPDES) Permit Number (if applicable; for projects aligned with the Clean Water State Revolving Fund) 
(Text - Max Characters 50)</t>
  </si>
  <si>
    <t>REQUIRED if the project has started. 
NOT REQUIRED if you selected "Not Started" for the "Status to Completion" question.
Public Water System (PWS) ID number (if applicable; for projects aligned with the Drinking Water State Revolving Fund)  
(Text - Max Characters 50)</t>
  </si>
  <si>
    <t>Median_Household_Income_Service_Area__c</t>
  </si>
  <si>
    <t>Lowest_Quintile_Income__c</t>
  </si>
  <si>
    <t xml:space="preserve">Median Household Income of service area </t>
  </si>
  <si>
    <t xml:space="preserve">Lowest Quintile Income of the service area </t>
  </si>
  <si>
    <t>project51518BulkUpload
project519521BulkUpload</t>
  </si>
  <si>
    <t>Is_project_designed_to_meet_100_mbps__c</t>
  </si>
  <si>
    <t>Project_not_met_100_mbps_explanation__c</t>
  </si>
  <si>
    <t>Is_project_designed_to_exceed_100_mbps__c</t>
  </si>
  <si>
    <t>REQUIRED if the project has started. 
NOT REQUIRED if you selected "Not Started" for the "Status to Completion" question. 
Select Yes / No</t>
  </si>
  <si>
    <t>REQUIRED if the project has started. 
NOT REQUIRED if you selected "Not Started" for the "Status to Completion" question.
(Text - max characters 1,500)</t>
  </si>
  <si>
    <t>REQUIRED if the project has started. 
NOT REQUIRED if you selected "Not Started" for the "Status to Completion" question.
Select Yes / No</t>
  </si>
  <si>
    <t>projectBaselineBulkUpload (unless 1.8-1.9)
project18_229233BulkUploads
project19_234BulkUploads</t>
  </si>
  <si>
    <t>Identify the dollar amount of the total project spending that is allocated towards evidence-based interventions</t>
  </si>
  <si>
    <t>Is a program evaluation of the project being conducted?</t>
  </si>
  <si>
    <t>expendituresLT50000BulkUpload
paymentsIndividualsLT50000BulkUpload</t>
  </si>
  <si>
    <t>expendituresGT50000BulkUpload</t>
  </si>
  <si>
    <t>Sub_Award_Lookup__c</t>
  </si>
  <si>
    <t>Subaward IDs that allows the Recipient to associate Expenditure records to Subaward records. Enter Subaward Number. Subaward Number is not required if Expenditure Category is "Administrative Cost".</t>
  </si>
  <si>
    <t>Start date for the range of time when the expenditure(s) occurred. 
Date Format MM/DD/YYYY.
(8 Character max).</t>
  </si>
  <si>
    <t>End date for the range of time when the expenditure(s) occurred.
Date Format MM/DD/YYYY.
(8 Character max).</t>
  </si>
  <si>
    <t xml:space="preserve">Total amount of State Local Fiscal Recovery Funds dollars on the Sub-Award. 
Do not enter $ Sign when entering amount. </t>
  </si>
  <si>
    <t xml:space="preserve">Recipient Project Id associated with this Sub Award. This is your Project Identification Number.   </t>
  </si>
  <si>
    <t xml:space="preserve">The Sub-Award Type that had obligation or expenditure/payment activity during the reporting period. Selection Required. Copy and Paste from the helptext minus the quoations (" "). Valid entires
 "Aggregate of Contracts Awarded"
 "Aggregate of Grants Awarded"
 "Aggregate of Loans Issued"
 "Aggregate of Transfers"
 "Aggregate of Direct Payments"
</t>
  </si>
  <si>
    <t xml:space="preserve">Sum of sub-award amounts/obligations during the most recent period for this Sub-Award Type (Aggregates). 
DO NOT enter $ sign when entering amount. </t>
  </si>
  <si>
    <t xml:space="preserve">Sum of Expenditures or Payments during the most recent period for this Sub-Award Type (Aggregates). 
DO NOT enter $ sign when entering amount. </t>
  </si>
  <si>
    <t>The Subrecipient's or Contractor's Unique Entity Identifier (UEI) from their SAM.gov profile. 
Format XXXXXXXXXXXX, 
12 alpha-numeric characters.
NOTE: One of the following identification numbers must be provided:
-UEI, or
-TIN</t>
  </si>
  <si>
    <t>The Subrecipient's, Contractor's, or Beneficiary's  Internal Revenue Service (IRS) Taxpayer Identification Number. 
Format XXXXXXXXX, 
9 numeric characters.
NOTE: One of the following identification numbers must be provided:
-UEI, or
-TIN</t>
  </si>
  <si>
    <t>The name of the Sub-Recipient. Max character 80.</t>
  </si>
  <si>
    <t>The type of entity. Select one of the following: 
-Subrecipient  
-Contractor
-Beneficiary</t>
  </si>
  <si>
    <t>The email address of the primary point-of-contact for the sub-recipient. Must be valid Email format.</t>
  </si>
  <si>
    <t>First line of the Sub-Recipient's address. (255 Character max)</t>
  </si>
  <si>
    <t>Second line of the Sub-Recipient's address. (255 Character max)</t>
  </si>
  <si>
    <t>Third line of the Sub-Recipient's address. (255 Character max)</t>
  </si>
  <si>
    <t>Name of the city in which the Sub-Recipient is located. (100 Character Max)</t>
  </si>
  <si>
    <t>United States Postal Service (USPS) two-letter abbreviation for the state or territory in which the Sub-Recipient is located. Valid Response:
 (AL, AK, AS, AZ, AR, CA, CO, CT, DE, DC, FM, FL, GA, GU, HI, ID, IL, IN, IA, KS, KY, LA, ME, MH, MD, MA, MI, MN, MS, MO, MT, NE, NV, NH, NJ, NM, NY, NC, ND, MP, OH, OK, OR, PW, PA, PR, RI, SC, SD, TN, TX, UT, VT, VI, VA, WA, WV, WI, WY)</t>
  </si>
  <si>
    <t xml:space="preserve">United States ZIP code (five digits) associated with the Sub-Recipient's address.  
Format XXXXX, 5 numeric characters. </t>
  </si>
  <si>
    <t xml:space="preserve">Zip Plus4 (four digits) identifying where the predominant performance of the subaward will be accomplished. 
Format XXXX, 4 numeric characters. </t>
  </si>
  <si>
    <t>EIN__c</t>
  </si>
  <si>
    <t>Entity Type</t>
  </si>
  <si>
    <t>Subrecipient  
Contractor
Beneficiary</t>
  </si>
  <si>
    <t xml:space="preserve">Subrecipient  </t>
  </si>
  <si>
    <t>Conditional on Column N</t>
  </si>
  <si>
    <t>Conditional on Column O</t>
  </si>
  <si>
    <t>Conditional on Column P</t>
  </si>
  <si>
    <t>Conditional on Column Q</t>
  </si>
  <si>
    <t>"1 Imp General Public"
"2 Imp Low or moderate income HHs or populations"
"3 Imp HHs that experienced unemployment"
"4 Imp HHs that experienced increased food or housing insecurity"
"5 Imp HHs that qualify for certain federal programs"
"6 Imp For services to address lost instructional time in K-12 schools"
"7 Imp Other HHs or populations that experienced a negative economic"
"8 Imp SBs that experienced a negative economic impact"
"9 Imp Classes of SBs designated as negatively economically impacted"
"10 Imp NPs that experienced a negative economic impact specify"
"11 Imp Classes of NPs designated as negatively economically impacted"
"12 Imp Travel tourism or hospitality sectors"
"13 Imp Industry outside the travel tourism or hospitality sectors specify"
"14 Dis Imp Low income HHs and populations"
"15 Dis Imp HHs and populations residing in Qualified Census Tracts"
"16 Dis Imp HHs that qualify for certain federal programs"
"17 Dis Imp HHs receiving services provided by Tribal governments"
"18 Dis Imp HHs residing in the U.S. territories or receiving services"
"19 Dis Imp For services to address educational disparities Title I eligible"
"20 Dis Imp Other HHs or populations that experienced a disproportionate"
"21 Dis Imp SBs operating in Qualified Census Tracts"
"22 Dis Imp SBs operated by Tribal governments or on Tribal lands"
"23 Dis Imp SBs operating in the U.S. territories"
"24 Dis Imp Other SBs Dis Imp by the pandemic specify"
"25 Dis Imp NPs operating in Qualified Census Tracts"
"26 Dis Imp NPs operated by Tribal governments or on Tribal lands"
"27 Dis Imp NPs operating in the U.S. territories"
"28 Dis Imp Other NPs Dis Imp by the pandemic specify"</t>
  </si>
  <si>
    <t>Project Demographic Distribution - Primary Populations Served</t>
  </si>
  <si>
    <t>Total Cumulative
Obligations</t>
  </si>
  <si>
    <t>Total Cumulative
Expenditures</t>
  </si>
  <si>
    <t>b</t>
  </si>
  <si>
    <t>EC 2.1-2.8</t>
  </si>
  <si>
    <t>Recipient_UEI__c</t>
  </si>
  <si>
    <t>Recipient_EIN__c</t>
  </si>
  <si>
    <t xml:space="preserve">Recipient's internal account number for the grant, contract, transfer, or direct payment. This can be the account number or any other unique identifying number assigned by the Recipient to the award. This number is strictly for the Recipient's recordkeeping.  </t>
  </si>
  <si>
    <t>The type of subaward</t>
  </si>
  <si>
    <t xml:space="preserve">Total amount of SLFRF funds obligated by the Recipient to a SubRecipient under a given SubAward. 
DO NOT INCLUDE $ sign when entering amount. </t>
  </si>
  <si>
    <t>The date the Recipient obligated funds to a SubRecipient. 
Format MM/DD/YYYY</t>
  </si>
  <si>
    <t xml:space="preserve"> "any work performed by an employee of a State local or Tribal government"
 "behavioral health work"
 "biomedical research"
 "dental care work"
 "educational work school nutrition work and other work required to operate a school facility"
 "elections work"
 "emergency response"
 "family or child care"
 "grocery stores restaurants food production and food delivery"
 "health care"
 "home- and community-based health care or assistance with activities of daily living"
 "laundry work"
 "maintenance work"
 "medical testing and diagnostics"
 "pharmacy"
 "public health work"
 "sanitation disinfection and cleaning work"
 "social services work"
 "solid waste or hazardous materials management response and cleanup work"
 "transportation and warehousing"
 "vital services to Tribes"
 "work at hotel and commercial lodging facilities that are used for COVID-19 mitigation and containment"
 "work in a mortuary"
 "work in critical clinical research development and testing necessary for COVID-19 response"
 "work requiring physical interaction with patients "
 "Other"</t>
  </si>
  <si>
    <t>Explaination if Primary Sector response is "Other"
Max characters 100</t>
  </si>
  <si>
    <t>The date on which efforts begin or the subaward is otherwise effective</t>
  </si>
  <si>
    <t xml:space="preserve">The date on which all effort is completed or the subaward is otherwise ended. </t>
  </si>
  <si>
    <t xml:space="preserve">First line of the address where the predominant performance of the subaward will be accomplished. </t>
  </si>
  <si>
    <t xml:space="preserve">Second line of the address where the predominant performance of the subaward will be accomplished. </t>
  </si>
  <si>
    <t xml:space="preserve">Third line of the address where the predominant performance of the subaward will be accomplished. </t>
  </si>
  <si>
    <t xml:space="preserve">The name of the city where the predominant performance of the subaward will be accomplished.
</t>
  </si>
  <si>
    <t xml:space="preserve">United States Postal Service (USPS) twoletter abbreviation for the state or territory indicating where the predominant performance of the subaward will be accomplished. 
Valid responses: (AL, AK, AS, AZ, AR, CA, CO, CT, DE, DC, FM, FL, GA, GU, HI, ID, IL, IN, IA, KS, KY, LA, ME, MH, MD, MA, MI, MN, MS, MO, MT, NE, NV, NH, NJ, NM, NY, NC, ND, MP, OH, OK, OR, PW, PA, PR, RI, SC, SD, TN, TX, UT, VT, VI, VA, WA, WV, WI, WY)
</t>
  </si>
  <si>
    <t xml:space="preserve">United States ZIP code (five digits) identifying where the predominant performance of the subaward will be accomplished. 
Format XXXXX, 5 numeric characters. 
</t>
  </si>
  <si>
    <t>AL, AK, AS, AZ, AR, CA, CO, CT, DE, DC, FM, FL, GA, GU, HI, ID, IL, IN, IA, KS, KY, LA, ME, MH, MD, MA, MI, MN, MS, MO, MT, NE, NV, NH, NJ, NM, NY, NC, ND, MP, OH, OK, OR, PW, PA, PR, RI, SC, SD, TN, TX, UT, VT, VI, VA, WA, WV, WI, WY</t>
  </si>
  <si>
    <t>Confirm that the project is designed to, upon completion, meet or exceed symmetrical 100 Mbps download speed and between at least 20 Mbps and 100 Mbps upload speed, and be scalable to a minimum of 100 Mbps download speed and 100 Mbps upload speed</t>
  </si>
  <si>
    <t>If the project is not designed to reliably meet or exceed symmetrical 100 Mbps download and upload speeds, explain why not</t>
  </si>
  <si>
    <t>Location Type</t>
  </si>
  <si>
    <t>conditional formatting based on Column Z</t>
  </si>
  <si>
    <t>conditional formatting based on Column AB</t>
  </si>
  <si>
    <t>For recipients (other than Tribal governments) investing in projects with total expected capital expenditures for an enumerated eligible use of $10 million or more, as well as projects with total expected capital expenditures for an "other" use of $1 million or more, please provide a written justification.
(Text - max character 1500)</t>
  </si>
  <si>
    <t>conditional formatting based on Column AA and Z</t>
  </si>
  <si>
    <t>Conditional based on Column F</t>
  </si>
  <si>
    <t>Conditional Based on column AE</t>
  </si>
  <si>
    <t>Conditional Based on column AJ</t>
  </si>
  <si>
    <t>Conditional based on Column AQ</t>
  </si>
  <si>
    <t>conditional formatting based on Column AC</t>
  </si>
  <si>
    <t>conditional formatting based on Column AE</t>
  </si>
  <si>
    <t>conditional formatting based on Column AC and AD</t>
  </si>
  <si>
    <t>Conditional Based on column AH</t>
  </si>
  <si>
    <t>Conditional Based on column AM</t>
  </si>
  <si>
    <t>Conditional based on Column AT</t>
  </si>
  <si>
    <t>conditional formatting based on Column R</t>
  </si>
  <si>
    <t>conditional formatting based on Column T</t>
  </si>
  <si>
    <t>conditional formatting based on Columns R and S</t>
  </si>
  <si>
    <t>Conditional Based on column W</t>
  </si>
  <si>
    <t>Conditional Based on column AC</t>
  </si>
  <si>
    <t>Conditional based on Column AI</t>
  </si>
  <si>
    <t>projectBaselineBulkUpload
project2128BulkUploads
project214_224227BulkUploads
project18_229233BulkUploads
project19_234BulkUploads
project236BulkUploads</t>
  </si>
  <si>
    <t>project2128BulkUploads</t>
  </si>
  <si>
    <t>project214_224227BulkUploads</t>
  </si>
  <si>
    <t xml:space="preserve">
project236BulkUploads</t>
  </si>
  <si>
    <t>projectBaselineBulkUpload
project31BulkUpload
project32BulkUpload</t>
  </si>
  <si>
    <t>project32BulkUpload</t>
  </si>
  <si>
    <t>project31BulkUpload</t>
  </si>
  <si>
    <t>AM</t>
  </si>
  <si>
    <t>AN</t>
  </si>
  <si>
    <t>AO</t>
  </si>
  <si>
    <t>AP</t>
  </si>
  <si>
    <t>AQ</t>
  </si>
  <si>
    <t>AT</t>
  </si>
  <si>
    <t>AU</t>
  </si>
  <si>
    <t>Conditional based on Column AA</t>
  </si>
  <si>
    <t>Quarterly_Obligation_Amt_Aggregates__c</t>
  </si>
  <si>
    <t>Total Period Obligation Amount (Aggregates)</t>
  </si>
  <si>
    <t>Quarterly_Expenditure_Amt_Aggregates__c</t>
  </si>
  <si>
    <t>Total Period Expenditure Amount  (Aggregates)</t>
  </si>
  <si>
    <t>Recipient Project Id</t>
  </si>
  <si>
    <t>Sub_Award_Type_Aggregates_SLFRF__c</t>
  </si>
  <si>
    <t>Project Demographic Distribution - Secondary Populations Served</t>
  </si>
  <si>
    <t>Project Demographic Distribution - Tertiary Populations Served</t>
  </si>
  <si>
    <t>NCES School ID or NCES District ID</t>
  </si>
  <si>
    <t>Multi-Select</t>
  </si>
  <si>
    <t>mm/dd/yyyy</t>
  </si>
  <si>
    <t>2.16-Long-term Housing Security: Services for Unhoused Persons</t>
  </si>
  <si>
    <t>2.19-Social Determinants of Health: Community Health Workers or Benefits Navigators</t>
  </si>
  <si>
    <t>2.8-Household Assistance: Survivors Benefits</t>
  </si>
  <si>
    <t>5.10-Drinking water: Treatment</t>
  </si>
  <si>
    <t>2.29-Loans or Grants to Mitigate Financial Hardship</t>
  </si>
  <si>
    <t>Purpose_of_Funds__c</t>
  </si>
  <si>
    <t>Partner Guidance</t>
  </si>
  <si>
    <r>
      <t xml:space="preserve">Required </t>
    </r>
    <r>
      <rPr>
        <i/>
        <sz val="9"/>
        <color theme="1"/>
        <rFont val="Arial"/>
        <family val="2"/>
      </rPr>
      <t>if Budget &gt; $10M</t>
    </r>
  </si>
  <si>
    <t>2.13-Healthy Childhood Environments: Services to Foster Youth or Families Involved in Child Welfare System</t>
  </si>
  <si>
    <t>Name of the project.</t>
  </si>
  <si>
    <t>Identification number assigned to project by recipient.</t>
  </si>
  <si>
    <t>Completion status of the project.</t>
  </si>
  <si>
    <r>
      <t xml:space="preserve">Amount of the adopted budget for this project. </t>
    </r>
    <r>
      <rPr>
        <b/>
        <sz val="8"/>
        <color theme="1"/>
        <rFont val="Arial"/>
        <family val="2"/>
      </rPr>
      <t>This includes single audit fees, and should correspond to what is listed in the Reporting &amp; Compliance form.</t>
    </r>
  </si>
  <si>
    <r>
      <t xml:space="preserve">Total dollar value of obligations for this project. </t>
    </r>
    <r>
      <rPr>
        <b/>
        <sz val="8"/>
        <color theme="1"/>
        <rFont val="Arial"/>
        <family val="2"/>
      </rPr>
      <t>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</si>
  <si>
    <t>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</si>
  <si>
    <t>The amount of Federal program income earned.</t>
  </si>
  <si>
    <t>The amount of program income that was used to cover eligible project costs.</t>
  </si>
  <si>
    <t xml:space="preserve">The name of the Subrecipient. </t>
  </si>
  <si>
    <t>Indicators for types of entities.</t>
  </si>
  <si>
    <t>The email address of the primary point-of-contact for the Subrecipient.</t>
  </si>
  <si>
    <t>First line of the Subrecipient's address.</t>
  </si>
  <si>
    <t>Second line of the Subrecipient's address.</t>
  </si>
  <si>
    <t>Third line of the Subrecipient's address.</t>
  </si>
  <si>
    <t>Name of the city in which the Subrecipient is located.</t>
  </si>
  <si>
    <t>United States Postal Service (USPS) two-letter abbreviation for the state or territory in which the Subrecipient is located.</t>
  </si>
  <si>
    <t>United States ZIP code (five digits) associated with the Subrecipient's address.</t>
  </si>
  <si>
    <t>Zip Plus4 (four digits) identifying where the predominant performance of the subaward will be accomplished.</t>
  </si>
  <si>
    <t>Confirmation that the Subrecipient is registered in SAM.gov.</t>
  </si>
  <si>
    <t>Confirmation that the proportion of the Subrecipient's federal fundingto-total annual gross revenue for the preceding fiscal year is at least 80%.</t>
  </si>
  <si>
    <t>Confirmation that the Subrecipient's total annual gross revenue from federal funding across all programs for the preceding fiscal year is greater than $25 million.</t>
  </si>
  <si>
    <t>Confirmation that qualifying Subrecipient's publicly identify their top five highest compensated executives or have it listed in their SAM.gov profile, if No please provide names and compensation for top 5 executives.</t>
  </si>
  <si>
    <t>The legal name belonging to one of the five highest paid executives, officers, or employees of the Subrecipient.</t>
  </si>
  <si>
    <t>The Total Compensation, as defined in 2 CFR part 170.330, earned by the five highest paid executives, officers, or employees of the Subrecipient.</t>
  </si>
  <si>
    <t>Recipient Project ID associated with this Sub Award. This is your unique Project Identification Number.</t>
  </si>
  <si>
    <t>Recipient's internal account number for the grant, contract, transfer, or direct payment. This can be the account number, or any other unique identifying number assigned by the Recipient to the award. This number is strictly for the Recipient's recordkeeping</t>
  </si>
  <si>
    <t>The type of Subaward.</t>
  </si>
  <si>
    <t>Total amount of SLFRF funds obligated by the Recipient to a Subrecipient under a given Subaward.</t>
  </si>
  <si>
    <t>The date the Recipient obligated funds to a Subrecipient.</t>
  </si>
  <si>
    <t>Select Primary Sector from picklist.</t>
  </si>
  <si>
    <t>Explanation if the Primary Sector is “Other”</t>
  </si>
  <si>
    <t>The date on which efforts begin or the Subaward is otherwise effective.</t>
  </si>
  <si>
    <t>The date on which all effort is completed or the Subaward is otherwise ended.</t>
  </si>
  <si>
    <t>First line of the address where the predominant performance of the Subaward will be accomplished.</t>
  </si>
  <si>
    <t>Second line of the address where the predominant performance of the Subaward will be accomplished.</t>
  </si>
  <si>
    <t>Third line of the address where the predominant performance of the Subaward will be accomplished.</t>
  </si>
  <si>
    <t>The name of the city where the predominant performance of the Subaward will be accomplished.</t>
  </si>
  <si>
    <t>United States Postal Service (USPS) two-letter abbreviation for the state or territory indicating where the predominant performance of the Subaward will be accomplished.</t>
  </si>
  <si>
    <t>United States ZIP code (five digits) identifying where the predominant performance of the subaward will be accomplished.</t>
  </si>
  <si>
    <t>United States ZIP code (four digits) identifying where the predominant performance of the Subaward will be accomplished.</t>
  </si>
  <si>
    <t>Recipients must submit a written justification to Treasury describing how the premium pay or grant is responsive to workers performing essential work during the public health emergency unless the worker or groups of workers receiving premium pay meet one of two criteria: (1) the eligible worker(s) receiving premium pay earn (with the premium included) below 150 percent of their residing state or county’s average annual wage for all occupations, as defined by the Bureau of Labor Statistics Occupational Employment and Wage Statistics; or (2) the eligible worker(s) receiving premium pay is not exempt from the Fair Labor Standards Act overtime provisions.</t>
  </si>
  <si>
    <t>A description of the overall purpose and expected outputs and outcomes or results of the funded subaward, including significant deliverables and, if appropriate, associated units of measure. The purpose and outcomes or results should be stated in terms that allow an understanding that the subaward constitutes an eligible use of funds.</t>
  </si>
  <si>
    <t>Subaward number that allows the Recipient to associate Expenditure records to Subaward records. Enter Subaward Number. Subaward Number is not required if Expenditure Category is "Administrative Cost".</t>
  </si>
  <si>
    <t>Start date for the range of time when the expenditure(s) occurred.</t>
  </si>
  <si>
    <t>End date for the range of time when the expenditure(s) occurred.</t>
  </si>
  <si>
    <t>Total amount of SLFRF dollars on the Subaward.</t>
  </si>
  <si>
    <t>Recipient Project ID that allows the Recipient to associate Expenditure records to Project records.</t>
  </si>
  <si>
    <t>Sum of sub-award amounts/obligations during the most recent period for this Sub-Award Type (Aggregates).</t>
  </si>
  <si>
    <t>Sum of Expenditures or Payments during the most recent period for this SubAward Type (Aggregates).</t>
  </si>
  <si>
    <t>The Subaward Type that had obligation or expenditure/payment activity during the reporting period.</t>
  </si>
  <si>
    <r>
      <t xml:space="preserve">Total dollar value of obligations for this current reporting period. 
</t>
    </r>
    <r>
      <rPr>
        <b/>
        <sz val="8"/>
        <color rgb="FF000000"/>
        <rFont val="Arial"/>
        <family val="2"/>
      </rPr>
      <t>This number should comprise all Current Period Expenditures plus any obligations made and not yet paid in this current reporting period. For a definition of obligations, refer to the helptext under 'Total Cumulative Obligations'.</t>
    </r>
  </si>
  <si>
    <r>
      <t xml:space="preserve">Total dollar value of expenditures for this project. 
</t>
    </r>
    <r>
      <rPr>
        <b/>
        <sz val="8"/>
        <color rgb="FF000000"/>
        <rFont val="Arial"/>
        <family val="2"/>
      </rPr>
      <t xml:space="preserve">TCE should be equal to the sum of cumulative expenditures from RIFANS across the entirety of the project. We have provided a tab with expenditures from RIFANS corresponding to the entire project period. </t>
    </r>
  </si>
  <si>
    <t>hhn</t>
  </si>
  <si>
    <t>projectBaselineBulkUpload, project2128BulkUploads, project214_224227BulkUploads, project18_229233BulkUploads</t>
  </si>
  <si>
    <t>Spending_Allocated_Toward_Evidence_Based_Interventions</t>
  </si>
  <si>
    <t>Whether_program_evaluation_is_being_conducted</t>
  </si>
  <si>
    <t>The dollar amount of the total project spending that is allocated toward evidence-based interventions</t>
  </si>
  <si>
    <t>Whether a program evaluation of the project is being conducted</t>
  </si>
  <si>
    <t>"Yes"
"No"</t>
  </si>
  <si>
    <t>Number of workers enrolled in sectoral job training programs</t>
  </si>
  <si>
    <t xml:space="preserve">Number of workers completing sectoral job training programs </t>
  </si>
  <si>
    <t>Number of people participating in summer youth employment programs</t>
  </si>
  <si>
    <t>Number of Households receiving eviction prevention services (including legal representation)</t>
  </si>
  <si>
    <t>Number of affordable housing units preserved or developed</t>
  </si>
  <si>
    <t>2.11-14</t>
  </si>
  <si>
    <t>Number of students participating in evidence-based tutoring programs</t>
  </si>
  <si>
    <t>Number of children served by childcare and early learning services (pre-school/pre-K/ages 3-5)</t>
  </si>
  <si>
    <t>Number of families served by home visiting</t>
  </si>
  <si>
    <t>project214_224227BulkUploads
projectBaselineBulkUpload</t>
  </si>
  <si>
    <t>AV</t>
  </si>
  <si>
    <t>AW</t>
  </si>
  <si>
    <t>AX</t>
  </si>
  <si>
    <t>AY</t>
  </si>
  <si>
    <t>BA</t>
  </si>
  <si>
    <t>BB</t>
  </si>
  <si>
    <t>BC</t>
  </si>
  <si>
    <r>
      <t xml:space="preserve">Total dollar value of expenditures for this current reporting period. 
</t>
    </r>
    <r>
      <rPr>
        <b/>
        <sz val="8"/>
        <color rgb="FF000000"/>
        <rFont val="Arial"/>
        <family val="2"/>
      </rPr>
      <t>This number should be equal to the sum of cumulative expenditures from RIFANS filtered (using col 'Physical Posted Date') to only those expenditures made on or after the start of this reporting period, and on or before the end of this reporting period.</t>
    </r>
  </si>
  <si>
    <r>
      <t xml:space="preserve">Total dollar value of expenditures for this current reporting period.
</t>
    </r>
    <r>
      <rPr>
        <b/>
        <sz val="8"/>
        <color rgb="FF000000"/>
        <rFont val="Arial"/>
        <family val="2"/>
      </rPr>
      <t>This number should be equal to the sum of cumulative expenditures from RIFANS filtered (using col 'Physical Posted Date') to only those expenditures made on or after the start of this reporting period, and on or before the end of this reporting period.</t>
    </r>
  </si>
  <si>
    <r>
      <t xml:space="preserve">Total dollar value of expenditures for this project.
</t>
    </r>
    <r>
      <rPr>
        <b/>
        <sz val="8"/>
        <color rgb="FF000000"/>
        <rFont val="Arial"/>
        <family val="2"/>
      </rPr>
      <t xml:space="preserve">TCE should be equal to the sum of cumulative expenditures from RIFANS across the entirety of the project. We have provided a tab with expenditures from RIFANS corresponding to the entire project period. </t>
    </r>
  </si>
  <si>
    <t>projectBaselineBulkUpload
project2128BulkUploads
project214_224227BulkUploads
project18_229233BulkUploads</t>
  </si>
  <si>
    <t>Broadband Type</t>
  </si>
  <si>
    <t>Fiber</t>
  </si>
  <si>
    <t>Coaxial Cable</t>
  </si>
  <si>
    <t>Terrestrial Fixed Wireless</t>
  </si>
  <si>
    <t>5.19-5.21</t>
  </si>
  <si>
    <t>project519521BulkUpload</t>
  </si>
  <si>
    <t>Total_Miles_of_Fiber_Deployed_c</t>
  </si>
  <si>
    <t>Confirm that the service provider for the project has, or will upon completion of the project, either participated in the Federal Communications Commission (FCC)'s Affordable Connectivity Program (ACP) or otherwise provided access to a broad-based affordability program that proides benefits to households commensurate with those provided under the ACP to low-income consumers in the proposed service area of the broadband infrastructure (applicable only to projects that provide service to households)</t>
  </si>
  <si>
    <t>Project Technology Type(s) (Planned/Actual)</t>
  </si>
  <si>
    <t>If the selected Project Technology Type includes 'specify' please provide a brief explanation.
(Text - max 250 characters)</t>
  </si>
  <si>
    <t>Total Miles of Fiber Deployed (Planned/Actual)</t>
  </si>
  <si>
    <t>Total Number of Funded Locations Served (Planned/Actual)</t>
  </si>
  <si>
    <t>Total Number of Funded Locations Served, broken out by speeds (Pre-SLFRF investment, Number receiving 25/3 Mbps or below)</t>
  </si>
  <si>
    <t>Total Number of Funded Locations Served, broken out by speeds (Pre-SLFRF investment, Number receiving between 25/3 Mbps and 100/20 Mbps)</t>
  </si>
  <si>
    <t>Total Number of Funded Locations Served, broken out by speeds (Post-SLFRF investment, Number receiving minimum 100/20 Mbps and scalable to minimum 100/100 Mbps)</t>
  </si>
  <si>
    <t>2.24-2.27</t>
  </si>
  <si>
    <t>Number_Children_Served_Childcare__c</t>
  </si>
  <si>
    <t>Number_Families_Served_Home_Visiting__c</t>
  </si>
  <si>
    <t>Number_People_Summer_Youth__c</t>
  </si>
  <si>
    <t>Number_Workers_Enrolled_Sectoral__c</t>
  </si>
  <si>
    <t>(manual entry)1</t>
  </si>
  <si>
    <t>(manual entry)2</t>
  </si>
  <si>
    <t>(manual entry)3</t>
  </si>
  <si>
    <t>(manual entry)4</t>
  </si>
  <si>
    <t>(manual entry)5</t>
  </si>
  <si>
    <t>(manual entry)6</t>
  </si>
  <si>
    <t>(manual entry)7</t>
  </si>
  <si>
    <t>(manual entry)8</t>
  </si>
  <si>
    <t>(manual entry)9</t>
  </si>
  <si>
    <t>(manual entry)10</t>
  </si>
  <si>
    <t>(manual entry)11</t>
  </si>
  <si>
    <t>(manual entry)12</t>
  </si>
  <si>
    <t>(manual entry)13</t>
  </si>
  <si>
    <t>(manual entry)14</t>
  </si>
  <si>
    <t>Number_Households_Eviction_Prevention__c</t>
  </si>
  <si>
    <t>Number_Affordable_Housing_Units__c</t>
  </si>
  <si>
    <t>Affordable housing supportive housing or recovery housing</t>
  </si>
  <si>
    <t>Entity_Type_2__c</t>
  </si>
  <si>
    <t>Cancelled</t>
  </si>
  <si>
    <t>All EC1</t>
  </si>
  <si>
    <t>Cancellation_Reason__c</t>
  </si>
  <si>
    <t>Cancelled Status of Completion Explanation</t>
  </si>
  <si>
    <t>Conditional based on Column E</t>
  </si>
  <si>
    <t>All EC4</t>
  </si>
  <si>
    <t>All EC3</t>
  </si>
  <si>
    <t>All EC2</t>
  </si>
  <si>
    <t>All EC7</t>
  </si>
  <si>
    <t>BD</t>
  </si>
  <si>
    <t>Number_Workers_Competing_Sectoral__c</t>
  </si>
  <si>
    <t>EC 2.11-2.14, 2.24-2.27</t>
  </si>
  <si>
    <t>EC2.2, 2.15-2.18</t>
  </si>
  <si>
    <t>Number_Students_Tutoring_Programs__c</t>
  </si>
  <si>
    <t>Technology Type Planned</t>
  </si>
  <si>
    <t>Technology_Type_Planned__c</t>
  </si>
  <si>
    <t>Technology_Type_Planned_Other__c</t>
  </si>
  <si>
    <t>If Technology Type Planned is "Other" please specify</t>
  </si>
  <si>
    <t>Technology Type Actual</t>
  </si>
  <si>
    <t>If Technology Type Actual is "Other" please specify</t>
  </si>
  <si>
    <t>Technology_Type_Actual__c</t>
  </si>
  <si>
    <t>Technology_Type_Actual_Other__c</t>
  </si>
  <si>
    <t>"Fiber"
"Coaxial Cable"
"Terrestrial Fixed Wireless"
"Other"</t>
  </si>
  <si>
    <t>Total_Miles_of_Fiber_Deployed_Actual__c</t>
  </si>
  <si>
    <t>Total Miles of Fiber Deployed Planned</t>
  </si>
  <si>
    <t>Total Miles of Fiber Deployed Actual</t>
  </si>
  <si>
    <t>Total Number of Funded Locations Served Planned</t>
  </si>
  <si>
    <t>Total Number of Funded Locations Served Actual</t>
  </si>
  <si>
    <t>Actual_Funded_Locations_Served__c</t>
  </si>
  <si>
    <t>Planned_Funded_Locations_Served__c</t>
  </si>
  <si>
    <t>Planned_Funded_Locations_25_3_Below__c</t>
  </si>
  <si>
    <t>Planned Total Number of Funded Locations Served, broken out by speeds (Pre-SLFRF investment, Number receiving 25/3 Mbps or below)</t>
  </si>
  <si>
    <t>Planned_Funded_Locations_Between_25_100__c</t>
  </si>
  <si>
    <t>Planned Total Number of Funded Locations Served, broken out by speeds (Pre-SLFRF investment, Number receiving between 25/3 Mbps and 100/20 Mbps)</t>
  </si>
  <si>
    <t>Planned Total Number of Funded Locations Served, broken out by speeds (Post-SLFRF investment, Number receiving minimum 100/100 Mbps)</t>
  </si>
  <si>
    <t>Planned_Funded_Locations_Minimum_1_Gbps__c</t>
  </si>
  <si>
    <t>Actual_Funded_Locations_Minimum_1_Gbps__c</t>
  </si>
  <si>
    <t>Actual Total Number of Funded Locations Served, broken out by speeds (Post-SLFRF investment, Number receiving minimum 100/100 Mbps)</t>
  </si>
  <si>
    <t>Planned_Funded_Locations_Minimum_100_100__c</t>
  </si>
  <si>
    <t>Actual_Funded_Locations_Minimum_100_100__c</t>
  </si>
  <si>
    <t>Planned_Funded_Locations_Minimum_100_20__c</t>
  </si>
  <si>
    <t>Actual_Funded_Locations_Minimum_100_20__c</t>
  </si>
  <si>
    <t>Planned Total Number of Funded Locations Served, broken out by speeds (Post-SLFRF investment, Number receiving minimum 1 Gbps)</t>
  </si>
  <si>
    <t>Actual Total Number of Funded Locations Served, broken out by speeds (Post-SLFRF investment, Number receiving minimum 1 Gbps)</t>
  </si>
  <si>
    <t>Actual Total Number of Funded Locations Served, broken out by speeds (Post-SLFRF investment, Number receiving minimum 100/20 Mbps and scalable to minimum 100/100 Mbps)</t>
  </si>
  <si>
    <t>Planned Total Number of Funded Locations Served, broken out by speeds (Post-SLFRF investment, Number receiving minimum 100/20 Mbps and scalable to minimum 100/100 Mbps)</t>
  </si>
  <si>
    <t>Planned Total Number of Funded Locations Served, broken out by type (Residential - Total Housing Units)</t>
  </si>
  <si>
    <t>Planned_Funded_Locations_Residential__c</t>
  </si>
  <si>
    <t>Actual_Funded_Locations_Residential__c</t>
  </si>
  <si>
    <t>Actual Total Number of Funded Locations Served, broken out by type (Residential - Total Housing Units)</t>
  </si>
  <si>
    <t>Planned Total Number of Funded Locations Served, Residential</t>
  </si>
  <si>
    <t>Actual Total Number of Funded Locations Served, Residential</t>
  </si>
  <si>
    <t>Planned Total Number of Funded Locations Served, Total Housing</t>
  </si>
  <si>
    <t>Actual Total Number of Funded Locations Served, Total Housing</t>
  </si>
  <si>
    <t>Planned_Funded_Locations_Total_Housing__c</t>
  </si>
  <si>
    <t>Actual_Funded_Locations_Total_Housing__c</t>
  </si>
  <si>
    <t>Planned Total Number of Funded Locations Served, Business</t>
  </si>
  <si>
    <t>Actual Total Number of Funded Locations Served, Business</t>
  </si>
  <si>
    <t>Planned_Funded_Locations_Business__c</t>
  </si>
  <si>
    <t>Actual_Funded_Locations_Business__c</t>
  </si>
  <si>
    <t>Planned Total Number of Funded Locations Served, Community Anchor Institution</t>
  </si>
  <si>
    <t>Actual Total Number of Funded Locations Served, Community Anchor Institution</t>
  </si>
  <si>
    <t>Planned_Funded_Locations_Community__c</t>
  </si>
  <si>
    <t>Actual_Funded_Locations_Community__c</t>
  </si>
  <si>
    <t>Planned_Funded_Locations_Explanation__c</t>
  </si>
  <si>
    <t>Actual_Funded_Locations_Explanation__c</t>
  </si>
  <si>
    <t>Planned Funded Locations Explanation</t>
  </si>
  <si>
    <t>Actual Funded Locations Explanation</t>
  </si>
  <si>
    <t>Confirm_Service_Provider__c</t>
  </si>
  <si>
    <t>BE</t>
  </si>
  <si>
    <t>BF</t>
  </si>
  <si>
    <t>BG</t>
  </si>
  <si>
    <t>BH</t>
  </si>
  <si>
    <t>BI</t>
  </si>
  <si>
    <t>BJ</t>
  </si>
  <si>
    <t>BK</t>
  </si>
  <si>
    <t>BL</t>
  </si>
  <si>
    <t>BM</t>
  </si>
  <si>
    <t>BN</t>
  </si>
  <si>
    <t>BO</t>
  </si>
  <si>
    <t>Any work performed by an employee of a State local or Tribal government</t>
  </si>
  <si>
    <t>Behavioral health work</t>
  </si>
  <si>
    <t>Biomedical research</t>
  </si>
  <si>
    <t>Dental care work</t>
  </si>
  <si>
    <t>Educational work school nutrition work and other work required to operate a school facility</t>
  </si>
  <si>
    <t>Elections work</t>
  </si>
  <si>
    <t>Emergency response</t>
  </si>
  <si>
    <t>Family or child care</t>
  </si>
  <si>
    <t>Grocery stores restaurants food production and food delivery</t>
  </si>
  <si>
    <t>Health care</t>
  </si>
  <si>
    <t>Home- and community-based health care or assistance with activities of daily living</t>
  </si>
  <si>
    <t>Laundry work</t>
  </si>
  <si>
    <t>Maintenance work</t>
  </si>
  <si>
    <t>Medical testing and diagnostics</t>
  </si>
  <si>
    <t>Pharmacy</t>
  </si>
  <si>
    <t>Public health work</t>
  </si>
  <si>
    <t>Sanitation disinfection and cleaning work</t>
  </si>
  <si>
    <t>Social services work</t>
  </si>
  <si>
    <t>Solid waste or hazardous materials management response and cleanup work</t>
  </si>
  <si>
    <t>Transportation and warehousing</t>
  </si>
  <si>
    <t>Vital services to Tribes</t>
  </si>
  <si>
    <t>Work at hotel and commercial lodging facilities that are used for COVID-19 mitigation and containment</t>
  </si>
  <si>
    <t>Work in a mortuary</t>
  </si>
  <si>
    <t>Work in critical clinical research development and testing necessary for COVID-19 response</t>
  </si>
  <si>
    <t>Work requiring physical interaction with patients</t>
  </si>
  <si>
    <t>Contractor</t>
  </si>
  <si>
    <t>Beneficiary</t>
  </si>
  <si>
    <t>Any work performed by an employee of a State local or Tribal government
Behavioral health work
Biomedical research
Dental care work
Educational work school nutrition work and other work required to operate a school facility
Elections work
Emergency response
Family or child care
Grocery stores restaurants food production and food delivery
Health care
Home- and community-based health care or assistance with activities of daily living
Laundry work
Maintenance work
Medical testing and diagnostics
Pharmacy
Public health work
Sanitation disinfection and cleaning work
Social services work
Solid waste or hazardous materials management response and cleanup work
Transportation and warehousing
Vital services to Tribes
Work at hotel and commercial lodging facilities that are used for COVID-19 mitigation and containment
Work in a mortuary
Work in critical clinical research development and testing necessary for COVID-19 response
Work requiring physical interaction with patients
Other</t>
  </si>
  <si>
    <t>2.34-Assistance to Impacted Nonprofit Organizations (Impacted or Disproportionately Impacted)</t>
  </si>
  <si>
    <t>1.9-COVID-19 Assistance to Non-Profits</t>
  </si>
  <si>
    <t>1.4-Prevention in Congregate Settings (Nursing Homes, Prisons/Jails, Dense Work Sites, Schools, Child care facilities, etc.)</t>
  </si>
  <si>
    <t>1.7-Other COVID-19 Public Health Expenses (including Communications, Enforcement, Isolation/Quarantine)</t>
  </si>
  <si>
    <t>2.30-Technical Assistance, Counseling, or Business Planning</t>
  </si>
  <si>
    <t>2.25-Addressing Educational Disparities: Academic, Social, and Emotional Services</t>
  </si>
  <si>
    <t>2.2-Household Assistance: Rent, Mortgage, and Utility Aid</t>
  </si>
  <si>
    <t>2.10-Assistance to Unemployed or Underemployed Workers (e.g. job training, subsidized employment, employment supports or incentives)</t>
  </si>
  <si>
    <t>3.1-Public Sector Workforce: Payroll and Benefits for Public Health, Public Safety, or Human Services Workers</t>
  </si>
  <si>
    <t>5.12-Drinking water: Lead Remediation, including in Schools and Daycares</t>
  </si>
  <si>
    <t>5.19-Broadband: 'Last Mile' projects</t>
  </si>
  <si>
    <t>Mitigation measures in small businesses, nonprofits, and impacted industries</t>
  </si>
  <si>
    <t>COVID-19 testing sites and laboratories</t>
  </si>
  <si>
    <t>Childcare, daycare, and early learning facilities</t>
  </si>
  <si>
    <t>2.35-Aid to Tourism, Travel, or Hospitality</t>
  </si>
  <si>
    <r>
      <t xml:space="preserve">Amount of the adopted budget for this project. </t>
    </r>
    <r>
      <rPr>
        <b/>
        <sz val="9"/>
        <color theme="1"/>
        <rFont val="Arial"/>
        <family val="2"/>
      </rPr>
      <t>This includes single audit fees, and should correspond to what is listed in the Reporting &amp; Compliance form.</t>
    </r>
  </si>
  <si>
    <r>
      <t xml:space="preserve">Total dollar value of obligations for this project. </t>
    </r>
    <r>
      <rPr>
        <b/>
        <sz val="9"/>
        <color theme="1"/>
        <rFont val="Arial"/>
        <family val="2"/>
      </rPr>
      <t>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</si>
  <si>
    <r>
      <t xml:space="preserve">Total dollar value of expenditures for this project. 
</t>
    </r>
    <r>
      <rPr>
        <b/>
        <sz val="9"/>
        <color rgb="FF000000"/>
        <rFont val="Arial"/>
        <family val="2"/>
      </rPr>
      <t xml:space="preserve">TCE should be equal to the sum of cumulative expenditures from RIFANS across the entirety of the project. We have provided a tab with expenditures from RIFANS corresponding to the entire project period. </t>
    </r>
  </si>
  <si>
    <r>
      <t xml:space="preserve">Total dollar value of obligations for this current reporting period. 
</t>
    </r>
    <r>
      <rPr>
        <b/>
        <sz val="9"/>
        <color rgb="FF000000"/>
        <rFont val="Arial"/>
        <family val="2"/>
      </rPr>
      <t>This number should comprise all Current Period Expenditures plus any obligations made and not yet paid in this current reporting period. For a definition of obligations, refer to the helptext under 'Total Cumulative Obligations'.</t>
    </r>
  </si>
  <si>
    <r>
      <t xml:space="preserve">Total dollar value of expenditures for this current reporting period. 
</t>
    </r>
    <r>
      <rPr>
        <b/>
        <sz val="9"/>
        <color rgb="FF000000"/>
        <rFont val="Arial"/>
        <family val="2"/>
      </rPr>
      <t>This number should be equal to the sum of cumulative expenditures from RIFANS filtered (using col 'Physical Posted Date') to only those expenditures made on or after the start of this reporting period, and on or before the end of this reporting period.</t>
    </r>
  </si>
  <si>
    <t>RequiredOptional</t>
  </si>
  <si>
    <t>The budget here refers to the total expected capital expenditure.</t>
  </si>
  <si>
    <t>UEI</t>
  </si>
  <si>
    <t>TIN</t>
  </si>
  <si>
    <t>The Unique Entity Identifier (UEI) created in SAM.gov. NOTE: Sub-recipients MUST have either a UEI or TIN.</t>
  </si>
  <si>
    <t>The Internal Revenue Service (IRS) Taxpayer Identification Number. NOTE: Sub-recipients MUST have either a UEI or TIN.</t>
  </si>
  <si>
    <t>Did the Subaward Amount (Obligation) Change From Last Reporting Period?</t>
  </si>
  <si>
    <t>Reason for the Subaward Amount (Obligation) Change</t>
  </si>
  <si>
    <t>If the Subaward amount (obligation) changed from the last reporting period, answer "Yes."</t>
  </si>
  <si>
    <t>Subaward_Changed__c</t>
  </si>
  <si>
    <t>Change_Reason__c</t>
  </si>
  <si>
    <t>A brief reason for why the Subaward Amount (Obligation) changed.</t>
  </si>
  <si>
    <t>Is_project_designed_provide_hh_service__c</t>
  </si>
  <si>
    <t>Is project designed to provide service to households?</t>
  </si>
  <si>
    <t>Planned_Sum_Speed_Types_Explanation__c</t>
  </si>
  <si>
    <t>Actual_Sum_Speed_Types_Explanation__c</t>
  </si>
  <si>
    <t>Explanation if the sum of broadband speed types does not equal total number of funded locations served
Planned</t>
  </si>
  <si>
    <t>Explanation if the sum of broadband speed types does not equal total number of funded locations served
Actual</t>
  </si>
  <si>
    <t>BP</t>
  </si>
  <si>
    <t>BQ</t>
  </si>
  <si>
    <t>REQUIRED if the sum of broadband speed types does not equal total number of funded locations served.</t>
  </si>
  <si>
    <t>2.10</t>
  </si>
  <si>
    <t>Confirm that the project is designed to, upon completion, reliably meet or exceed symmetrical 100 Mbps download and upload speeds</t>
  </si>
  <si>
    <t>Informational</t>
  </si>
  <si>
    <t>The Legal Name entered on the Subrecipient sheet based on the UEI or TIN entered.</t>
  </si>
  <si>
    <t>String-Fixed</t>
  </si>
  <si>
    <t>Hidden</t>
  </si>
  <si>
    <t>The Legal Name based on the subaward on the Awards &gt; 50000 sheet.</t>
  </si>
  <si>
    <r>
      <t xml:space="preserve">Is the "total compensation" for the organization's five highest paid officers publicly listed or otherwise listed in </t>
    </r>
    <r>
      <rPr>
        <b/>
        <u/>
        <sz val="10"/>
        <rFont val="Arial"/>
        <family val="2"/>
      </rPr>
      <t>SAM.gov?</t>
    </r>
  </si>
  <si>
    <t>Display Only</t>
  </si>
  <si>
    <t>Hidden from user</t>
  </si>
  <si>
    <t>[Enter Detailed Expenditure Category] --&gt;</t>
  </si>
  <si>
    <t>Display_Only</t>
  </si>
  <si>
    <t>Helper Column - Hidden From User - Do Not Alter</t>
  </si>
  <si>
    <t>2 Character Country Code</t>
  </si>
  <si>
    <t>Two character country code</t>
  </si>
  <si>
    <t>Country Code</t>
  </si>
  <si>
    <t>Name of the project. HI JILL.</t>
  </si>
  <si>
    <t>Country__c</t>
  </si>
  <si>
    <t/>
  </si>
  <si>
    <t>Protect</t>
  </si>
  <si>
    <t>v:20230419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</si>
</sst>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4" formatCode="_(&quot;$&quot;* #,##0.00_);_(&quot;$&quot;* \(#,##0.00\);_(&quot;$&quot;* &quot;-&quot;??_);_(@_)"/>
    <numFmt numFmtId="43" formatCode="_(* #,##0.00_);_(* \(#,##0.00\);_(* &quot;-&quot;??_);_(@_)"/>
    <numFmt numFmtId="164" formatCode="mm/dd/yy;@"/>
    <numFmt numFmtId="165" formatCode="&quot;$&quot;#,##0.00"/>
    <numFmt numFmtId="166" formatCode="&quot;$&quot;#,##0"/>
    <numFmt numFmtId="167" formatCode="mm/dd/yyyy"/>
  </numFmts>
  <fonts count="67" x14ac:knownFonts="1">
    <font>
      <sz val="10"/>
      <color rgb="FF00000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color theme="1"/>
      <name val="Calibri"/>
      <family val="2"/>
    </font>
    <font>
      <sz val="10"/>
      <color theme="1"/>
      <name val="Arial"/>
      <family val="2"/>
    </font>
    <font>
      <sz val="10"/>
      <name val="Arial"/>
      <family val="2"/>
    </font>
    <font>
      <sz val="10"/>
      <color rgb="FF000000"/>
      <name val="Arial"/>
      <family val="2"/>
    </font>
    <font>
      <i/>
      <sz val="10"/>
      <color rgb="FF000000"/>
      <name val="Arial"/>
      <family val="2"/>
    </font>
    <font>
      <sz val="11"/>
      <color theme="1"/>
      <name val="Calibri"/>
      <family val="2"/>
      <scheme val="minor"/>
    </font>
    <font>
      <b/>
      <sz val="10"/>
      <color theme="1"/>
      <name val="Calibri"/>
      <family val="2"/>
    </font>
    <font>
      <sz val="8"/>
      <name val="Arial"/>
      <family val="2"/>
    </font>
    <font>
      <sz val="11"/>
      <color rgb="FF000000"/>
      <name val="Calibri"/>
      <family val="2"/>
    </font>
    <font>
      <sz val="10"/>
      <name val="Arial"/>
      <family val="2"/>
      <charset val="1"/>
    </font>
    <font>
      <b/>
      <sz val="10"/>
      <color rgb="FF000000"/>
      <name val="Calibri"/>
      <family val="2"/>
    </font>
    <font>
      <sz val="10"/>
      <color rgb="FF000000"/>
      <name val="Calibri"/>
      <family val="2"/>
    </font>
    <font>
      <b/>
      <sz val="11"/>
      <color rgb="FF000000"/>
      <name val="Calibri"/>
      <family val="2"/>
    </font>
    <font>
      <b/>
      <u/>
      <sz val="11"/>
      <color rgb="FF000000"/>
      <name val="Calibri"/>
      <family val="2"/>
    </font>
    <font>
      <sz val="10"/>
      <color indexed="8"/>
      <name val="Arial"/>
      <family val="2"/>
    </font>
    <font>
      <b/>
      <sz val="11"/>
      <color rgb="FF000000"/>
      <name val="Calibri"/>
      <family val="2"/>
      <scheme val="minor"/>
    </font>
    <font>
      <b/>
      <sz val="11"/>
      <color rgb="FF000000"/>
      <name val="Arial"/>
      <family val="2"/>
    </font>
    <font>
      <b/>
      <sz val="10"/>
      <color rgb="FF000000"/>
      <name val="Arial"/>
      <family val="2"/>
    </font>
    <font>
      <b/>
      <strike/>
      <sz val="10"/>
      <color rgb="FF000000"/>
      <name val="Calibri"/>
      <family val="2"/>
    </font>
    <font>
      <sz val="10"/>
      <color rgb="FFFF0000"/>
      <name val="Arial"/>
      <family val="2"/>
    </font>
    <font>
      <sz val="11"/>
      <color theme="1"/>
      <name val="Arial"/>
      <family val="2"/>
    </font>
    <font>
      <b/>
      <sz val="8"/>
      <color rgb="FF000000"/>
      <name val="Arial"/>
      <family val="2"/>
    </font>
    <font>
      <i/>
      <sz val="10"/>
      <color theme="1"/>
      <name val="Arial"/>
      <family val="2"/>
    </font>
    <font>
      <sz val="12"/>
      <color theme="1"/>
      <name val="Arial"/>
      <family val="2"/>
    </font>
    <font>
      <sz val="8"/>
      <color rgb="FF000000"/>
      <name val="Arial"/>
      <family val="2"/>
    </font>
    <font>
      <sz val="8"/>
      <color theme="1"/>
      <name val="Arial"/>
      <family val="2"/>
    </font>
    <font>
      <sz val="8"/>
      <color rgb="FFFF0000"/>
      <name val="Arial"/>
      <family val="2"/>
    </font>
    <font>
      <i/>
      <sz val="8"/>
      <name val="Arial"/>
      <family val="2"/>
    </font>
    <font>
      <i/>
      <sz val="8"/>
      <color theme="1"/>
      <name val="Arial"/>
      <family val="2"/>
    </font>
    <font>
      <b/>
      <sz val="8"/>
      <color theme="1"/>
      <name val="Arial"/>
      <family val="2"/>
    </font>
    <font>
      <b/>
      <sz val="11"/>
      <color theme="0"/>
      <name val="Arial"/>
      <family val="2"/>
    </font>
    <font>
      <sz val="11"/>
      <color rgb="FF000000"/>
      <name val="Arial"/>
      <family val="2"/>
    </font>
    <font>
      <i/>
      <sz val="8"/>
      <color rgb="FF000000"/>
      <name val="Arial"/>
      <family val="2"/>
    </font>
    <font>
      <b/>
      <sz val="10"/>
      <color theme="4"/>
      <name val="Arial"/>
      <family val="2"/>
    </font>
    <font>
      <sz val="10"/>
      <color theme="4"/>
      <name val="Arial"/>
      <family val="2"/>
    </font>
    <font>
      <sz val="8"/>
      <color theme="0"/>
      <name val="Arial"/>
      <family val="2"/>
    </font>
    <font>
      <b/>
      <i/>
      <sz val="8"/>
      <color rgb="FF000000"/>
      <name val="Arial"/>
      <family val="2"/>
    </font>
    <font>
      <sz val="9"/>
      <color rgb="FF000000"/>
      <name val="Arial"/>
      <family val="2"/>
    </font>
    <font>
      <sz val="9"/>
      <color theme="1"/>
      <name val="Arial"/>
      <family val="2"/>
    </font>
    <font>
      <sz val="9"/>
      <name val="Arial"/>
      <family val="2"/>
    </font>
    <font>
      <i/>
      <sz val="9"/>
      <name val="Arial"/>
      <family val="2"/>
    </font>
    <font>
      <i/>
      <sz val="9"/>
      <color theme="1"/>
      <name val="Arial"/>
      <family val="2"/>
    </font>
    <font>
      <i/>
      <sz val="9"/>
      <color rgb="FF000000"/>
      <name val="Arial"/>
      <family val="2"/>
    </font>
    <font>
      <sz val="9"/>
      <color indexed="8"/>
      <name val="Arial"/>
      <family val="2"/>
    </font>
    <font>
      <sz val="9"/>
      <color rgb="FFFF0000"/>
      <name val="Arial"/>
      <family val="2"/>
    </font>
    <font>
      <b/>
      <sz val="10"/>
      <color theme="1"/>
      <name val="Arial"/>
      <family val="2"/>
    </font>
    <font>
      <b/>
      <sz val="10"/>
      <name val="Arial"/>
      <family val="2"/>
    </font>
    <font>
      <b/>
      <sz val="9"/>
      <color indexed="81"/>
      <name val="Tahoma"/>
      <family val="2"/>
    </font>
    <font>
      <sz val="9"/>
      <color indexed="81"/>
      <name val="Tahoma"/>
      <family val="2"/>
    </font>
    <font>
      <b/>
      <i/>
      <sz val="9"/>
      <color indexed="81"/>
      <name val="Tahoma"/>
      <family val="2"/>
    </font>
    <font>
      <sz val="10"/>
      <name val="Calibri"/>
      <family val="2"/>
      <scheme val="minor"/>
    </font>
    <font>
      <b/>
      <i/>
      <sz val="9"/>
      <color rgb="FF000000"/>
      <name val="Arial"/>
      <family val="2"/>
    </font>
    <font>
      <b/>
      <sz val="9"/>
      <color theme="1"/>
      <name val="Arial"/>
      <family val="2"/>
    </font>
    <font>
      <b/>
      <sz val="9"/>
      <color rgb="FF000000"/>
      <name val="Arial"/>
      <family val="2"/>
    </font>
    <font>
      <b/>
      <sz val="9"/>
      <color theme="0"/>
      <name val="Arial"/>
      <family val="2"/>
    </font>
    <font>
      <b/>
      <sz val="9"/>
      <name val="Arial"/>
      <family val="2"/>
    </font>
    <font>
      <b/>
      <sz val="10"/>
      <color rgb="FFFF0000"/>
      <name val="Arial"/>
      <family val="2"/>
    </font>
    <font>
      <b/>
      <i/>
      <sz val="10"/>
      <color theme="3" tint="0.34998626667073579"/>
      <name val="Arial"/>
      <family val="2"/>
    </font>
    <font>
      <b/>
      <i/>
      <sz val="10"/>
      <name val="Arial"/>
      <family val="2"/>
    </font>
    <font>
      <b/>
      <i/>
      <sz val="9"/>
      <name val="Arial"/>
      <family val="2"/>
    </font>
    <font>
      <b/>
      <u/>
      <sz val="10"/>
      <name val="Arial"/>
      <family val="2"/>
    </font>
    <font>
      <sz val="9"/>
      <color indexed="81"/>
      <name val="Tahoma"/>
      <charset val="1"/>
    </font>
  </fonts>
  <fills count="17">
    <fill>
      <patternFill patternType="none"/>
    </fill>
    <fill>
      <patternFill patternType="gray125"/>
    </fill>
    <fill>
      <patternFill patternType="solid">
        <fgColor rgb="FFD8D8D8"/>
        <bgColor rgb="FFD8D8D8"/>
      </patternFill>
    </fill>
    <fill>
      <patternFill patternType="solid">
        <fgColor theme="0" tint="-0.14999847407452621"/>
        <bgColor indexed="64"/>
      </patternFill>
    </fill>
    <fill>
      <patternFill patternType="solid">
        <fgColor theme="0" tint="-0.14999847407452621"/>
        <bgColor rgb="FFD8D8D8"/>
      </patternFill>
    </fill>
    <fill>
      <patternFill patternType="solid">
        <fgColor theme="1"/>
        <bgColor indexed="64"/>
      </patternFill>
    </fill>
    <fill>
      <patternFill patternType="solid">
        <fgColor rgb="FFFFFF00"/>
        <bgColor indexed="64"/>
      </patternFill>
    </fill>
    <fill>
      <patternFill patternType="solid">
        <fgColor rgb="FFFFC000"/>
        <bgColor indexed="64"/>
      </patternFill>
    </fill>
    <fill>
      <patternFill patternType="gray0625">
        <fgColor rgb="FF000000"/>
        <bgColor rgb="FFD9D9D9"/>
      </patternFill>
    </fill>
    <fill>
      <patternFill patternType="gray0625">
        <bgColor theme="0" tint="-0.14999847407452621"/>
      </patternFill>
    </fill>
    <fill>
      <patternFill patternType="gray0625">
        <bgColor theme="2" tint="-0.14993743705557422"/>
      </patternFill>
    </fill>
    <fill>
      <patternFill patternType="solid">
        <fgColor theme="0" tint="-0.34998626667073579"/>
        <bgColor rgb="FF000000"/>
      </patternFill>
    </fill>
    <fill>
      <patternFill patternType="solid">
        <fgColor theme="7" tint="0.79998168889431442"/>
        <bgColor indexed="64"/>
      </patternFill>
    </fill>
    <fill>
      <patternFill patternType="gray0625">
        <bgColor theme="8" tint="0.79995117038483843"/>
      </patternFill>
    </fill>
    <fill>
      <patternFill patternType="solid">
        <fgColor theme="0" tint="-0.249977111117893"/>
        <bgColor indexed="64"/>
      </patternFill>
    </fill>
    <fill>
      <patternFill patternType="solid">
        <fgColor theme="0" tint="-0.14996795556505021"/>
        <bgColor indexed="64"/>
      </patternFill>
    </fill>
    <fill>
      <patternFill patternType="solid">
        <fgColor theme="8" tint="0.79995117038483843"/>
        <bgColor indexed="64"/>
      </patternFill>
    </fill>
  </fills>
  <borders count="11">
    <border>
      <left/>
      <right/>
      <top/>
      <bottom/>
      <diagonal/>
    </border>
    <border>
      <left/>
      <right/>
      <top/>
      <bottom style="thin">
        <color rgb="FF000000"/>
      </bottom>
      <diagonal/>
    </border>
    <border>
      <left style="thin">
        <color auto="1"/>
      </left>
      <right style="thin">
        <color auto="1"/>
      </right>
      <top style="thin">
        <color auto="1"/>
      </top>
      <bottom style="thin">
        <color auto="1"/>
      </bottom>
      <diagonal/>
    </border>
    <border>
      <left/>
      <right/>
      <top/>
      <bottom style="thin">
        <color indexed="64"/>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double">
        <color auto="1"/>
      </top>
      <bottom style="thin">
        <color auto="1"/>
      </bottom>
      <diagonal/>
    </border>
    <border>
      <left style="thin">
        <color auto="1"/>
      </left>
      <right style="thin">
        <color auto="1"/>
      </right>
      <top style="thin">
        <color auto="1"/>
      </top>
      <bottom style="double">
        <color auto="1"/>
      </bottom>
      <diagonal/>
    </border>
    <border>
      <left style="thin">
        <color auto="1"/>
      </left>
      <right style="thin">
        <color auto="1"/>
      </right>
      <top/>
      <bottom/>
      <diagonal/>
    </border>
    <border>
      <left style="thin">
        <color theme="6" tint="0.79998168889431442"/>
      </left>
      <right style="thin">
        <color theme="6" tint="0.79998168889431442"/>
      </right>
      <top style="thin">
        <color theme="6" tint="0.79998168889431442"/>
      </top>
      <bottom style="thin">
        <color theme="6" tint="0.79998168889431442"/>
      </bottom>
      <diagonal/>
    </border>
    <border>
      <left/>
      <right style="thin">
        <color auto="1"/>
      </right>
      <top style="thin">
        <color auto="1"/>
      </top>
      <bottom style="thin">
        <color auto="1"/>
      </bottom>
      <diagonal/>
    </border>
  </borders>
  <cellStyleXfs count="45">
    <xf numFmtId="0" fontId="0" fillId="0" borderId="0"/>
    <xf numFmtId="44" fontId="8" fillId="0" borderId="0" applyFont="0" applyFill="0" applyBorder="0" applyAlignment="0" applyProtection="0"/>
    <xf numFmtId="0" fontId="10" fillId="0" borderId="0"/>
    <xf numFmtId="0" fontId="8" fillId="0" borderId="0"/>
    <xf numFmtId="0" fontId="7" fillId="0" borderId="0"/>
    <xf numFmtId="0" fontId="13" fillId="0" borderId="0"/>
    <xf numFmtId="0" fontId="14" fillId="0" borderId="0"/>
    <xf numFmtId="43" fontId="7" fillId="0" borderId="0" applyFont="0" applyFill="0" applyBorder="0" applyAlignment="0" applyProtection="0"/>
    <xf numFmtId="0" fontId="4" fillId="0" borderId="0"/>
    <xf numFmtId="0" fontId="25" fillId="0" borderId="0"/>
    <xf numFmtId="0" fontId="28" fillId="0" borderId="0"/>
    <xf numFmtId="0" fontId="3" fillId="0" borderId="0"/>
    <xf numFmtId="0" fontId="3" fillId="0" borderId="0"/>
    <xf numFmtId="0" fontId="3" fillId="0" borderId="0"/>
    <xf numFmtId="0" fontId="3" fillId="0" borderId="0"/>
    <xf numFmtId="0" fontId="3" fillId="0" borderId="0"/>
    <xf numFmtId="0" fontId="25" fillId="0" borderId="0"/>
    <xf numFmtId="0" fontId="25" fillId="0" borderId="0"/>
    <xf numFmtId="0" fontId="25" fillId="0" borderId="0"/>
    <xf numFmtId="0" fontId="25"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5"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cellStyleXfs>
  <cellXfs count="316">
    <xf numFmtId="0" fontId="0" fillId="0" borderId="0" xfId="0"/>
    <xf numFmtId="0" fontId="11" fillId="0" borderId="0" xfId="3" applyFont="1"/>
    <xf numFmtId="0" fontId="8" fillId="0" borderId="0" xfId="3"/>
    <xf numFmtId="0" fontId="5" fillId="0" borderId="0" xfId="3" applyFont="1" applyAlignment="1">
      <alignment horizontal="right"/>
    </xf>
    <xf numFmtId="0" fontId="8" fillId="0" borderId="0" xfId="3" applyAlignment="1">
      <alignment horizontal="left" indent="1"/>
    </xf>
    <xf numFmtId="49" fontId="8" fillId="0" borderId="0" xfId="3" applyNumberFormat="1" applyAlignment="1">
      <alignment horizontal="left" indent="1"/>
    </xf>
    <xf numFmtId="14" fontId="8" fillId="0" borderId="0" xfId="3" applyNumberFormat="1" applyAlignment="1">
      <alignment horizontal="left" indent="1"/>
    </xf>
    <xf numFmtId="0" fontId="15" fillId="0" borderId="2" xfId="3" applyFont="1" applyBorder="1" applyAlignment="1">
      <alignment wrapText="1"/>
    </xf>
    <xf numFmtId="0" fontId="15" fillId="0" borderId="2" xfId="3" applyFont="1" applyBorder="1" applyAlignment="1">
      <alignment horizontal="center" wrapText="1"/>
    </xf>
    <xf numFmtId="0" fontId="16" fillId="0" borderId="2" xfId="3" applyFont="1" applyBorder="1"/>
    <xf numFmtId="0" fontId="17" fillId="0" borderId="2" xfId="3" applyFont="1" applyBorder="1"/>
    <xf numFmtId="165" fontId="17" fillId="0" borderId="0" xfId="3" applyNumberFormat="1" applyFont="1"/>
    <xf numFmtId="165" fontId="15" fillId="0" borderId="0" xfId="3" applyNumberFormat="1" applyFont="1"/>
    <xf numFmtId="0" fontId="16" fillId="0" borderId="4" xfId="3" applyFont="1" applyBorder="1"/>
    <xf numFmtId="0" fontId="16" fillId="0" borderId="5" xfId="3" applyFont="1" applyBorder="1" applyAlignment="1">
      <alignment horizontal="left"/>
    </xf>
    <xf numFmtId="0" fontId="20" fillId="0" borderId="0" xfId="3" applyFont="1"/>
    <xf numFmtId="44" fontId="16" fillId="0" borderId="2" xfId="3" applyNumberFormat="1" applyFont="1" applyBorder="1"/>
    <xf numFmtId="44" fontId="16" fillId="0" borderId="4" xfId="3" applyNumberFormat="1" applyFont="1" applyBorder="1"/>
    <xf numFmtId="44" fontId="15" fillId="0" borderId="2" xfId="3" applyNumberFormat="1" applyFont="1" applyBorder="1"/>
    <xf numFmtId="44" fontId="16" fillId="0" borderId="5" xfId="3" applyNumberFormat="1" applyFont="1" applyBorder="1"/>
    <xf numFmtId="44" fontId="17" fillId="0" borderId="2" xfId="3" applyNumberFormat="1" applyFont="1" applyBorder="1"/>
    <xf numFmtId="0" fontId="21" fillId="0" borderId="0" xfId="3" applyFont="1"/>
    <xf numFmtId="0" fontId="16" fillId="0" borderId="6" xfId="3" applyFont="1" applyBorder="1"/>
    <xf numFmtId="44" fontId="16" fillId="0" borderId="6" xfId="3" applyNumberFormat="1" applyFont="1" applyBorder="1"/>
    <xf numFmtId="44" fontId="15" fillId="0" borderId="6" xfId="3" applyNumberFormat="1" applyFont="1" applyBorder="1"/>
    <xf numFmtId="0" fontId="16" fillId="0" borderId="7" xfId="3" applyFont="1" applyBorder="1"/>
    <xf numFmtId="44" fontId="16" fillId="0" borderId="7" xfId="3" applyNumberFormat="1" applyFont="1" applyBorder="1"/>
    <xf numFmtId="44" fontId="15" fillId="0" borderId="7" xfId="3" applyNumberFormat="1" applyFont="1" applyBorder="1"/>
    <xf numFmtId="0" fontId="23" fillId="6" borderId="2" xfId="3" applyFont="1" applyFill="1" applyBorder="1" applyAlignment="1">
      <alignment wrapText="1"/>
    </xf>
    <xf numFmtId="0" fontId="8" fillId="7" borderId="0" xfId="3" applyFill="1"/>
    <xf numFmtId="44" fontId="16" fillId="6" borderId="5" xfId="3" applyNumberFormat="1" applyFont="1" applyFill="1" applyBorder="1"/>
    <xf numFmtId="44" fontId="16" fillId="8" borderId="6" xfId="3" applyNumberFormat="1" applyFont="1" applyFill="1" applyBorder="1"/>
    <xf numFmtId="44" fontId="16" fillId="8" borderId="2" xfId="3" applyNumberFormat="1" applyFont="1" applyFill="1" applyBorder="1"/>
    <xf numFmtId="44" fontId="16" fillId="8" borderId="7" xfId="3" applyNumberFormat="1" applyFont="1" applyFill="1" applyBorder="1"/>
    <xf numFmtId="44" fontId="16" fillId="9" borderId="5" xfId="3" applyNumberFormat="1" applyFont="1" applyFill="1" applyBorder="1"/>
    <xf numFmtId="44" fontId="16" fillId="10" borderId="2" xfId="3" applyNumberFormat="1" applyFont="1" applyFill="1" applyBorder="1"/>
    <xf numFmtId="44" fontId="16" fillId="10" borderId="4" xfId="3" applyNumberFormat="1" applyFont="1" applyFill="1" applyBorder="1"/>
    <xf numFmtId="0" fontId="15" fillId="11" borderId="2" xfId="3" applyFont="1" applyFill="1" applyBorder="1" applyAlignment="1">
      <alignment wrapText="1"/>
    </xf>
    <xf numFmtId="44" fontId="8" fillId="11" borderId="2" xfId="3" applyNumberFormat="1" applyFill="1" applyBorder="1"/>
    <xf numFmtId="44" fontId="8" fillId="11" borderId="4" xfId="3" applyNumberFormat="1" applyFill="1" applyBorder="1"/>
    <xf numFmtId="44" fontId="8" fillId="11" borderId="6" xfId="3" applyNumberFormat="1" applyFill="1" applyBorder="1"/>
    <xf numFmtId="44" fontId="8" fillId="11" borderId="7" xfId="3" applyNumberFormat="1" applyFill="1" applyBorder="1"/>
    <xf numFmtId="44" fontId="8" fillId="11" borderId="5" xfId="3" applyNumberFormat="1" applyFill="1" applyBorder="1"/>
    <xf numFmtId="44" fontId="17" fillId="11" borderId="2" xfId="3" applyNumberFormat="1" applyFont="1" applyFill="1" applyBorder="1"/>
    <xf numFmtId="44" fontId="16" fillId="11" borderId="2" xfId="3" applyNumberFormat="1" applyFont="1" applyFill="1" applyBorder="1"/>
    <xf numFmtId="44" fontId="16" fillId="11" borderId="4" xfId="3" applyNumberFormat="1" applyFont="1" applyFill="1" applyBorder="1"/>
    <xf numFmtId="44" fontId="16" fillId="11" borderId="6" xfId="3" applyNumberFormat="1" applyFont="1" applyFill="1" applyBorder="1"/>
    <xf numFmtId="44" fontId="16" fillId="11" borderId="7" xfId="3" applyNumberFormat="1" applyFont="1" applyFill="1" applyBorder="1"/>
    <xf numFmtId="44" fontId="16" fillId="11" borderId="5" xfId="3" applyNumberFormat="1" applyFont="1" applyFill="1" applyBorder="1"/>
    <xf numFmtId="49" fontId="6" fillId="3" borderId="0" xfId="0" applyNumberFormat="1" applyFont="1" applyFill="1" applyAlignment="1">
      <alignment wrapText="1"/>
    </xf>
    <xf numFmtId="0" fontId="29" fillId="0" borderId="2" xfId="0" applyFont="1" applyBorder="1" applyAlignment="1">
      <alignment wrapText="1"/>
    </xf>
    <xf numFmtId="164" fontId="8" fillId="0" borderId="0" xfId="0" applyNumberFormat="1" applyFont="1" applyAlignment="1">
      <alignment vertical="top" wrapText="1"/>
    </xf>
    <xf numFmtId="164" fontId="8" fillId="0" borderId="0" xfId="0" applyNumberFormat="1" applyFont="1" applyAlignment="1">
      <alignment wrapText="1"/>
    </xf>
    <xf numFmtId="49" fontId="6" fillId="4" borderId="2" xfId="0" applyNumberFormat="1" applyFont="1" applyFill="1" applyBorder="1" applyAlignment="1">
      <alignment wrapText="1"/>
    </xf>
    <xf numFmtId="0" fontId="29" fillId="0" borderId="2" xfId="0" applyFont="1" applyBorder="1" applyAlignment="1">
      <alignment vertical="center" wrapText="1"/>
    </xf>
    <xf numFmtId="0" fontId="38" fillId="0" borderId="0" xfId="0" applyFont="1"/>
    <xf numFmtId="0" fontId="39" fillId="0" borderId="0" xfId="0" applyFont="1"/>
    <xf numFmtId="0" fontId="38" fillId="0" borderId="0" xfId="0" applyFont="1" applyAlignment="1">
      <alignment horizontal="right"/>
    </xf>
    <xf numFmtId="0" fontId="38" fillId="0" borderId="0" xfId="0" applyFont="1" applyAlignment="1">
      <alignment horizontal="center"/>
    </xf>
    <xf numFmtId="164" fontId="8" fillId="0" borderId="0" xfId="0" applyNumberFormat="1" applyFont="1"/>
    <xf numFmtId="0" fontId="0" fillId="0" borderId="0" xfId="0" applyAlignment="1">
      <alignment horizontal="center"/>
    </xf>
    <xf numFmtId="0" fontId="8" fillId="0" borderId="0" xfId="0" applyFont="1" applyAlignment="1">
      <alignment horizontal="center"/>
    </xf>
    <xf numFmtId="0" fontId="0" fillId="0" borderId="0" xfId="0" applyAlignment="1">
      <alignment horizontal="right"/>
    </xf>
    <xf numFmtId="164" fontId="7" fillId="0" borderId="2" xfId="0" applyNumberFormat="1" applyFont="1" applyBorder="1" applyAlignment="1">
      <alignment wrapText="1"/>
    </xf>
    <xf numFmtId="0" fontId="35" fillId="5" borderId="0" xfId="0" applyFont="1" applyFill="1"/>
    <xf numFmtId="0" fontId="36" fillId="0" borderId="0" xfId="0" applyFont="1" applyAlignment="1">
      <alignment wrapText="1"/>
    </xf>
    <xf numFmtId="164" fontId="7" fillId="0" borderId="2" xfId="0" applyNumberFormat="1" applyFont="1" applyBorder="1" applyAlignment="1" applyProtection="1">
      <alignment wrapText="1"/>
      <protection locked="0"/>
    </xf>
    <xf numFmtId="0" fontId="40" fillId="5" borderId="0" xfId="0" applyFont="1" applyFill="1" applyAlignment="1">
      <alignment vertical="center" wrapText="1"/>
    </xf>
    <xf numFmtId="0" fontId="40" fillId="5" borderId="0" xfId="9" applyFont="1" applyFill="1" applyAlignment="1">
      <alignment vertical="center" wrapText="1"/>
    </xf>
    <xf numFmtId="0" fontId="35" fillId="5" borderId="0" xfId="9" applyFont="1" applyFill="1" applyAlignment="1">
      <alignment vertical="center"/>
    </xf>
    <xf numFmtId="0" fontId="29" fillId="5" borderId="0" xfId="0" applyFont="1" applyFill="1" applyAlignment="1">
      <alignment wrapText="1"/>
    </xf>
    <xf numFmtId="0" fontId="30" fillId="5" borderId="0" xfId="9" applyFont="1" applyFill="1" applyAlignment="1">
      <alignment wrapText="1"/>
    </xf>
    <xf numFmtId="0" fontId="6" fillId="5" borderId="0" xfId="0" applyFont="1" applyFill="1" applyAlignment="1">
      <alignment wrapText="1"/>
    </xf>
    <xf numFmtId="0" fontId="27" fillId="5" borderId="0" xfId="0" applyFont="1" applyFill="1" applyAlignment="1">
      <alignment wrapText="1"/>
    </xf>
    <xf numFmtId="0" fontId="8" fillId="5" borderId="0" xfId="0" applyFont="1" applyFill="1" applyAlignment="1">
      <alignment wrapText="1"/>
    </xf>
    <xf numFmtId="0" fontId="8" fillId="5" borderId="0" xfId="0" applyFont="1" applyFill="1"/>
    <xf numFmtId="0" fontId="26" fillId="5" borderId="0" xfId="0" applyFont="1" applyFill="1" applyAlignment="1">
      <alignment vertical="top" wrapText="1"/>
    </xf>
    <xf numFmtId="0" fontId="29" fillId="5" borderId="0" xfId="0" applyFont="1" applyFill="1" applyAlignment="1">
      <alignment vertical="top" wrapText="1"/>
    </xf>
    <xf numFmtId="0" fontId="29" fillId="5" borderId="0" xfId="0" applyFont="1" applyFill="1" applyAlignment="1">
      <alignment vertical="center" wrapText="1"/>
    </xf>
    <xf numFmtId="0" fontId="30" fillId="5" borderId="0" xfId="0" applyFont="1" applyFill="1" applyAlignment="1">
      <alignment vertical="center" wrapText="1"/>
    </xf>
    <xf numFmtId="0" fontId="6" fillId="5" borderId="0" xfId="9" applyFont="1" applyFill="1"/>
    <xf numFmtId="0" fontId="29" fillId="5" borderId="0" xfId="0" applyFont="1" applyFill="1"/>
    <xf numFmtId="0" fontId="35" fillId="5" borderId="3" xfId="9" applyFont="1" applyFill="1" applyBorder="1" applyAlignment="1">
      <alignment vertical="center"/>
    </xf>
    <xf numFmtId="0" fontId="34" fillId="0" borderId="0" xfId="3" applyFont="1"/>
    <xf numFmtId="0" fontId="29" fillId="0" borderId="0" xfId="3" applyFont="1"/>
    <xf numFmtId="0" fontId="39" fillId="0" borderId="0" xfId="0" applyFont="1" applyAlignment="1">
      <alignment horizontal="left"/>
    </xf>
    <xf numFmtId="0" fontId="41" fillId="12" borderId="2" xfId="0" applyFont="1" applyFill="1" applyBorder="1" applyAlignment="1">
      <alignment vertical="center" wrapText="1"/>
    </xf>
    <xf numFmtId="0" fontId="30" fillId="12" borderId="2" xfId="9" applyFont="1" applyFill="1" applyBorder="1" applyAlignment="1">
      <alignment vertical="center" wrapText="1"/>
    </xf>
    <xf numFmtId="0" fontId="29" fillId="12" borderId="2" xfId="0" applyFont="1" applyFill="1" applyBorder="1" applyAlignment="1">
      <alignment vertical="center" wrapText="1"/>
    </xf>
    <xf numFmtId="0" fontId="12" fillId="12" borderId="2" xfId="9" applyFont="1" applyFill="1" applyBorder="1" applyAlignment="1">
      <alignment vertical="center" wrapText="1"/>
    </xf>
    <xf numFmtId="0" fontId="30" fillId="12" borderId="2" xfId="0" applyFont="1" applyFill="1" applyBorder="1" applyAlignment="1">
      <alignment wrapText="1"/>
    </xf>
    <xf numFmtId="0" fontId="37" fillId="12" borderId="2" xfId="0" applyFont="1" applyFill="1" applyBorder="1" applyAlignment="1">
      <alignment vertical="top" wrapText="1"/>
    </xf>
    <xf numFmtId="0" fontId="37" fillId="12" borderId="2" xfId="0" applyFont="1" applyFill="1" applyBorder="1" applyAlignment="1">
      <alignment vertical="center" wrapText="1"/>
    </xf>
    <xf numFmtId="0" fontId="6" fillId="12" borderId="2" xfId="0" applyFont="1" applyFill="1" applyBorder="1" applyAlignment="1">
      <alignment wrapText="1"/>
    </xf>
    <xf numFmtId="0" fontId="30" fillId="12" borderId="2" xfId="9" applyFont="1" applyFill="1" applyBorder="1" applyAlignment="1">
      <alignment wrapText="1"/>
    </xf>
    <xf numFmtId="0" fontId="33" fillId="12" borderId="2" xfId="0" applyFont="1" applyFill="1" applyBorder="1" applyAlignment="1">
      <alignment wrapText="1"/>
    </xf>
    <xf numFmtId="0" fontId="26" fillId="12" borderId="2" xfId="0" applyFont="1" applyFill="1" applyBorder="1" applyAlignment="1">
      <alignment vertical="top" wrapText="1"/>
    </xf>
    <xf numFmtId="0" fontId="29" fillId="12" borderId="2" xfId="0" applyFont="1" applyFill="1" applyBorder="1" applyAlignment="1">
      <alignment vertical="top" wrapText="1"/>
    </xf>
    <xf numFmtId="0" fontId="30" fillId="12" borderId="2" xfId="0" applyFont="1" applyFill="1" applyBorder="1" applyAlignment="1">
      <alignment vertical="center" wrapText="1"/>
    </xf>
    <xf numFmtId="0" fontId="6" fillId="12" borderId="2" xfId="9" applyFont="1" applyFill="1" applyBorder="1"/>
    <xf numFmtId="0" fontId="29" fillId="12" borderId="2" xfId="0" applyFont="1" applyFill="1" applyBorder="1"/>
    <xf numFmtId="0" fontId="0" fillId="5" borderId="0" xfId="0" applyFill="1"/>
    <xf numFmtId="0" fontId="0" fillId="5" borderId="0" xfId="0" applyFill="1" applyAlignment="1">
      <alignment vertical="top"/>
    </xf>
    <xf numFmtId="0" fontId="8" fillId="5" borderId="8" xfId="0" applyFont="1" applyFill="1" applyBorder="1" applyAlignment="1">
      <alignment wrapText="1"/>
    </xf>
    <xf numFmtId="0" fontId="6" fillId="5" borderId="8" xfId="0" applyFont="1" applyFill="1" applyBorder="1" applyAlignment="1">
      <alignment wrapText="1"/>
    </xf>
    <xf numFmtId="0" fontId="6" fillId="5" borderId="0" xfId="0" applyFont="1" applyFill="1"/>
    <xf numFmtId="0" fontId="6" fillId="5" borderId="0" xfId="19" applyFont="1" applyFill="1"/>
    <xf numFmtId="166" fontId="6" fillId="5" borderId="0" xfId="0" applyNumberFormat="1" applyFont="1" applyFill="1" applyProtection="1">
      <protection locked="0"/>
    </xf>
    <xf numFmtId="0" fontId="0" fillId="13" borderId="0" xfId="0" applyFill="1" applyAlignment="1">
      <alignment vertical="top" wrapText="1"/>
    </xf>
    <xf numFmtId="0" fontId="41" fillId="13" borderId="0" xfId="0" applyFont="1" applyFill="1" applyAlignment="1">
      <alignment vertical="top" wrapText="1"/>
    </xf>
    <xf numFmtId="0" fontId="41" fillId="13" borderId="0" xfId="0" applyFont="1" applyFill="1" applyAlignment="1">
      <alignment vertical="center" wrapText="1"/>
    </xf>
    <xf numFmtId="0" fontId="22" fillId="13" borderId="0" xfId="0" applyFont="1" applyFill="1" applyAlignment="1">
      <alignment vertical="top"/>
    </xf>
    <xf numFmtId="0" fontId="29" fillId="13" borderId="0" xfId="0" applyFont="1" applyFill="1" applyAlignment="1">
      <alignment vertical="top" wrapText="1"/>
    </xf>
    <xf numFmtId="0" fontId="26" fillId="13" borderId="0" xfId="0" applyFont="1" applyFill="1" applyAlignment="1">
      <alignment vertical="top" wrapText="1"/>
    </xf>
    <xf numFmtId="0" fontId="26" fillId="13" borderId="0" xfId="0" applyFont="1" applyFill="1" applyAlignment="1">
      <alignment wrapText="1"/>
    </xf>
    <xf numFmtId="0" fontId="42" fillId="13" borderId="0" xfId="0" applyFont="1" applyFill="1" applyAlignment="1">
      <alignment vertical="top" wrapText="1"/>
    </xf>
    <xf numFmtId="0" fontId="44" fillId="13" borderId="0" xfId="9" applyFont="1" applyFill="1" applyAlignment="1">
      <alignment vertical="top" wrapText="1"/>
    </xf>
    <xf numFmtId="0" fontId="44" fillId="13" borderId="0" xfId="14" applyFont="1" applyFill="1" applyAlignment="1">
      <alignment vertical="top" wrapText="1"/>
    </xf>
    <xf numFmtId="0" fontId="44" fillId="13" borderId="0" xfId="14" quotePrefix="1" applyFont="1" applyFill="1" applyAlignment="1">
      <alignment vertical="top" wrapText="1"/>
    </xf>
    <xf numFmtId="49" fontId="44" fillId="13" borderId="0" xfId="19" applyNumberFormat="1" applyFont="1" applyFill="1" applyAlignment="1">
      <alignment vertical="top" wrapText="1"/>
    </xf>
    <xf numFmtId="1" fontId="44" fillId="13" borderId="0" xfId="19" applyNumberFormat="1" applyFont="1" applyFill="1" applyAlignment="1">
      <alignment vertical="top" wrapText="1"/>
    </xf>
    <xf numFmtId="164" fontId="43" fillId="13" borderId="0" xfId="0" applyNumberFormat="1" applyFont="1" applyFill="1" applyAlignment="1">
      <alignment vertical="top" wrapText="1"/>
    </xf>
    <xf numFmtId="0" fontId="42" fillId="13" borderId="0" xfId="0" applyFont="1" applyFill="1" applyAlignment="1">
      <alignment vertical="top"/>
    </xf>
    <xf numFmtId="0" fontId="47" fillId="13" borderId="0" xfId="0" applyFont="1" applyFill="1" applyAlignment="1">
      <alignment vertical="top" wrapText="1"/>
    </xf>
    <xf numFmtId="0" fontId="0" fillId="12" borderId="2" xfId="0" applyFill="1" applyBorder="1" applyAlignment="1">
      <alignment horizontal="left" wrapText="1"/>
    </xf>
    <xf numFmtId="0" fontId="0" fillId="12" borderId="2" xfId="0" applyFill="1" applyBorder="1" applyAlignment="1">
      <alignment wrapText="1"/>
    </xf>
    <xf numFmtId="0" fontId="8" fillId="12" borderId="2" xfId="0" applyFont="1" applyFill="1" applyBorder="1" applyAlignment="1">
      <alignment wrapText="1"/>
    </xf>
    <xf numFmtId="0" fontId="6" fillId="12" borderId="2" xfId="19" applyFont="1" applyFill="1" applyBorder="1" applyAlignment="1">
      <alignment wrapText="1"/>
    </xf>
    <xf numFmtId="0" fontId="42" fillId="13" borderId="0" xfId="0" applyFont="1" applyFill="1" applyAlignment="1">
      <alignment horizontal="left" vertical="top" wrapText="1"/>
    </xf>
    <xf numFmtId="0" fontId="42" fillId="13" borderId="0" xfId="0" applyFont="1" applyFill="1" applyAlignment="1" applyProtection="1">
      <alignment horizontal="left" vertical="top"/>
      <protection locked="0"/>
    </xf>
    <xf numFmtId="49" fontId="42" fillId="13" borderId="0" xfId="0" applyNumberFormat="1" applyFont="1" applyFill="1" applyAlignment="1" applyProtection="1">
      <alignment vertical="top"/>
      <protection locked="0"/>
    </xf>
    <xf numFmtId="0" fontId="42" fillId="13" borderId="0" xfId="0" applyFont="1" applyFill="1" applyAlignment="1">
      <alignment horizontal="left" vertical="top"/>
    </xf>
    <xf numFmtId="49" fontId="42" fillId="13" borderId="0" xfId="0" applyNumberFormat="1" applyFont="1" applyFill="1" applyAlignment="1" applyProtection="1">
      <alignment vertical="top" wrapText="1"/>
      <protection locked="0"/>
    </xf>
    <xf numFmtId="0" fontId="42" fillId="13" borderId="0" xfId="0" applyFont="1" applyFill="1" applyAlignment="1" applyProtection="1">
      <alignment vertical="top"/>
      <protection locked="0"/>
    </xf>
    <xf numFmtId="14" fontId="42" fillId="13" borderId="0" xfId="0" applyNumberFormat="1" applyFont="1" applyFill="1" applyAlignment="1" applyProtection="1">
      <alignment vertical="top"/>
      <protection locked="0"/>
    </xf>
    <xf numFmtId="3" fontId="42" fillId="13" borderId="0" xfId="0" applyNumberFormat="1" applyFont="1" applyFill="1" applyAlignment="1">
      <alignment vertical="top"/>
    </xf>
    <xf numFmtId="0" fontId="43" fillId="13" borderId="0" xfId="19" applyFont="1" applyFill="1" applyAlignment="1">
      <alignment vertical="top"/>
    </xf>
    <xf numFmtId="0" fontId="43" fillId="13" borderId="0" xfId="19" applyFont="1" applyFill="1" applyAlignment="1">
      <alignment vertical="top" wrapText="1"/>
    </xf>
    <xf numFmtId="49" fontId="42" fillId="13" borderId="0" xfId="0" applyNumberFormat="1" applyFont="1" applyFill="1" applyAlignment="1">
      <alignment vertical="top"/>
    </xf>
    <xf numFmtId="44" fontId="42" fillId="13" borderId="0" xfId="1" applyFont="1" applyFill="1" applyAlignment="1">
      <alignment vertical="top"/>
    </xf>
    <xf numFmtId="164" fontId="42" fillId="13" borderId="0" xfId="0" applyNumberFormat="1" applyFont="1" applyFill="1" applyAlignment="1">
      <alignment vertical="top"/>
    </xf>
    <xf numFmtId="49" fontId="42" fillId="13" borderId="0" xfId="0" applyNumberFormat="1" applyFont="1" applyFill="1" applyAlignment="1">
      <alignment horizontal="center" vertical="top"/>
    </xf>
    <xf numFmtId="49" fontId="42" fillId="13" borderId="0" xfId="0" applyNumberFormat="1" applyFont="1" applyFill="1" applyAlignment="1">
      <alignment horizontal="center" vertical="top" wrapText="1"/>
    </xf>
    <xf numFmtId="0" fontId="49" fillId="13" borderId="0" xfId="0" applyFont="1" applyFill="1" applyAlignment="1">
      <alignment vertical="top" wrapText="1"/>
    </xf>
    <xf numFmtId="0" fontId="43" fillId="13" borderId="0" xfId="0" applyFont="1" applyFill="1" applyAlignment="1">
      <alignment vertical="top" wrapText="1"/>
    </xf>
    <xf numFmtId="0" fontId="43" fillId="13" borderId="0" xfId="0" applyFont="1" applyFill="1" applyAlignment="1">
      <alignment vertical="top"/>
    </xf>
    <xf numFmtId="164" fontId="43" fillId="13" borderId="0" xfId="0" applyNumberFormat="1" applyFont="1" applyFill="1" applyAlignment="1" applyProtection="1">
      <alignment vertical="top" wrapText="1"/>
      <protection locked="0"/>
    </xf>
    <xf numFmtId="0" fontId="44" fillId="13" borderId="0" xfId="0" applyFont="1" applyFill="1" applyAlignment="1">
      <alignment vertical="top"/>
    </xf>
    <xf numFmtId="0" fontId="48" fillId="13" borderId="0" xfId="0" applyFont="1" applyFill="1" applyAlignment="1">
      <alignment vertical="top"/>
    </xf>
    <xf numFmtId="49" fontId="43" fillId="13" borderId="0" xfId="0" applyNumberFormat="1" applyFont="1" applyFill="1" applyAlignment="1" applyProtection="1">
      <alignment vertical="top" wrapText="1"/>
      <protection locked="0"/>
    </xf>
    <xf numFmtId="0" fontId="43" fillId="13" borderId="0" xfId="0" applyFont="1" applyFill="1" applyAlignment="1" applyProtection="1">
      <alignment vertical="top" wrapText="1"/>
      <protection locked="0"/>
    </xf>
    <xf numFmtId="49" fontId="44" fillId="13" borderId="0" xfId="19" applyNumberFormat="1" applyFont="1" applyFill="1" applyAlignment="1">
      <alignment vertical="top"/>
    </xf>
    <xf numFmtId="0" fontId="44" fillId="13" borderId="0" xfId="19" applyFont="1" applyFill="1" applyAlignment="1">
      <alignment vertical="top"/>
    </xf>
    <xf numFmtId="0" fontId="43" fillId="13" borderId="0" xfId="9" applyFont="1" applyFill="1" applyAlignment="1">
      <alignment vertical="top" wrapText="1"/>
    </xf>
    <xf numFmtId="0" fontId="44" fillId="13" borderId="0" xfId="0" applyFont="1" applyFill="1" applyAlignment="1">
      <alignment vertical="top" wrapText="1"/>
    </xf>
    <xf numFmtId="0" fontId="45" fillId="13" borderId="0" xfId="9" applyFont="1" applyFill="1" applyAlignment="1">
      <alignment vertical="top" wrapText="1"/>
    </xf>
    <xf numFmtId="0" fontId="30" fillId="13" borderId="0" xfId="9" applyFont="1" applyFill="1" applyAlignment="1">
      <alignment vertical="top" wrapText="1"/>
    </xf>
    <xf numFmtId="0" fontId="46" fillId="13" borderId="0" xfId="0" applyFont="1" applyFill="1" applyAlignment="1">
      <alignment vertical="top" wrapText="1"/>
    </xf>
    <xf numFmtId="0" fontId="32" fillId="13" borderId="0" xfId="9" applyFont="1" applyFill="1" applyAlignment="1">
      <alignment vertical="top" wrapText="1"/>
    </xf>
    <xf numFmtId="0" fontId="43" fillId="13" borderId="0" xfId="9" applyFont="1" applyFill="1" applyAlignment="1">
      <alignment vertical="top"/>
    </xf>
    <xf numFmtId="0" fontId="29" fillId="12" borderId="9" xfId="3" applyFont="1" applyFill="1" applyBorder="1"/>
    <xf numFmtId="0" fontId="8" fillId="14" borderId="0" xfId="0" applyFont="1" applyFill="1"/>
    <xf numFmtId="0" fontId="36" fillId="14" borderId="0" xfId="0" applyFont="1" applyFill="1" applyAlignment="1">
      <alignment wrapText="1"/>
    </xf>
    <xf numFmtId="0" fontId="8" fillId="14" borderId="0" xfId="0" applyFont="1" applyFill="1" applyAlignment="1">
      <alignment wrapText="1"/>
    </xf>
    <xf numFmtId="0" fontId="7" fillId="14" borderId="0" xfId="0" applyFont="1" applyFill="1"/>
    <xf numFmtId="0" fontId="0" fillId="14" borderId="0" xfId="0" applyFill="1"/>
    <xf numFmtId="49" fontId="9" fillId="14" borderId="0" xfId="0" applyNumberFormat="1" applyFont="1" applyFill="1" applyAlignment="1">
      <alignment wrapText="1"/>
    </xf>
    <xf numFmtId="164" fontId="8" fillId="14" borderId="0" xfId="0" applyNumberFormat="1" applyFont="1" applyFill="1" applyAlignment="1">
      <alignment wrapText="1"/>
    </xf>
    <xf numFmtId="49" fontId="0" fillId="14" borderId="0" xfId="0" applyNumberFormat="1" applyFill="1" applyAlignment="1">
      <alignment wrapText="1"/>
    </xf>
    <xf numFmtId="164" fontId="0" fillId="14" borderId="0" xfId="0" applyNumberFormat="1" applyFill="1" applyAlignment="1">
      <alignment wrapText="1"/>
    </xf>
    <xf numFmtId="164" fontId="0" fillId="14" borderId="0" xfId="0" applyNumberFormat="1" applyFill="1"/>
    <xf numFmtId="49" fontId="22" fillId="14" borderId="0" xfId="0" applyNumberFormat="1" applyFont="1" applyFill="1" applyAlignment="1">
      <alignment wrapText="1"/>
    </xf>
    <xf numFmtId="49" fontId="8" fillId="14" borderId="0" xfId="0" applyNumberFormat="1" applyFont="1" applyFill="1" applyAlignment="1">
      <alignment wrapText="1"/>
    </xf>
    <xf numFmtId="164" fontId="22" fillId="14" borderId="0" xfId="0" applyNumberFormat="1" applyFont="1" applyFill="1" applyAlignment="1">
      <alignment wrapText="1"/>
    </xf>
    <xf numFmtId="49" fontId="24" fillId="14" borderId="0" xfId="0" applyNumberFormat="1" applyFont="1" applyFill="1" applyAlignment="1">
      <alignment wrapText="1"/>
    </xf>
    <xf numFmtId="0" fontId="29" fillId="14" borderId="0" xfId="0" applyFont="1" applyFill="1" applyAlignment="1">
      <alignment vertical="center" wrapText="1"/>
    </xf>
    <xf numFmtId="0" fontId="40" fillId="14" borderId="0" xfId="0" applyFont="1" applyFill="1" applyAlignment="1">
      <alignment vertical="center" wrapText="1"/>
    </xf>
    <xf numFmtId="0" fontId="12" fillId="14" borderId="0" xfId="0" applyFont="1" applyFill="1" applyAlignment="1">
      <alignment vertical="center" wrapText="1"/>
    </xf>
    <xf numFmtId="0" fontId="12" fillId="14" borderId="0" xfId="9" applyFont="1" applyFill="1" applyAlignment="1" applyProtection="1">
      <alignment horizontal="left" wrapText="1"/>
      <protection locked="0"/>
    </xf>
    <xf numFmtId="0" fontId="12" fillId="14" borderId="0" xfId="0" applyFont="1" applyFill="1" applyAlignment="1" applyProtection="1">
      <alignment vertical="center" wrapText="1"/>
      <protection locked="0"/>
    </xf>
    <xf numFmtId="165" fontId="12" fillId="14" borderId="0" xfId="9" applyNumberFormat="1" applyFont="1" applyFill="1" applyAlignment="1" applyProtection="1">
      <alignment horizontal="left" wrapText="1"/>
      <protection locked="0"/>
    </xf>
    <xf numFmtId="0" fontId="12" fillId="14" borderId="0" xfId="0" applyFont="1" applyFill="1" applyAlignment="1" applyProtection="1">
      <alignment horizontal="left" wrapText="1"/>
      <protection locked="0"/>
    </xf>
    <xf numFmtId="165" fontId="12" fillId="14" borderId="0" xfId="0" applyNumberFormat="1" applyFont="1" applyFill="1" applyAlignment="1" applyProtection="1">
      <alignment horizontal="right" wrapText="1"/>
      <protection locked="0"/>
    </xf>
    <xf numFmtId="0" fontId="12" fillId="14" borderId="0" xfId="0" applyFont="1" applyFill="1" applyAlignment="1" applyProtection="1">
      <alignment wrapText="1"/>
      <protection locked="0"/>
    </xf>
    <xf numFmtId="0" fontId="29" fillId="14" borderId="0" xfId="0" applyFont="1" applyFill="1" applyAlignment="1">
      <alignment vertical="top"/>
    </xf>
    <xf numFmtId="0" fontId="29" fillId="14" borderId="0" xfId="0" applyFont="1" applyFill="1"/>
    <xf numFmtId="0" fontId="12" fillId="14" borderId="0" xfId="0" applyFont="1" applyFill="1"/>
    <xf numFmtId="0" fontId="29" fillId="14" borderId="0" xfId="0" applyFont="1" applyFill="1" applyProtection="1">
      <protection locked="0"/>
    </xf>
    <xf numFmtId="165" fontId="12" fillId="14" borderId="0" xfId="9" applyNumberFormat="1" applyFont="1" applyFill="1" applyAlignment="1" applyProtection="1">
      <alignment horizontal="right" wrapText="1"/>
      <protection locked="0"/>
    </xf>
    <xf numFmtId="2" fontId="12" fillId="14" borderId="0" xfId="0" applyNumberFormat="1" applyFont="1" applyFill="1" applyAlignment="1" applyProtection="1">
      <alignment horizontal="right"/>
      <protection locked="0"/>
    </xf>
    <xf numFmtId="0" fontId="8" fillId="14" borderId="0" xfId="0" applyFont="1" applyFill="1" applyProtection="1">
      <protection locked="0"/>
    </xf>
    <xf numFmtId="165" fontId="12" fillId="14" borderId="0" xfId="0" applyNumberFormat="1" applyFont="1" applyFill="1" applyAlignment="1" applyProtection="1">
      <alignment vertical="center" wrapText="1"/>
      <protection locked="0"/>
    </xf>
    <xf numFmtId="0" fontId="12" fillId="14" borderId="0" xfId="9" applyFont="1" applyFill="1" applyAlignment="1" applyProtection="1">
      <alignment wrapText="1"/>
      <protection locked="0"/>
    </xf>
    <xf numFmtId="165" fontId="8" fillId="14" borderId="0" xfId="0" applyNumberFormat="1" applyFont="1" applyFill="1" applyAlignment="1" applyProtection="1">
      <alignment horizontal="right"/>
      <protection locked="0"/>
    </xf>
    <xf numFmtId="0" fontId="29" fillId="14" borderId="0" xfId="0" applyFont="1" applyFill="1" applyAlignment="1">
      <alignment wrapText="1"/>
    </xf>
    <xf numFmtId="0" fontId="8" fillId="14" borderId="0" xfId="0" applyFont="1" applyFill="1" applyAlignment="1" applyProtection="1">
      <alignment wrapText="1"/>
      <protection locked="0"/>
    </xf>
    <xf numFmtId="0" fontId="31" fillId="14" borderId="0" xfId="9" applyFont="1" applyFill="1" applyAlignment="1" applyProtection="1">
      <alignment horizontal="left" wrapText="1"/>
      <protection locked="0"/>
    </xf>
    <xf numFmtId="165" fontId="7" fillId="14" borderId="0" xfId="0" applyNumberFormat="1" applyFont="1" applyFill="1" applyAlignment="1" applyProtection="1">
      <alignment horizontal="right"/>
      <protection locked="0"/>
    </xf>
    <xf numFmtId="0" fontId="7" fillId="14" borderId="0" xfId="0" applyFont="1" applyFill="1" applyProtection="1">
      <protection locked="0"/>
    </xf>
    <xf numFmtId="166" fontId="6" fillId="14" borderId="0" xfId="0" applyNumberFormat="1" applyFont="1" applyFill="1" applyProtection="1">
      <protection locked="0"/>
    </xf>
    <xf numFmtId="0" fontId="6" fillId="14" borderId="0" xfId="0" applyFont="1" applyFill="1" applyAlignment="1">
      <alignment wrapText="1"/>
    </xf>
    <xf numFmtId="49" fontId="8" fillId="14" borderId="0" xfId="0" applyNumberFormat="1" applyFont="1" applyFill="1"/>
    <xf numFmtId="0" fontId="0" fillId="14" borderId="0" xfId="0" applyFill="1" applyAlignment="1">
      <alignment wrapText="1"/>
    </xf>
    <xf numFmtId="0" fontId="0" fillId="14" borderId="0" xfId="0" applyFill="1" applyProtection="1">
      <protection locked="0"/>
    </xf>
    <xf numFmtId="49" fontId="0" fillId="14" borderId="0" xfId="0" applyNumberFormat="1" applyFill="1"/>
    <xf numFmtId="44" fontId="0" fillId="14" borderId="0" xfId="1" applyFont="1" applyFill="1" applyAlignment="1"/>
    <xf numFmtId="164" fontId="6" fillId="14" borderId="0" xfId="0" applyNumberFormat="1" applyFont="1" applyFill="1" applyAlignment="1">
      <alignment wrapText="1"/>
    </xf>
    <xf numFmtId="0" fontId="0" fillId="14" borderId="0" xfId="0" applyFill="1" applyAlignment="1">
      <alignment vertical="top"/>
    </xf>
    <xf numFmtId="165" fontId="0" fillId="14" borderId="0" xfId="0" applyNumberFormat="1" applyFill="1" applyAlignment="1" applyProtection="1">
      <alignment horizontal="right"/>
      <protection locked="0"/>
    </xf>
    <xf numFmtId="14" fontId="0" fillId="14" borderId="0" xfId="0" applyNumberFormat="1" applyFill="1" applyProtection="1">
      <protection locked="0"/>
    </xf>
    <xf numFmtId="3" fontId="0" fillId="14" borderId="0" xfId="0" applyNumberFormat="1" applyFill="1"/>
    <xf numFmtId="0" fontId="0" fillId="14" borderId="0" xfId="0" applyFill="1" applyAlignment="1" applyProtection="1">
      <alignment horizontal="left"/>
      <protection locked="0"/>
    </xf>
    <xf numFmtId="0" fontId="0" fillId="14" borderId="0" xfId="0" applyFill="1" applyAlignment="1">
      <alignment horizontal="left"/>
    </xf>
    <xf numFmtId="0" fontId="35" fillId="5" borderId="2" xfId="9" applyFont="1" applyFill="1" applyBorder="1" applyAlignment="1">
      <alignment vertical="center"/>
    </xf>
    <xf numFmtId="0" fontId="40" fillId="5" borderId="2" xfId="9" applyFont="1" applyFill="1" applyBorder="1" applyAlignment="1">
      <alignment vertical="center" wrapText="1"/>
    </xf>
    <xf numFmtId="0" fontId="40" fillId="5" borderId="2" xfId="0" applyFont="1" applyFill="1" applyBorder="1" applyAlignment="1">
      <alignment vertical="center" wrapText="1"/>
    </xf>
    <xf numFmtId="0" fontId="6" fillId="5" borderId="2" xfId="0" applyFont="1" applyFill="1" applyBorder="1" applyAlignment="1">
      <alignment wrapText="1"/>
    </xf>
    <xf numFmtId="0" fontId="27" fillId="5" borderId="2" xfId="0" applyFont="1" applyFill="1" applyBorder="1" applyAlignment="1">
      <alignment wrapText="1"/>
    </xf>
    <xf numFmtId="167" fontId="7" fillId="0" borderId="2" xfId="14" applyNumberFormat="1" applyFont="1" applyBorder="1" applyAlignment="1" applyProtection="1">
      <alignment horizontal="left" wrapText="1"/>
      <protection locked="0"/>
    </xf>
    <xf numFmtId="0" fontId="7" fillId="0" borderId="2" xfId="14" quotePrefix="1" applyFont="1" applyBorder="1" applyAlignment="1" applyProtection="1">
      <alignment horizontal="left" wrapText="1"/>
      <protection locked="0"/>
    </xf>
    <xf numFmtId="0" fontId="8" fillId="0" borderId="2" xfId="0" applyFont="1" applyBorder="1" applyAlignment="1" applyProtection="1">
      <alignment wrapText="1"/>
      <protection locked="0"/>
    </xf>
    <xf numFmtId="0" fontId="9" fillId="0" borderId="2" xfId="0" applyFont="1" applyBorder="1" applyAlignment="1" applyProtection="1">
      <alignment wrapText="1"/>
      <protection locked="0"/>
    </xf>
    <xf numFmtId="167" fontId="6" fillId="0" borderId="2" xfId="0" applyNumberFormat="1" applyFont="1" applyBorder="1" applyAlignment="1" applyProtection="1">
      <alignment horizontal="right" wrapText="1"/>
      <protection locked="0"/>
    </xf>
    <xf numFmtId="164" fontId="6" fillId="0" borderId="2" xfId="0" applyNumberFormat="1" applyFont="1" applyBorder="1" applyAlignment="1" applyProtection="1">
      <alignment wrapText="1"/>
      <protection locked="0"/>
    </xf>
    <xf numFmtId="0" fontId="6" fillId="0" borderId="2" xfId="0" applyFont="1" applyBorder="1" applyAlignment="1" applyProtection="1">
      <alignment horizontal="left" wrapText="1"/>
      <protection locked="0"/>
    </xf>
    <xf numFmtId="3" fontId="6" fillId="0" borderId="2" xfId="0" applyNumberFormat="1" applyFont="1" applyBorder="1" applyAlignment="1" applyProtection="1">
      <alignment wrapText="1"/>
      <protection locked="0"/>
    </xf>
    <xf numFmtId="0" fontId="8" fillId="0" borderId="2" xfId="0" applyFont="1" applyBorder="1" applyAlignment="1">
      <alignment vertical="center" wrapText="1"/>
    </xf>
    <xf numFmtId="0" fontId="50" fillId="2" borderId="2" xfId="9" applyFont="1" applyFill="1" applyBorder="1" applyAlignment="1">
      <alignment wrapText="1"/>
    </xf>
    <xf numFmtId="0" fontId="8" fillId="14" borderId="0" xfId="0" applyFont="1" applyFill="1" applyAlignment="1">
      <alignment vertical="center" wrapText="1"/>
    </xf>
    <xf numFmtId="0" fontId="8" fillId="0" borderId="2" xfId="0" applyFont="1" applyBorder="1" applyAlignment="1">
      <alignment wrapText="1"/>
    </xf>
    <xf numFmtId="0" fontId="6" fillId="2" borderId="2" xfId="9" applyFont="1" applyFill="1" applyBorder="1" applyAlignment="1">
      <alignment wrapText="1"/>
    </xf>
    <xf numFmtId="0" fontId="49" fillId="13" borderId="0" xfId="0" applyFont="1" applyFill="1" applyAlignment="1">
      <alignment vertical="top"/>
    </xf>
    <xf numFmtId="0" fontId="51" fillId="15" borderId="2" xfId="9" applyFont="1" applyFill="1" applyBorder="1" applyAlignment="1">
      <alignment wrapText="1"/>
    </xf>
    <xf numFmtId="0" fontId="51" fillId="15" borderId="2" xfId="0" applyFont="1" applyFill="1" applyBorder="1" applyAlignment="1">
      <alignment horizontal="left" wrapText="1"/>
    </xf>
    <xf numFmtId="0" fontId="51" fillId="15" borderId="2" xfId="0" applyFont="1" applyFill="1" applyBorder="1" applyAlignment="1">
      <alignment wrapText="1"/>
    </xf>
    <xf numFmtId="1" fontId="44" fillId="13" borderId="0" xfId="0" applyNumberFormat="1" applyFont="1" applyFill="1" applyAlignment="1">
      <alignment vertical="top"/>
    </xf>
    <xf numFmtId="0" fontId="8" fillId="0" borderId="0" xfId="0" applyFont="1" applyAlignment="1" applyProtection="1">
      <alignment wrapText="1"/>
      <protection locked="0"/>
    </xf>
    <xf numFmtId="0" fontId="7" fillId="0" borderId="2" xfId="0" applyFont="1" applyBorder="1" applyAlignment="1" applyProtection="1">
      <alignment wrapText="1"/>
      <protection locked="0"/>
    </xf>
    <xf numFmtId="0" fontId="7" fillId="0" borderId="2" xfId="0" applyFont="1" applyBorder="1" applyAlignment="1">
      <alignment wrapText="1"/>
    </xf>
    <xf numFmtId="49" fontId="55" fillId="0" borderId="2" xfId="2" applyNumberFormat="1" applyFont="1" applyBorder="1" applyAlignment="1" applyProtection="1">
      <alignment wrapText="1"/>
      <protection locked="0"/>
    </xf>
    <xf numFmtId="0" fontId="7" fillId="0" borderId="2" xfId="0" applyFont="1" applyBorder="1" applyAlignment="1">
      <alignment vertical="center" wrapText="1"/>
    </xf>
    <xf numFmtId="0" fontId="7" fillId="0" borderId="2" xfId="9" applyFont="1" applyBorder="1" applyAlignment="1">
      <alignment horizontal="left" wrapText="1"/>
    </xf>
    <xf numFmtId="0" fontId="7" fillId="0" borderId="2" xfId="9" applyFont="1" applyBorder="1" applyAlignment="1" applyProtection="1">
      <alignment horizontal="left" wrapText="1"/>
      <protection locked="0"/>
    </xf>
    <xf numFmtId="165" fontId="7" fillId="0" borderId="2" xfId="9" applyNumberFormat="1" applyFont="1" applyBorder="1" applyAlignment="1" applyProtection="1">
      <alignment horizontal="left" wrapText="1"/>
      <protection locked="0"/>
    </xf>
    <xf numFmtId="0" fontId="7" fillId="0" borderId="2" xfId="0" applyFont="1" applyBorder="1" applyAlignment="1" applyProtection="1">
      <alignment horizontal="left" wrapText="1"/>
      <protection locked="0"/>
    </xf>
    <xf numFmtId="166" fontId="7" fillId="0" borderId="2" xfId="0" applyNumberFormat="1" applyFont="1" applyBorder="1" applyAlignment="1" applyProtection="1">
      <alignment horizontal="left" wrapText="1"/>
      <protection locked="0"/>
    </xf>
    <xf numFmtId="165" fontId="7" fillId="0" borderId="2" xfId="0" applyNumberFormat="1" applyFont="1" applyBorder="1" applyAlignment="1" applyProtection="1">
      <alignment horizontal="right" wrapText="1"/>
      <protection locked="0"/>
    </xf>
    <xf numFmtId="0" fontId="7" fillId="0" borderId="2" xfId="0" applyFont="1" applyBorder="1" applyAlignment="1" applyProtection="1">
      <alignment vertical="center" wrapText="1"/>
      <protection locked="0"/>
    </xf>
    <xf numFmtId="165" fontId="7" fillId="0" borderId="2" xfId="9" applyNumberFormat="1" applyFont="1" applyBorder="1" applyAlignment="1" applyProtection="1">
      <alignment horizontal="right" wrapText="1"/>
      <protection locked="0"/>
    </xf>
    <xf numFmtId="165" fontId="7" fillId="0" borderId="2" xfId="0" applyNumberFormat="1" applyFont="1" applyBorder="1" applyAlignment="1" applyProtection="1">
      <alignment vertical="center" wrapText="1"/>
      <protection locked="0"/>
    </xf>
    <xf numFmtId="2" fontId="7" fillId="0" borderId="2" xfId="0" applyNumberFormat="1" applyFont="1" applyBorder="1" applyAlignment="1" applyProtection="1">
      <alignment horizontal="right" wrapText="1"/>
      <protection locked="0"/>
    </xf>
    <xf numFmtId="0" fontId="7" fillId="0" borderId="2" xfId="9" applyFont="1" applyBorder="1" applyAlignment="1">
      <alignment wrapText="1"/>
    </xf>
    <xf numFmtId="0" fontId="7" fillId="0" borderId="2" xfId="9" applyFont="1" applyBorder="1" applyAlignment="1" applyProtection="1">
      <alignment wrapText="1"/>
      <protection locked="0"/>
    </xf>
    <xf numFmtId="165" fontId="7" fillId="0" borderId="2" xfId="0" applyNumberFormat="1" applyFont="1" applyBorder="1" applyAlignment="1" applyProtection="1">
      <alignment horizontal="right" vertical="center" wrapText="1"/>
      <protection locked="0"/>
    </xf>
    <xf numFmtId="165" fontId="8" fillId="0" borderId="2" xfId="0" applyNumberFormat="1" applyFont="1" applyBorder="1" applyAlignment="1" applyProtection="1">
      <alignment horizontal="right" wrapText="1"/>
      <protection locked="0"/>
    </xf>
    <xf numFmtId="167" fontId="8" fillId="0" borderId="2" xfId="0" applyNumberFormat="1" applyFont="1" applyBorder="1" applyAlignment="1" applyProtection="1">
      <alignment wrapText="1"/>
      <protection locked="0"/>
    </xf>
    <xf numFmtId="0" fontId="56" fillId="13" borderId="0" xfId="0" applyFont="1" applyFill="1" applyAlignment="1">
      <alignment vertical="top" wrapText="1"/>
    </xf>
    <xf numFmtId="0" fontId="56" fillId="12" borderId="2" xfId="0" applyFont="1" applyFill="1" applyBorder="1" applyAlignment="1">
      <alignment vertical="center" wrapText="1"/>
    </xf>
    <xf numFmtId="0" fontId="43" fillId="12" borderId="2" xfId="9" applyFont="1" applyFill="1" applyBorder="1" applyAlignment="1">
      <alignment wrapText="1"/>
    </xf>
    <xf numFmtId="0" fontId="43" fillId="12" borderId="2" xfId="9" applyFont="1" applyFill="1" applyBorder="1" applyAlignment="1">
      <alignment vertical="center" wrapText="1"/>
    </xf>
    <xf numFmtId="0" fontId="42" fillId="12" borderId="2" xfId="0" applyFont="1" applyFill="1" applyBorder="1" applyAlignment="1">
      <alignment vertical="center" wrapText="1"/>
    </xf>
    <xf numFmtId="0" fontId="42" fillId="12" borderId="2" xfId="0" applyFont="1" applyFill="1" applyBorder="1" applyAlignment="1">
      <alignment wrapText="1"/>
    </xf>
    <xf numFmtId="0" fontId="43" fillId="12" borderId="2" xfId="0" applyFont="1" applyFill="1" applyBorder="1" applyAlignment="1">
      <alignment wrapText="1"/>
    </xf>
    <xf numFmtId="0" fontId="42" fillId="5" borderId="0" xfId="0" applyFont="1" applyFill="1" applyAlignment="1">
      <alignment wrapText="1"/>
    </xf>
    <xf numFmtId="0" fontId="43" fillId="5" borderId="0" xfId="9" applyFont="1" applyFill="1" applyAlignment="1">
      <alignment wrapText="1"/>
    </xf>
    <xf numFmtId="0" fontId="59" fillId="5" borderId="0" xfId="9" applyFont="1" applyFill="1" applyAlignment="1">
      <alignment vertical="center"/>
    </xf>
    <xf numFmtId="0" fontId="44" fillId="5" borderId="0" xfId="9" applyFont="1" applyFill="1" applyAlignment="1">
      <alignment wrapText="1"/>
    </xf>
    <xf numFmtId="0" fontId="42" fillId="5" borderId="0" xfId="0" applyFont="1" applyFill="1"/>
    <xf numFmtId="0" fontId="43" fillId="5" borderId="2" xfId="0" applyFont="1" applyFill="1" applyBorder="1" applyAlignment="1">
      <alignment wrapText="1"/>
    </xf>
    <xf numFmtId="0" fontId="42" fillId="0" borderId="2" xfId="0" applyFont="1" applyBorder="1" applyAlignment="1">
      <alignment wrapText="1"/>
    </xf>
    <xf numFmtId="0" fontId="43" fillId="2" borderId="2" xfId="9" applyFont="1" applyFill="1" applyBorder="1" applyAlignment="1">
      <alignment wrapText="1"/>
    </xf>
    <xf numFmtId="0" fontId="60" fillId="15" borderId="2" xfId="9" applyFont="1" applyFill="1" applyBorder="1" applyAlignment="1">
      <alignment wrapText="1"/>
    </xf>
    <xf numFmtId="0" fontId="24" fillId="0" borderId="2" xfId="9" applyFont="1" applyBorder="1" applyAlignment="1" applyProtection="1">
      <alignment horizontal="left" wrapText="1"/>
      <protection locked="0"/>
    </xf>
    <xf numFmtId="165" fontId="24" fillId="0" borderId="2" xfId="9" applyNumberFormat="1" applyFont="1" applyBorder="1" applyAlignment="1" applyProtection="1">
      <alignment horizontal="right" wrapText="1"/>
      <protection locked="0"/>
    </xf>
    <xf numFmtId="165" fontId="61" fillId="0" borderId="2" xfId="9" applyNumberFormat="1" applyFont="1" applyBorder="1" applyAlignment="1" applyProtection="1">
      <alignment horizontal="right" wrapText="1"/>
      <protection locked="0"/>
    </xf>
    <xf numFmtId="166" fontId="7" fillId="0" borderId="2" xfId="9" applyNumberFormat="1" applyFont="1" applyBorder="1" applyAlignment="1" applyProtection="1">
      <alignment horizontal="left" wrapText="1"/>
      <protection locked="0"/>
    </xf>
    <xf numFmtId="0" fontId="24" fillId="0" borderId="2" xfId="9" applyFont="1" applyBorder="1" applyAlignment="1" applyProtection="1">
      <alignment wrapText="1"/>
      <protection locked="0"/>
    </xf>
    <xf numFmtId="49" fontId="8" fillId="0" borderId="2" xfId="0" applyNumberFormat="1" applyFont="1" applyBorder="1" applyAlignment="1" applyProtection="1">
      <alignment wrapText="1"/>
      <protection locked="0"/>
    </xf>
    <xf numFmtId="49" fontId="7" fillId="0" borderId="2" xfId="0" applyNumberFormat="1" applyFont="1" applyBorder="1" applyAlignment="1" applyProtection="1">
      <alignment wrapText="1"/>
      <protection locked="0"/>
    </xf>
    <xf numFmtId="0" fontId="6" fillId="0" borderId="2" xfId="0" applyFont="1" applyBorder="1" applyAlignment="1" applyProtection="1">
      <alignment wrapText="1"/>
      <protection locked="0"/>
    </xf>
    <xf numFmtId="165" fontId="6" fillId="0" borderId="2" xfId="0" applyNumberFormat="1" applyFont="1" applyBorder="1" applyAlignment="1" applyProtection="1">
      <alignment horizontal="right" wrapText="1"/>
      <protection locked="0"/>
    </xf>
    <xf numFmtId="49" fontId="19" fillId="0" borderId="2" xfId="0" applyNumberFormat="1" applyFont="1" applyBorder="1" applyAlignment="1" applyProtection="1">
      <alignment wrapText="1"/>
      <protection locked="0"/>
    </xf>
    <xf numFmtId="0" fontId="19" fillId="0" borderId="2" xfId="0" applyFont="1" applyBorder="1" applyAlignment="1" applyProtection="1">
      <alignment wrapText="1"/>
      <protection locked="0"/>
    </xf>
    <xf numFmtId="49" fontId="22" fillId="0" borderId="2" xfId="0" applyNumberFormat="1" applyFont="1" applyBorder="1" applyAlignment="1" applyProtection="1">
      <alignment wrapText="1"/>
      <protection locked="0"/>
    </xf>
    <xf numFmtId="0" fontId="8" fillId="0" borderId="2" xfId="0" applyFont="1" applyBorder="1" applyAlignment="1" applyProtection="1">
      <alignment horizontal="left" wrapText="1"/>
      <protection locked="0"/>
    </xf>
    <xf numFmtId="167" fontId="8" fillId="0" borderId="2" xfId="0" applyNumberFormat="1" applyFont="1" applyBorder="1" applyAlignment="1" applyProtection="1">
      <alignment horizontal="right" wrapText="1"/>
      <protection locked="0"/>
    </xf>
    <xf numFmtId="49" fontId="8" fillId="0" borderId="2" xfId="0" applyNumberFormat="1" applyFont="1" applyBorder="1" applyAlignment="1" applyProtection="1">
      <alignment horizontal="left" wrapText="1"/>
      <protection locked="0"/>
    </xf>
    <xf numFmtId="165" fontId="8" fillId="0" borderId="2" xfId="1" applyNumberFormat="1" applyFont="1" applyBorder="1" applyAlignment="1" applyProtection="1">
      <alignment horizontal="right" wrapText="1"/>
      <protection locked="0"/>
    </xf>
    <xf numFmtId="0" fontId="8" fillId="0" borderId="2" xfId="0" applyFont="1" applyBorder="1" applyAlignment="1">
      <alignment vertical="top" wrapText="1"/>
    </xf>
    <xf numFmtId="0" fontId="50" fillId="0" borderId="3" xfId="9" applyFont="1" applyBorder="1" applyAlignment="1">
      <alignment wrapText="1"/>
    </xf>
    <xf numFmtId="0" fontId="50" fillId="0" borderId="0" xfId="3" applyFont="1" applyAlignment="1">
      <alignment wrapText="1"/>
    </xf>
    <xf numFmtId="0" fontId="50" fillId="12" borderId="9" xfId="3" applyFont="1" applyFill="1" applyBorder="1" applyAlignment="1">
      <alignment wrapText="1"/>
    </xf>
    <xf numFmtId="0" fontId="50" fillId="0" borderId="3" xfId="3" applyFont="1" applyBorder="1" applyAlignment="1">
      <alignment wrapText="1"/>
    </xf>
    <xf numFmtId="0" fontId="50" fillId="12" borderId="3" xfId="3" applyFont="1" applyFill="1" applyBorder="1" applyAlignment="1">
      <alignment wrapText="1"/>
    </xf>
    <xf numFmtId="0" fontId="50" fillId="0" borderId="1" xfId="3" applyFont="1" applyBorder="1" applyAlignment="1">
      <alignment wrapText="1"/>
    </xf>
    <xf numFmtId="0" fontId="8" fillId="12" borderId="9" xfId="0" applyFont="1" applyFill="1" applyBorder="1" applyAlignment="1">
      <alignment wrapText="1"/>
    </xf>
    <xf numFmtId="0" fontId="8" fillId="0" borderId="0" xfId="0" applyFont="1" applyAlignment="1">
      <alignment wrapText="1"/>
    </xf>
    <xf numFmtId="0" fontId="6" fillId="0" borderId="0" xfId="3" applyFont="1" applyAlignment="1">
      <alignment wrapText="1"/>
    </xf>
    <xf numFmtId="0" fontId="8" fillId="0" borderId="0" xfId="3" applyAlignment="1">
      <alignment wrapText="1"/>
    </xf>
    <xf numFmtId="0" fontId="8" fillId="0" borderId="0" xfId="3" quotePrefix="1" applyAlignment="1">
      <alignment wrapText="1"/>
    </xf>
    <xf numFmtId="0" fontId="6" fillId="12" borderId="9" xfId="3" applyFont="1" applyFill="1" applyBorder="1" applyAlignment="1">
      <alignment wrapText="1"/>
    </xf>
    <xf numFmtId="0" fontId="8" fillId="12" borderId="9" xfId="3" applyFill="1" applyBorder="1" applyAlignment="1">
      <alignment wrapText="1"/>
    </xf>
    <xf numFmtId="49" fontId="44" fillId="13" borderId="0" xfId="0" applyNumberFormat="1" applyFont="1" applyFill="1" applyAlignment="1">
      <alignment vertical="top" wrapText="1"/>
    </xf>
    <xf numFmtId="49" fontId="9" fillId="0" borderId="2" xfId="0" applyNumberFormat="1" applyFont="1" applyBorder="1" applyAlignment="1" applyProtection="1">
      <alignment wrapText="1"/>
      <protection locked="0"/>
    </xf>
    <xf numFmtId="0" fontId="9" fillId="0" borderId="2" xfId="0" applyFont="1" applyBorder="1" applyAlignment="1" applyProtection="1">
      <alignment wrapText="1"/>
      <protection hidden="1"/>
    </xf>
    <xf numFmtId="0" fontId="27" fillId="0" borderId="2" xfId="0" applyFont="1" applyBorder="1" applyAlignment="1" applyProtection="1">
      <alignment horizontal="left" wrapText="1"/>
      <protection hidden="1"/>
    </xf>
    <xf numFmtId="49" fontId="6" fillId="0" borderId="2" xfId="0" applyNumberFormat="1" applyFont="1" applyBorder="1" applyAlignment="1" applyProtection="1">
      <alignment horizontal="left" wrapText="1"/>
      <protection locked="0"/>
    </xf>
    <xf numFmtId="0" fontId="62" fillId="15" borderId="2" xfId="0" applyFont="1" applyFill="1" applyBorder="1" applyAlignment="1">
      <alignment wrapText="1"/>
    </xf>
    <xf numFmtId="0" fontId="63" fillId="16" borderId="2" xfId="9" applyFont="1" applyFill="1" applyBorder="1" applyAlignment="1">
      <alignment wrapText="1"/>
    </xf>
    <xf numFmtId="0" fontId="51" fillId="15" borderId="10" xfId="9" applyFont="1" applyFill="1" applyBorder="1" applyAlignment="1">
      <alignment wrapText="1"/>
    </xf>
    <xf numFmtId="0" fontId="64" fillId="16" borderId="2" xfId="9" applyFont="1" applyFill="1" applyBorder="1" applyAlignment="1">
      <alignment wrapText="1"/>
    </xf>
    <xf numFmtId="49" fontId="51" fillId="15" borderId="2" xfId="0" applyNumberFormat="1" applyFont="1" applyFill="1" applyBorder="1" applyAlignment="1">
      <alignment wrapText="1"/>
    </xf>
    <xf numFmtId="49" fontId="63" fillId="16" borderId="2" xfId="0" applyNumberFormat="1" applyFont="1" applyFill="1" applyBorder="1" applyAlignment="1">
      <alignment wrapText="1"/>
    </xf>
    <xf numFmtId="164" fontId="51" fillId="15" borderId="2" xfId="0" applyNumberFormat="1" applyFont="1" applyFill="1" applyBorder="1" applyAlignment="1">
      <alignment wrapText="1"/>
    </xf>
    <xf numFmtId="0" fontId="63" fillId="16" borderId="2" xfId="0" applyFont="1" applyFill="1" applyBorder="1" applyAlignment="1">
      <alignment wrapText="1"/>
    </xf>
    <xf numFmtId="49" fontId="6" fillId="3" borderId="3" xfId="0" applyNumberFormat="1" applyFont="1" applyFill="1" applyBorder="1" applyAlignment="1">
      <alignment wrapText="1"/>
    </xf>
  </cellXfs>
  <cellStyles count="45">
    <cellStyle name="Comma 2" xfId="7" xr:uid="{D9C60BD1-4FA1-45B4-A20B-EF0D40741343}"/>
    <cellStyle name="Currency" xfId="1" builtinId="4"/>
    <cellStyle name="Normal" xfId="0" builtinId="0"/>
    <cellStyle name="Normal 10" xfId="19" xr:uid="{8455C633-D7CE-47CA-80C0-FA4EB1C60B93}"/>
    <cellStyle name="Normal 2" xfId="2" xr:uid="{11D4221D-0DF3-D04D-83B1-E1C09A364542}"/>
    <cellStyle name="Normal 2 2" xfId="5" xr:uid="{38BAF77D-1FA9-4E2C-9069-9DF423A6899D}"/>
    <cellStyle name="Normal 2 3" xfId="10" xr:uid="{9B886275-41F3-44E1-A926-BE7F320CF88A}"/>
    <cellStyle name="Normal 2 4" xfId="29" xr:uid="{4861A7B5-0DC4-42FD-9978-C47153285FF4}"/>
    <cellStyle name="Normal 2 5" xfId="30" xr:uid="{704D7D05-F4D7-49B2-916B-0341B0B1EE28}"/>
    <cellStyle name="Normal 3" xfId="3" xr:uid="{2FCA0F19-FEBD-3F44-BD57-8ECC545AD3DF}"/>
    <cellStyle name="Normal 3 2" xfId="6" xr:uid="{128CAF93-97E3-4765-90D4-6B55AD5F29B5}"/>
    <cellStyle name="Normal 3 2 2" xfId="11" xr:uid="{D225795D-3532-466A-B5EC-3A960B66850F}"/>
    <cellStyle name="Normal 3 2 2 2" xfId="24" xr:uid="{A0C66429-C766-4105-AE0C-C3A4CFFD2AF5}"/>
    <cellStyle name="Normal 3 2 2 2 2" xfId="40" xr:uid="{C1758546-A8AE-46E5-A6C9-676B4E8D242B}"/>
    <cellStyle name="Normal 3 2 2 3" xfId="32" xr:uid="{68512E5B-055B-4C80-8D7C-A944D2D50496}"/>
    <cellStyle name="Normal 3 2 3" xfId="27" xr:uid="{7E48F481-8A6A-4F41-BB22-173DCC4A1E3B}"/>
    <cellStyle name="Normal 3 2 3 2" xfId="43" xr:uid="{A0021F75-0614-44EB-AEDC-353839615090}"/>
    <cellStyle name="Normal 3 2 4" xfId="21" xr:uid="{6E4F302C-6774-4F38-8E3F-D2FD036499A3}"/>
    <cellStyle name="Normal 3 2 4 2" xfId="37" xr:uid="{37D1A070-D7CB-4976-8315-2B94B67074C2}"/>
    <cellStyle name="Normal 3 2_P&amp;E Report - Project File" xfId="14" xr:uid="{81B2C7A9-4FDC-46A4-AAE3-7462B5BF0579}"/>
    <cellStyle name="Normal 3 3" xfId="20" xr:uid="{9C0A512D-9667-4A95-81C9-987973C2A937}"/>
    <cellStyle name="Normal 3 3 2" xfId="36" xr:uid="{EEB5710D-04D3-4595-9264-47485BECDB57}"/>
    <cellStyle name="Normal 4" xfId="4" xr:uid="{111CD022-470E-4FB4-A461-E2236083696B}"/>
    <cellStyle name="Normal 4 2" xfId="15" xr:uid="{563F1ACD-8F90-430B-982D-848856C54757}"/>
    <cellStyle name="Normal 4 2 2" xfId="25" xr:uid="{313C3D47-E7F5-4301-A664-04BAF40BA79C}"/>
    <cellStyle name="Normal 4 2 2 2" xfId="41" xr:uid="{6B6A78C0-0431-4D90-AB42-D409E9CFC68D}"/>
    <cellStyle name="Normal 4 2 3" xfId="35" xr:uid="{8D09D7A9-C40B-48A4-8434-9D737B31C433}"/>
    <cellStyle name="Normal 4 3" xfId="12" xr:uid="{2447B06B-04F5-4110-8E70-16C3EB57B599}"/>
    <cellStyle name="Normal 4 3 2" xfId="28" xr:uid="{97127F01-F89D-467E-B7EE-8F8E3D7EC2BF}"/>
    <cellStyle name="Normal 4 3 2 2" xfId="44" xr:uid="{F632DD46-5B55-4C2C-822C-8ECF4A051FD3}"/>
    <cellStyle name="Normal 4 3 3" xfId="33" xr:uid="{095CB566-8415-4824-BAA4-2A27BC8B505E}"/>
    <cellStyle name="Normal 4 4" xfId="22" xr:uid="{BE0F39AA-F45B-4392-BF9D-5BCC33738ACC}"/>
    <cellStyle name="Normal 4 4 2" xfId="38" xr:uid="{89208826-3546-46AF-A3AF-0FFB81228563}"/>
    <cellStyle name="Normal 5" xfId="8" xr:uid="{A37749A0-E3A9-4917-9542-34A0729E957E}"/>
    <cellStyle name="Normal 5 2" xfId="13" xr:uid="{1F9C26A7-C0F4-4550-B139-A8742359EB31}"/>
    <cellStyle name="Normal 5 2 2" xfId="34" xr:uid="{F94E1B42-6C20-48B3-9ED7-274E226B498C}"/>
    <cellStyle name="Normal 5 3" xfId="23" xr:uid="{084E28DB-5E8C-44A5-A7CF-28ECC1B46BDD}"/>
    <cellStyle name="Normal 5 3 2" xfId="39" xr:uid="{EF7D26CA-723D-4F5C-9A75-F7B67A0471AC}"/>
    <cellStyle name="Normal 5 4" xfId="31" xr:uid="{8C2C7F51-1C74-43A5-95C2-D91E003C12B5}"/>
    <cellStyle name="Normal 6" xfId="9" xr:uid="{9C10A26E-DEFB-4420-A55D-A88DF8638D11}"/>
    <cellStyle name="Normal 6 2" xfId="26" xr:uid="{3499B0E8-485F-4F88-9540-7175991AA5F5}"/>
    <cellStyle name="Normal 6 2 2" xfId="42" xr:uid="{547CC92D-CF0A-47C9-B55D-0A845B9664CE}"/>
    <cellStyle name="Normal 7" xfId="16" xr:uid="{B474F54F-9652-4CE6-AA1E-D211FD70F267}"/>
    <cellStyle name="Normal 8" xfId="17" xr:uid="{F290C404-67E8-4931-8873-44F8760167A5}"/>
    <cellStyle name="Normal 9" xfId="18" xr:uid="{8727AE0A-89A7-4295-95A9-D2FD5648C2C2}"/>
  </cellStyles>
  <dxfs count="115">
    <dxf>
      <font>
        <color rgb="FF9C0006"/>
      </font>
      <fill>
        <patternFill>
          <bgColor rgb="FFFFC7CE"/>
        </patternFill>
      </fill>
    </dxf>
    <dxf>
      <font>
        <color rgb="FF9C0006"/>
      </font>
      <fill>
        <patternFill>
          <bgColor rgb="FFFFC7CE"/>
        </patternFill>
      </fill>
    </dxf>
    <dxf>
      <border>
        <left style="thin">
          <color rgb="FF00B0F0"/>
        </left>
        <right style="thin">
          <color rgb="FF00B0F0"/>
        </right>
        <top style="thin">
          <color rgb="FF00B0F0"/>
        </top>
        <bottom style="thin">
          <color rgb="FF00B0F0"/>
        </bottom>
        <vertical/>
        <horizontal/>
      </border>
    </dxf>
    <dxf>
      <font>
        <color rgb="FFC00000"/>
      </font>
      <fill>
        <patternFill>
          <bgColor rgb="FFFFC7CE"/>
        </patternFill>
      </fill>
    </dxf>
    <dxf>
      <font>
        <color rgb="FFC00000"/>
      </font>
      <fill>
        <patternFill patternType="solid">
          <bgColor rgb="FFFFC7CE"/>
        </patternFill>
      </fill>
    </dxf>
    <dxf>
      <font>
        <color rgb="FFC00000"/>
      </font>
      <fill>
        <patternFill>
          <bgColor rgb="FFFFC7CE"/>
        </patternFill>
      </fill>
    </dxf>
    <dxf>
      <font>
        <color rgb="FFC00000"/>
      </font>
      <fill>
        <patternFill>
          <bgColor rgb="FFFFC7CE"/>
        </patternFill>
      </fill>
    </dxf>
    <dxf>
      <font>
        <color rgb="FFC00000"/>
      </font>
      <fill>
        <patternFill>
          <bgColor rgb="FFFFC7CE"/>
        </patternFill>
      </fill>
    </dxf>
    <dxf>
      <font>
        <color rgb="FFC00000"/>
      </font>
      <fill>
        <patternFill>
          <bgColor rgb="FFFFC7CE"/>
        </patternFill>
      </fill>
    </dxf>
    <dxf>
      <font>
        <color rgb="FF9C0006"/>
      </font>
      <fill>
        <patternFill>
          <bgColor rgb="FFFFC7CE"/>
        </patternFill>
      </fill>
    </dxf>
    <dxf>
      <fill>
        <patternFill>
          <bgColor theme="0"/>
        </patternFill>
      </fill>
      <border>
        <left style="thin">
          <color rgb="FFC00000"/>
        </left>
        <right style="thin">
          <color rgb="FFC00000"/>
        </right>
        <top style="thin">
          <color rgb="FFC00000"/>
        </top>
        <bottom style="thin">
          <color rgb="FFC00000"/>
        </bottom>
        <vertical/>
        <horizontal/>
      </border>
    </dxf>
    <dxf>
      <font>
        <color rgb="FFC00000"/>
      </font>
    </dxf>
    <dxf>
      <font>
        <color rgb="FFC00000"/>
      </font>
    </dxf>
    <dxf>
      <fill>
        <patternFill patternType="darkUp"/>
      </fill>
    </dxf>
    <dxf>
      <fill>
        <patternFill patternType="none">
          <bgColor auto="1"/>
        </patternFill>
      </fill>
    </dxf>
    <dxf>
      <fill>
        <patternFill patternType="darkUp"/>
      </fill>
    </dxf>
    <dxf>
      <fill>
        <patternFill patternType="darkUp"/>
      </fill>
    </dxf>
    <dxf>
      <fill>
        <patternFill patternType="darkUp"/>
      </fill>
    </dxf>
    <dxf>
      <fill>
        <patternFill patternType="darkUp"/>
      </fill>
    </dxf>
    <dxf>
      <fill>
        <patternFill patternType="darkUp"/>
      </fill>
    </dxf>
    <dxf>
      <fill>
        <patternFill>
          <bgColor theme="0"/>
        </patternFill>
      </fill>
    </dxf>
    <dxf>
      <fill>
        <patternFill patternType="darkUp">
          <bgColor auto="1"/>
        </patternFill>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bgColor auto="1"/>
        </patternFill>
      </fill>
    </dxf>
    <dxf>
      <fill>
        <patternFill>
          <bgColor theme="0"/>
        </patternFill>
      </fill>
    </dxf>
    <dxf>
      <fill>
        <patternFill patternType="darkUp">
          <bgColor auto="1"/>
        </patternFill>
      </fill>
    </dxf>
    <dxf>
      <fill>
        <patternFill>
          <bgColor theme="0"/>
        </patternFill>
      </fill>
    </dxf>
    <dxf>
      <fill>
        <patternFill patternType="darkUp"/>
      </fill>
    </dxf>
    <dxf>
      <fill>
        <patternFill patternType="darkUp">
          <bgColor auto="1"/>
        </patternFill>
      </fill>
    </dxf>
    <dxf>
      <fill>
        <patternFill>
          <bgColor theme="0"/>
        </patternFill>
      </fill>
    </dxf>
    <dxf>
      <fill>
        <patternFill>
          <bgColor theme="0"/>
        </patternFill>
      </fill>
    </dxf>
    <dxf>
      <fill>
        <patternFill patternType="darkUp"/>
      </fill>
    </dxf>
    <dxf>
      <fill>
        <patternFill patternType="darkUp"/>
      </fill>
    </dxf>
    <dxf>
      <fill>
        <patternFill patternType="darkUp"/>
      </fill>
    </dxf>
    <dxf>
      <fill>
        <patternFill>
          <bgColor theme="0"/>
        </patternFill>
      </fill>
    </dxf>
    <dxf>
      <fill>
        <patternFill>
          <bgColor theme="0"/>
        </patternFill>
      </fill>
    </dxf>
    <dxf>
      <fill>
        <patternFill patternType="darkUp"/>
      </fill>
    </dxf>
    <dxf>
      <fill>
        <patternFill patternType="solid">
          <bgColor theme="0"/>
        </patternFill>
      </fill>
    </dxf>
    <dxf>
      <fill>
        <patternFill patternType="darkUp"/>
      </fill>
    </dxf>
    <dxf>
      <fill>
        <patternFill patternType="darkUp"/>
      </fill>
    </dxf>
    <dxf>
      <fill>
        <patternFill patternType="darkUp">
          <bgColor theme="0"/>
        </patternFill>
      </fill>
    </dxf>
    <dxf>
      <fill>
        <patternFill>
          <bgColor theme="0"/>
        </patternFill>
      </fill>
    </dxf>
    <dxf>
      <fill>
        <patternFill patternType="darkUp"/>
      </fill>
    </dxf>
    <dxf>
      <fill>
        <patternFill patternType="solid">
          <bgColor theme="0"/>
        </patternFill>
      </fill>
    </dxf>
    <dxf>
      <fill>
        <patternFill patternType="darkUp">
          <bgColor auto="1"/>
        </patternFill>
      </fill>
    </dxf>
    <dxf>
      <fill>
        <patternFill>
          <bgColor theme="0"/>
        </patternFill>
      </fill>
    </dxf>
    <dxf>
      <fill>
        <patternFill patternType="darkUp"/>
      </fill>
    </dxf>
    <dxf>
      <fill>
        <patternFill patternType="darkUp"/>
      </fill>
    </dxf>
    <dxf>
      <fill>
        <patternFill patternType="darkUp"/>
      </fill>
    </dxf>
    <dxf>
      <fill>
        <patternFill patternType="darkUp"/>
      </fill>
    </dxf>
    <dxf>
      <fill>
        <patternFill patternType="darkUp">
          <bgColor auto="1"/>
        </patternFill>
      </fill>
    </dxf>
    <dxf>
      <fill>
        <patternFill>
          <bgColor theme="0"/>
        </patternFill>
      </fill>
    </dxf>
    <dxf>
      <fill>
        <patternFill patternType="darkUp"/>
      </fill>
    </dxf>
    <dxf>
      <fill>
        <patternFill patternType="darkUp"/>
      </fill>
    </dxf>
    <dxf>
      <fill>
        <patternFill patternType="solid"/>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solid"/>
      </fill>
    </dxf>
    <dxf>
      <fill>
        <patternFill patternType="darkUp"/>
      </fill>
    </dxf>
    <dxf>
      <fill>
        <patternFill patternType="solid"/>
      </fill>
    </dxf>
    <dxf>
      <fill>
        <patternFill patternType="darkUp"/>
      </fill>
    </dxf>
    <dxf>
      <fill>
        <patternFill patternType="solid"/>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bgColor auto="1"/>
        </patternFill>
      </fill>
    </dxf>
    <dxf>
      <fill>
        <patternFill patternType="none">
          <bgColor auto="1"/>
        </patternFill>
      </fill>
    </dxf>
    <dxf>
      <fill>
        <patternFill patternType="darkUp">
          <bgColor auto="1"/>
        </patternFill>
      </fill>
    </dxf>
    <dxf>
      <fill>
        <patternFill patternType="none">
          <bgColor auto="1"/>
        </patternFill>
      </fill>
    </dxf>
    <dxf>
      <fill>
        <patternFill patternType="darkUp">
          <bgColor theme="0"/>
        </patternFill>
      </fill>
    </dxf>
    <dxf>
      <fill>
        <patternFill patternType="none">
          <bgColor auto="1"/>
        </patternFill>
      </fill>
    </dxf>
    <dxf>
      <fill>
        <patternFill patternType="darkUp"/>
      </fill>
    </dxf>
    <dxf>
      <fill>
        <patternFill patternType="darkUp"/>
      </fill>
    </dxf>
    <dxf>
      <fill>
        <patternFill patternType="darkUp"/>
      </fill>
    </dxf>
    <dxf>
      <fill>
        <patternFill patternType="solid"/>
      </fill>
    </dxf>
    <dxf>
      <fill>
        <patternFill patternType="darkUp"/>
      </fill>
    </dxf>
    <dxf>
      <fill>
        <patternFill patternType="darkUp"/>
      </fill>
    </dxf>
    <dxf>
      <fill>
        <patternFill patternType="solid"/>
      </fill>
    </dxf>
    <dxf>
      <fill>
        <patternFill patternType="darkUp"/>
      </fill>
    </dxf>
    <dxf>
      <fill>
        <patternFill patternType="solid"/>
      </fill>
    </dxf>
    <dxf>
      <fill>
        <patternFill patternType="darkUp"/>
      </fill>
    </dxf>
    <dxf>
      <fill>
        <patternFill patternType="darkUp"/>
      </fill>
    </dxf>
    <dxf>
      <fill>
        <patternFill patternType="darkUp"/>
      </fill>
    </dxf>
    <dxf>
      <border>
        <left style="thin">
          <color rgb="FFC00000"/>
        </left>
        <right style="thin">
          <color rgb="FFC00000"/>
        </right>
        <top style="thin">
          <color rgb="FFC00000"/>
        </top>
        <bottom style="thin">
          <color rgb="FFC00000"/>
        </bottom>
        <vertical/>
        <horizontal/>
      </border>
    </dxf>
    <dxf>
      <border>
        <left style="thin">
          <color rgb="FFC00000"/>
        </left>
        <right style="thin">
          <color rgb="FFC00000"/>
        </right>
        <top style="thin">
          <color rgb="FFC00000"/>
        </top>
        <bottom style="thin">
          <color rgb="FFC00000"/>
        </bottom>
        <vertical/>
        <horizontal/>
      </border>
    </dxf>
  </dxfs>
  <tableStyles count="0" defaultTableStyle="TableStyleMedium2" defaultPivotStyle="PivotStyleLight16"/>
  <colors>
    <mruColors>
      <color rgb="FFFFC7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vmlDrawing1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4.emf"/><Relationship Id="rId1" Type="http://schemas.openxmlformats.org/officeDocument/2006/relationships/image" Target="../media/image5.emf"/><Relationship Id="rId4"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69850</xdr:colOff>
          <xdr:row>3</xdr:row>
          <xdr:rowOff>19050</xdr:rowOff>
        </xdr:from>
        <xdr:to>
          <xdr:col>0</xdr:col>
          <xdr:colOff>1212850</xdr:colOff>
          <xdr:row>4</xdr:row>
          <xdr:rowOff>139700</xdr:rowOff>
        </xdr:to>
        <xdr:sp macro="" textlink="">
          <xdr:nvSpPr>
            <xdr:cNvPr id="37889" name="UpdateAgency" hidden="1">
              <a:extLst>
                <a:ext uri="{63B3BB69-23CF-44E3-9099-C40C66FF867C}">
                  <a14:compatExt spid="_x0000_s37889"/>
                </a:ext>
                <a:ext uri="{FF2B5EF4-FFF2-40B4-BE49-F238E27FC236}">
                  <a16:creationId xmlns:a16="http://schemas.microsoft.com/office/drawing/2014/main" id="{00000000-0008-0000-0D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2451100</xdr:colOff>
          <xdr:row>0</xdr:row>
          <xdr:rowOff>12700</xdr:rowOff>
        </xdr:from>
        <xdr:to>
          <xdr:col>0</xdr:col>
          <xdr:colOff>3606800</xdr:colOff>
          <xdr:row>0</xdr:row>
          <xdr:rowOff>323850</xdr:rowOff>
        </xdr:to>
        <xdr:sp macro="" textlink="">
          <xdr:nvSpPr>
            <xdr:cNvPr id="16385" name="Reset" hidden="1">
              <a:extLst>
                <a:ext uri="{63B3BB69-23CF-44E3-9099-C40C66FF867C}">
                  <a14:compatExt spid="_x0000_s16385"/>
                </a:ext>
                <a:ext uri="{FF2B5EF4-FFF2-40B4-BE49-F238E27FC236}">
                  <a16:creationId xmlns:a16="http://schemas.microsoft.com/office/drawing/2014/main" id="{00000000-0008-0000-0E00-000001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88900</xdr:colOff>
          <xdr:row>0</xdr:row>
          <xdr:rowOff>12700</xdr:rowOff>
        </xdr:from>
        <xdr:to>
          <xdr:col>0</xdr:col>
          <xdr:colOff>1244600</xdr:colOff>
          <xdr:row>0</xdr:row>
          <xdr:rowOff>323850</xdr:rowOff>
        </xdr:to>
        <xdr:sp macro="" textlink="">
          <xdr:nvSpPr>
            <xdr:cNvPr id="16386" name="UpdateHelp" hidden="1">
              <a:extLst>
                <a:ext uri="{63B3BB69-23CF-44E3-9099-C40C66FF867C}">
                  <a14:compatExt spid="_x0000_s16386"/>
                </a:ext>
                <a:ext uri="{FF2B5EF4-FFF2-40B4-BE49-F238E27FC236}">
                  <a16:creationId xmlns:a16="http://schemas.microsoft.com/office/drawing/2014/main" id="{00000000-0008-0000-0E00-00000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1270000</xdr:colOff>
          <xdr:row>0</xdr:row>
          <xdr:rowOff>12700</xdr:rowOff>
        </xdr:from>
        <xdr:to>
          <xdr:col>0</xdr:col>
          <xdr:colOff>2425700</xdr:colOff>
          <xdr:row>0</xdr:row>
          <xdr:rowOff>323850</xdr:rowOff>
        </xdr:to>
        <xdr:sp macro="" textlink="">
          <xdr:nvSpPr>
            <xdr:cNvPr id="16387" name="UpdateValidation" hidden="1">
              <a:extLst>
                <a:ext uri="{63B3BB69-23CF-44E3-9099-C40C66FF867C}">
                  <a14:compatExt spid="_x0000_s16387"/>
                </a:ext>
                <a:ext uri="{FF2B5EF4-FFF2-40B4-BE49-F238E27FC236}">
                  <a16:creationId xmlns:a16="http://schemas.microsoft.com/office/drawing/2014/main" id="{00000000-0008-0000-0E00-0000034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4064000</xdr:colOff>
          <xdr:row>0</xdr:row>
          <xdr:rowOff>12700</xdr:rowOff>
        </xdr:from>
        <xdr:to>
          <xdr:col>0</xdr:col>
          <xdr:colOff>5219700</xdr:colOff>
          <xdr:row>0</xdr:row>
          <xdr:rowOff>323850</xdr:rowOff>
        </xdr:to>
        <xdr:sp macro="" textlink="">
          <xdr:nvSpPr>
            <xdr:cNvPr id="16388" name="Import" hidden="1">
              <a:extLst>
                <a:ext uri="{63B3BB69-23CF-44E3-9099-C40C66FF867C}">
                  <a14:compatExt spid="_x0000_s16388"/>
                </a:ext>
                <a:ext uri="{FF2B5EF4-FFF2-40B4-BE49-F238E27FC236}">
                  <a16:creationId xmlns:a16="http://schemas.microsoft.com/office/drawing/2014/main" id="{00000000-0008-0000-0E00-000004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printerSettings" Target="../printerSettings/printerSettings9.bin"/><Relationship Id="rId1" Type="http://schemas.openxmlformats.org/officeDocument/2006/relationships/hyperlink" Target="http://sam.gov/?" TargetMode="External"/><Relationship Id="rId4" Type="http://schemas.openxmlformats.org/officeDocument/2006/relationships/comments" Target="../comments7.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xml"/><Relationship Id="rId1" Type="http://schemas.openxmlformats.org/officeDocument/2006/relationships/printerSettings" Target="../printerSettings/printerSettings14.bin"/><Relationship Id="rId6" Type="http://schemas.openxmlformats.org/officeDocument/2006/relationships/comments" Target="../comments11.xml"/><Relationship Id="rId5" Type="http://schemas.openxmlformats.org/officeDocument/2006/relationships/image" Target="../media/image1.emf"/><Relationship Id="rId4" Type="http://schemas.openxmlformats.org/officeDocument/2006/relationships/control" Target="../activeX/activeX1.xml"/></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12.vml"/><Relationship Id="rId7" Type="http://schemas.openxmlformats.org/officeDocument/2006/relationships/image" Target="../media/image3.emf"/><Relationship Id="rId2" Type="http://schemas.openxmlformats.org/officeDocument/2006/relationships/drawing" Target="../drawings/drawing2.xml"/><Relationship Id="rId1" Type="http://schemas.openxmlformats.org/officeDocument/2006/relationships/printerSettings" Target="../printerSettings/printerSettings15.bin"/><Relationship Id="rId6" Type="http://schemas.openxmlformats.org/officeDocument/2006/relationships/control" Target="../activeX/activeX3.xml"/><Relationship Id="rId11" Type="http://schemas.openxmlformats.org/officeDocument/2006/relationships/image" Target="../media/image5.emf"/><Relationship Id="rId5" Type="http://schemas.openxmlformats.org/officeDocument/2006/relationships/image" Target="../media/image2.emf"/><Relationship Id="rId10" Type="http://schemas.openxmlformats.org/officeDocument/2006/relationships/control" Target="../activeX/activeX5.xml"/><Relationship Id="rId4" Type="http://schemas.openxmlformats.org/officeDocument/2006/relationships/control" Target="../activeX/activeX2.xml"/><Relationship Id="rId9" Type="http://schemas.openxmlformats.org/officeDocument/2006/relationships/image" Target="../media/image4.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6BCB4-BFDF-4A31-9E6E-4F37BE4B46B8}">
  <sheetPr codeName="Sheet1"/>
  <dimension ref="A1:D2"/>
  <sheetViews>
    <sheetView showGridLines="0" workbookViewId="0">
      <selection activeCell="B2" sqref="B2"/>
    </sheetView>
  </sheetViews>
  <sheetFormatPr defaultColWidth="9.1796875" defaultRowHeight="12.5" x14ac:dyDescent="0.25"/>
  <cols>
    <col min="1" max="1" width="74.453125" style="161" customWidth="1"/>
    <col min="2" max="2" width="46.453125" style="161" customWidth="1"/>
    <col min="3" max="3" width="24" style="161" customWidth="1"/>
    <col min="4" max="4" width="23.26953125" style="161" customWidth="1"/>
    <col min="5" max="16384" width="9.1796875" style="161"/>
  </cols>
  <sheetData>
    <row r="1" spans="1:4" ht="14" x14ac:dyDescent="0.3">
      <c r="A1" s="64" t="s">
        <v>0</v>
      </c>
      <c r="B1" s="64" t="s">
        <v>1</v>
      </c>
      <c r="C1" s="64" t="s">
        <v>2</v>
      </c>
    </row>
    <row r="2" spans="1:4" ht="112" x14ac:dyDescent="0.3">
      <c r="A2" s="65" t="s">
        <v>3</v>
      </c>
      <c r="B2" s="236"/>
      <c r="C2" s="236"/>
      <c r="D2" s="162"/>
    </row>
  </sheetData>
  <sheetProtection algorithmName="SHA-512" hashValue="KFCnTmBr/KhUjQibYmAIJpqWMxSXR7vq04PVfIAA8JoPNICayvn/f+XR0HV1gEqfWa/hjoQOOWCY8QHHCeIvwg==" saltValue="fbRpD2ZaGrJ9ufYMFbcPGA==" spinCount="100000" sheet="1" objects="1" scenarios="1" formatRows="0"/>
  <dataConsolidate/>
  <conditionalFormatting sqref="B2:C2">
    <cfRule type="containsBlanks" dxfId="114" priority="1">
      <formula>LEN(TRIM(B2))=0</formula>
    </cfRule>
  </conditionalFormatting>
  <dataValidations count="1">
    <dataValidation type="list" allowBlank="1" showInputMessage="1" showErrorMessage="1" sqref="C1" xr:uid="{DBF8C7B6-4162-BC4B-9DD0-5CC35434892B}">
      <formula1>#REF!</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outlinePr summaryBelow="0" summaryRight="0"/>
  </sheetPr>
  <dimension ref="A1:C13"/>
  <sheetViews>
    <sheetView showGridLines="0" tabSelected="1" workbookViewId="0">
      <selection activeCell="A2" sqref="A2"/>
    </sheetView>
  </sheetViews>
  <sheetFormatPr defaultColWidth="14.453125" defaultRowHeight="15" customHeight="1" x14ac:dyDescent="0.25"/>
  <cols>
    <col min="1" max="1" width="20" style="168" customWidth="1"/>
    <col min="2" max="2" width="47.7265625" style="169" customWidth="1"/>
    <col min="3" max="3" width="54.7265625" style="169" customWidth="1"/>
    <col min="4" max="16384" width="14.453125" style="165"/>
  </cols>
  <sheetData>
    <row r="1" spans="1:3" s="163" customFormat="1" ht="12.5" x14ac:dyDescent="0.25">
      <c r="A1" s="315" t="s">
        <v>327</v>
      </c>
      <c r="B1" s="49" t="s">
        <v>344</v>
      </c>
      <c r="C1" s="49" t="s">
        <v>129</v>
      </c>
    </row>
    <row r="2" spans="1:3" s="164" customFormat="1" ht="41.15" customHeight="1" x14ac:dyDescent="0.3">
      <c r="A2" s="239" t="s">
        <v>1040</v>
      </c>
      <c r="B2" s="63" t="s">
        <v>1032</v>
      </c>
      <c r="C2" s="66"/>
    </row>
    <row r="3" spans="1:3" ht="21.65" customHeight="1" x14ac:dyDescent="0.3">
      <c r="A3" s="166"/>
      <c r="B3" s="167"/>
      <c r="C3" s="167"/>
    </row>
    <row r="4" spans="1:3" ht="12.5" x14ac:dyDescent="0.25"/>
    <row r="5" spans="1:3" ht="15" customHeight="1" x14ac:dyDescent="0.3">
      <c r="A5" s="171"/>
    </row>
    <row r="6" spans="1:3" ht="15" customHeight="1" x14ac:dyDescent="0.3">
      <c r="A6" s="172"/>
      <c r="B6" s="173"/>
      <c r="C6" s="173"/>
    </row>
    <row r="7" spans="1:3" ht="15" customHeight="1" x14ac:dyDescent="0.25">
      <c r="A7" s="172"/>
      <c r="B7" s="167"/>
    </row>
    <row r="8" spans="1:3" ht="15" customHeight="1" x14ac:dyDescent="0.25">
      <c r="A8" s="172"/>
      <c r="B8" s="167"/>
    </row>
    <row r="9" spans="1:3" ht="15" customHeight="1" x14ac:dyDescent="0.25">
      <c r="A9" s="172"/>
      <c r="B9" s="167"/>
    </row>
    <row r="10" spans="1:3" ht="15" customHeight="1" x14ac:dyDescent="0.25">
      <c r="A10" s="174"/>
      <c r="B10" s="167"/>
    </row>
    <row r="11" spans="1:3" ht="15" customHeight="1" x14ac:dyDescent="0.25">
      <c r="B11" s="167"/>
    </row>
    <row r="12" spans="1:3" ht="15" customHeight="1" x14ac:dyDescent="0.25">
      <c r="B12" s="167"/>
    </row>
    <row r="13" spans="1:3" ht="15" customHeight="1" x14ac:dyDescent="0.25">
      <c r="B13" s="167"/>
    </row>
  </sheetData>
  <sheetProtection algorithmName="SHA-512" hashValue="rny8msJG6bVVRfzBgFIef1DlxetmMuDBF66wDUzW5j5SXH/lPIHFjyDmWXEAKZLTblqhB50MwhvIVZOui5fVxA==" saltValue="1PIgM8X/9ojHywR+A6YVTg==" spinCount="100000" sheet="1" objects="1" scenarios="1" formatRows="0"/>
  <dataConsolidate/>
  <conditionalFormatting sqref="C2">
    <cfRule type="containsBlanks" dxfId="113" priority="2">
      <formula>LEN(TRIM(C2))=0</formula>
    </cfRule>
  </conditionalFormatting>
  <dataValidations count="1">
    <dataValidation type="list" allowBlank="1" showInputMessage="1" showErrorMessage="1" sqref="B219:C1048576" xr:uid="{DBF8C7B6-4162-BC4B-9DD0-5CC35434892B}">
      <formula1>#REF!</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BB363508-B406-41C7-A67C-431DEA58F3FD}">
          <x14:formula1>
            <xm:f>Logic!$A$3:$A$83</xm:f>
          </x14:formula1>
          <xm:sqref>C2</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9C07F-68C4-4C0F-B197-912AD59D5C89}">
  <sheetPr codeName="Sheet3"/>
  <dimension ref="A1:AV201"/>
  <sheetViews>
    <sheetView showGridLines="0" zoomScaleNormal="100" workbookViewId="0">
      <pane xSplit="4" ySplit="12" topLeftCell="E15" activePane="bottomRight" state="frozen"/>
      <selection pane="topRight" activeCell="E1" sqref="E1"/>
      <selection pane="bottomLeft" activeCell="A12" sqref="A12"/>
      <selection pane="bottomRight" sqref="A1:XFD10"/>
    </sheetView>
  </sheetViews>
  <sheetFormatPr defaultColWidth="8.7265625" defaultRowHeight="10" x14ac:dyDescent="0.25"/>
  <cols>
    <col min="1" max="1" width="14.54296875" style="177" hidden="1" customWidth="1"/>
    <col min="2" max="2" width="7.81640625" style="177" hidden="1" customWidth="1"/>
    <col min="3" max="3" width="20.7265625" style="177" customWidth="1"/>
    <col min="4" max="4" width="19.7265625" style="177" customWidth="1"/>
    <col min="5" max="5" width="25.1796875" style="177" customWidth="1"/>
    <col min="6" max="6" width="15.54296875" style="177" customWidth="1"/>
    <col min="7" max="7" width="15.1796875" style="177" customWidth="1"/>
    <col min="8" max="10" width="17.7265625" style="177" customWidth="1"/>
    <col min="11" max="11" width="29.54296875" style="177" customWidth="1"/>
    <col min="12" max="12" width="14.26953125" style="177" customWidth="1"/>
    <col min="13" max="13" width="12" style="177" customWidth="1"/>
    <col min="14" max="14" width="28.453125" style="177" customWidth="1"/>
    <col min="15" max="15" width="23.453125" style="177" customWidth="1"/>
    <col min="16" max="16" width="23" style="177" customWidth="1"/>
    <col min="17" max="17" width="18.1796875" style="177" customWidth="1"/>
    <col min="18" max="18" width="23.453125" style="177" customWidth="1"/>
    <col min="19" max="19" width="16.7265625" style="177" customWidth="1"/>
    <col min="20" max="20" width="22.54296875" style="177" customWidth="1"/>
    <col min="21" max="21" width="24.1796875" style="177" customWidth="1"/>
    <col min="22" max="22" width="29.453125" style="177" customWidth="1"/>
    <col min="23" max="23" width="16.1796875" style="177" customWidth="1"/>
    <col min="24" max="24" width="23.54296875" style="177" customWidth="1"/>
    <col min="25" max="25" width="19.26953125" style="177" customWidth="1"/>
    <col min="26" max="30" width="14.81640625" style="177" customWidth="1"/>
    <col min="31" max="36" width="28" style="177" customWidth="1"/>
    <col min="37" max="37" width="41.54296875" style="177" customWidth="1"/>
    <col min="38" max="38" width="28" style="177" customWidth="1"/>
    <col min="39" max="39" width="38.81640625" style="177" customWidth="1"/>
    <col min="40" max="44" width="28" style="177" customWidth="1"/>
    <col min="45" max="47" width="19.7265625" style="177" customWidth="1"/>
    <col min="48" max="48" width="21.81640625" style="177" customWidth="1"/>
    <col min="49" max="69" width="8.7265625" style="177" customWidth="1"/>
    <col min="70" max="16384" width="8.7265625" style="177"/>
  </cols>
  <sheetData>
    <row r="1" spans="1:48" s="175" customFormat="1" ht="27" hidden="1" customHeight="1" x14ac:dyDescent="0.25">
      <c r="A1" s="110" t="s">
        <v>393</v>
      </c>
      <c r="B1" s="112" t="s">
        <v>503</v>
      </c>
      <c r="C1" s="115" t="s">
        <v>182</v>
      </c>
      <c r="D1" s="115" t="s">
        <v>182</v>
      </c>
      <c r="E1" s="115" t="s">
        <v>182</v>
      </c>
      <c r="F1" s="115" t="s">
        <v>182</v>
      </c>
      <c r="G1" s="115" t="s">
        <v>182</v>
      </c>
      <c r="H1" s="115" t="s">
        <v>182</v>
      </c>
      <c r="I1" s="115" t="s">
        <v>182</v>
      </c>
      <c r="J1" s="115" t="s">
        <v>182</v>
      </c>
      <c r="K1" s="115" t="s">
        <v>182</v>
      </c>
      <c r="L1" s="115" t="s">
        <v>182</v>
      </c>
      <c r="M1" s="115" t="s">
        <v>182</v>
      </c>
      <c r="N1" s="115" t="s">
        <v>182</v>
      </c>
      <c r="O1" s="115" t="s">
        <v>182</v>
      </c>
      <c r="P1" s="115" t="s">
        <v>182</v>
      </c>
      <c r="Q1" s="115" t="s">
        <v>182</v>
      </c>
      <c r="R1" s="115" t="s">
        <v>182</v>
      </c>
      <c r="S1" s="115" t="s">
        <v>182</v>
      </c>
      <c r="T1" s="115" t="s">
        <v>182</v>
      </c>
      <c r="U1" s="115" t="s">
        <v>182</v>
      </c>
      <c r="V1" s="115" t="s">
        <v>449</v>
      </c>
      <c r="W1" s="115" t="s">
        <v>449</v>
      </c>
      <c r="X1" s="115" t="s">
        <v>442</v>
      </c>
      <c r="Y1" s="115" t="s">
        <v>342</v>
      </c>
      <c r="Z1" s="154" t="s">
        <v>182</v>
      </c>
      <c r="AA1" s="115" t="s">
        <v>182</v>
      </c>
      <c r="AB1" s="115" t="s">
        <v>182</v>
      </c>
      <c r="AC1" s="115" t="s">
        <v>182</v>
      </c>
      <c r="AD1" s="115" t="s">
        <v>182</v>
      </c>
      <c r="AE1" s="115" t="s">
        <v>182</v>
      </c>
      <c r="AF1" s="115" t="s">
        <v>182</v>
      </c>
      <c r="AG1" s="115" t="s">
        <v>182</v>
      </c>
      <c r="AH1" s="115" t="s">
        <v>182</v>
      </c>
      <c r="AI1" s="115" t="s">
        <v>182</v>
      </c>
      <c r="AJ1" s="115" t="s">
        <v>182</v>
      </c>
      <c r="AK1" s="115" t="s">
        <v>182</v>
      </c>
      <c r="AL1" s="115" t="s">
        <v>182</v>
      </c>
      <c r="AM1" s="115" t="s">
        <v>182</v>
      </c>
      <c r="AN1" s="115" t="s">
        <v>182</v>
      </c>
      <c r="AO1" s="115" t="s">
        <v>182</v>
      </c>
      <c r="AP1" s="115" t="s">
        <v>182</v>
      </c>
      <c r="AQ1" s="115" t="s">
        <v>182</v>
      </c>
      <c r="AR1" s="115" t="s">
        <v>182</v>
      </c>
      <c r="AS1" s="115">
        <v>1.1100000000000001</v>
      </c>
      <c r="AT1" s="115">
        <v>1.1100000000000001</v>
      </c>
      <c r="AU1" s="115">
        <v>1.1100000000000001</v>
      </c>
      <c r="AV1" s="115" t="s">
        <v>874</v>
      </c>
    </row>
    <row r="2" spans="1:48" s="175" customFormat="1" ht="27" hidden="1" customHeight="1" x14ac:dyDescent="0.25">
      <c r="A2" s="110" t="s">
        <v>394</v>
      </c>
      <c r="B2" s="113"/>
      <c r="C2" s="115" t="s">
        <v>640</v>
      </c>
      <c r="D2" s="115" t="s">
        <v>640</v>
      </c>
      <c r="E2" s="115" t="s">
        <v>640</v>
      </c>
      <c r="F2" s="115" t="s">
        <v>640</v>
      </c>
      <c r="G2" s="115" t="s">
        <v>640</v>
      </c>
      <c r="H2" s="115" t="s">
        <v>640</v>
      </c>
      <c r="I2" s="115" t="s">
        <v>640</v>
      </c>
      <c r="J2" s="115" t="s">
        <v>640</v>
      </c>
      <c r="K2" s="115" t="s">
        <v>640</v>
      </c>
      <c r="L2" s="115" t="s">
        <v>640</v>
      </c>
      <c r="M2" s="115" t="s">
        <v>640</v>
      </c>
      <c r="N2" s="115" t="s">
        <v>640</v>
      </c>
      <c r="O2" s="115" t="s">
        <v>640</v>
      </c>
      <c r="P2" s="115" t="s">
        <v>640</v>
      </c>
      <c r="Q2" s="115" t="s">
        <v>640</v>
      </c>
      <c r="R2" s="115" t="s">
        <v>640</v>
      </c>
      <c r="S2" s="115" t="s">
        <v>640</v>
      </c>
      <c r="T2" s="115" t="s">
        <v>640</v>
      </c>
      <c r="U2" s="115" t="s">
        <v>640</v>
      </c>
      <c r="V2" s="115" t="s">
        <v>834</v>
      </c>
      <c r="W2" s="115" t="s">
        <v>834</v>
      </c>
      <c r="X2" s="154" t="s">
        <v>598</v>
      </c>
      <c r="Y2" s="154" t="s">
        <v>504</v>
      </c>
      <c r="Z2" s="115" t="s">
        <v>640</v>
      </c>
      <c r="AA2" s="115" t="s">
        <v>640</v>
      </c>
      <c r="AB2" s="115" t="s">
        <v>640</v>
      </c>
      <c r="AC2" s="115" t="s">
        <v>640</v>
      </c>
      <c r="AD2" s="115" t="s">
        <v>640</v>
      </c>
      <c r="AE2" s="115"/>
      <c r="AF2" s="115"/>
      <c r="AG2" s="115"/>
      <c r="AH2" s="115"/>
      <c r="AI2" s="115"/>
      <c r="AJ2" s="115"/>
      <c r="AK2" s="115"/>
      <c r="AL2" s="115"/>
      <c r="AM2" s="115"/>
      <c r="AN2" s="115"/>
      <c r="AO2" s="115"/>
      <c r="AP2" s="115"/>
      <c r="AQ2" s="115"/>
      <c r="AR2" s="115"/>
      <c r="AS2" s="115" t="s">
        <v>613</v>
      </c>
      <c r="AT2" s="115" t="s">
        <v>613</v>
      </c>
      <c r="AU2" s="115" t="s">
        <v>613</v>
      </c>
      <c r="AV2" s="115" t="s">
        <v>613</v>
      </c>
    </row>
    <row r="3" spans="1:48" s="175" customFormat="1" ht="27" hidden="1" customHeight="1" x14ac:dyDescent="0.25">
      <c r="A3" s="110" t="s">
        <v>163</v>
      </c>
      <c r="B3" s="156"/>
      <c r="C3" s="153" t="s">
        <v>138</v>
      </c>
      <c r="D3" s="153" t="s">
        <v>139</v>
      </c>
      <c r="E3" s="153" t="s">
        <v>140</v>
      </c>
      <c r="F3" s="153" t="s">
        <v>141</v>
      </c>
      <c r="G3" s="153" t="s">
        <v>142</v>
      </c>
      <c r="H3" s="153" t="s">
        <v>143</v>
      </c>
      <c r="I3" s="153" t="s">
        <v>506</v>
      </c>
      <c r="J3" s="153" t="s">
        <v>507</v>
      </c>
      <c r="K3" s="153" t="s">
        <v>146</v>
      </c>
      <c r="L3" s="153" t="s">
        <v>147</v>
      </c>
      <c r="M3" s="153" t="s">
        <v>148</v>
      </c>
      <c r="N3" s="154" t="s">
        <v>518</v>
      </c>
      <c r="O3" s="154" t="s">
        <v>519</v>
      </c>
      <c r="P3" s="154" t="s">
        <v>520</v>
      </c>
      <c r="Q3" s="154" t="s">
        <v>521</v>
      </c>
      <c r="R3" s="154" t="s">
        <v>522</v>
      </c>
      <c r="S3" s="154" t="s">
        <v>523</v>
      </c>
      <c r="T3" s="154" t="s">
        <v>560</v>
      </c>
      <c r="U3" s="154" t="s">
        <v>561</v>
      </c>
      <c r="V3" s="122" t="s">
        <v>809</v>
      </c>
      <c r="W3" s="122" t="s">
        <v>810</v>
      </c>
      <c r="X3" s="154" t="s">
        <v>599</v>
      </c>
      <c r="Y3" s="154" t="s">
        <v>602</v>
      </c>
      <c r="Z3" s="116" t="s">
        <v>144</v>
      </c>
      <c r="AA3" s="153" t="s">
        <v>145</v>
      </c>
      <c r="AB3" s="153" t="s">
        <v>566</v>
      </c>
      <c r="AC3" s="153" t="s">
        <v>567</v>
      </c>
      <c r="AD3" s="153" t="s">
        <v>568</v>
      </c>
      <c r="AE3" s="122" t="s">
        <v>855</v>
      </c>
      <c r="AF3" s="122" t="s">
        <v>856</v>
      </c>
      <c r="AG3" s="122" t="s">
        <v>857</v>
      </c>
      <c r="AH3" s="122" t="s">
        <v>858</v>
      </c>
      <c r="AI3" s="122" t="s">
        <v>859</v>
      </c>
      <c r="AJ3" s="122" t="s">
        <v>860</v>
      </c>
      <c r="AK3" s="122" t="s">
        <v>861</v>
      </c>
      <c r="AL3" s="122" t="s">
        <v>862</v>
      </c>
      <c r="AM3" s="122" t="s">
        <v>863</v>
      </c>
      <c r="AN3" s="122" t="s">
        <v>864</v>
      </c>
      <c r="AO3" s="122" t="s">
        <v>865</v>
      </c>
      <c r="AP3" s="122" t="s">
        <v>866</v>
      </c>
      <c r="AQ3" s="122" t="s">
        <v>867</v>
      </c>
      <c r="AR3" s="122" t="s">
        <v>868</v>
      </c>
      <c r="AS3" s="122" t="s">
        <v>854</v>
      </c>
      <c r="AT3" s="122" t="s">
        <v>883</v>
      </c>
      <c r="AU3" s="122" t="s">
        <v>853</v>
      </c>
      <c r="AV3" s="122" t="s">
        <v>875</v>
      </c>
    </row>
    <row r="4" spans="1:48" s="175" customFormat="1" ht="27" hidden="1" customHeight="1" x14ac:dyDescent="0.25">
      <c r="A4" s="110" t="s">
        <v>162</v>
      </c>
      <c r="B4" s="156"/>
      <c r="C4" s="153" t="s">
        <v>149</v>
      </c>
      <c r="D4" s="153" t="s">
        <v>149</v>
      </c>
      <c r="E4" s="153" t="s">
        <v>149</v>
      </c>
      <c r="F4" s="153" t="s">
        <v>149</v>
      </c>
      <c r="G4" s="153" t="s">
        <v>149</v>
      </c>
      <c r="H4" s="153" t="s">
        <v>149</v>
      </c>
      <c r="I4" s="153" t="s">
        <v>149</v>
      </c>
      <c r="J4" s="153" t="s">
        <v>149</v>
      </c>
      <c r="K4" s="153" t="s">
        <v>149</v>
      </c>
      <c r="L4" s="153" t="s">
        <v>150</v>
      </c>
      <c r="M4" s="153" t="s">
        <v>150</v>
      </c>
      <c r="N4" s="153" t="s">
        <v>516</v>
      </c>
      <c r="O4" s="154" t="s">
        <v>516</v>
      </c>
      <c r="P4" s="154" t="s">
        <v>150</v>
      </c>
      <c r="Q4" s="154" t="s">
        <v>516</v>
      </c>
      <c r="R4" s="154" t="s">
        <v>150</v>
      </c>
      <c r="S4" s="154" t="s">
        <v>516</v>
      </c>
      <c r="T4" s="153" t="s">
        <v>516</v>
      </c>
      <c r="U4" s="153" t="s">
        <v>516</v>
      </c>
      <c r="V4" s="153" t="s">
        <v>516</v>
      </c>
      <c r="W4" s="153" t="s">
        <v>516</v>
      </c>
      <c r="X4" s="153" t="s">
        <v>516</v>
      </c>
      <c r="Y4" s="153" t="s">
        <v>516</v>
      </c>
      <c r="Z4" s="116" t="s">
        <v>149</v>
      </c>
      <c r="AA4" s="153" t="s">
        <v>516</v>
      </c>
      <c r="AB4" s="153" t="s">
        <v>516</v>
      </c>
      <c r="AC4" s="153" t="s">
        <v>516</v>
      </c>
      <c r="AD4" s="153" t="s">
        <v>516</v>
      </c>
      <c r="AE4" s="144" t="s">
        <v>753</v>
      </c>
      <c r="AF4" s="157" t="s">
        <v>283</v>
      </c>
      <c r="AG4" s="157" t="s">
        <v>283</v>
      </c>
      <c r="AH4" s="157" t="s">
        <v>283</v>
      </c>
      <c r="AI4" s="157" t="s">
        <v>283</v>
      </c>
      <c r="AJ4" s="144" t="s">
        <v>753</v>
      </c>
      <c r="AK4" s="157" t="s">
        <v>287</v>
      </c>
      <c r="AL4" s="157" t="s">
        <v>287</v>
      </c>
      <c r="AM4" s="157" t="s">
        <v>287</v>
      </c>
      <c r="AN4" s="157" t="s">
        <v>287</v>
      </c>
      <c r="AO4" s="157" t="s">
        <v>287</v>
      </c>
      <c r="AP4" s="144" t="s">
        <v>753</v>
      </c>
      <c r="AQ4" s="144" t="s">
        <v>753</v>
      </c>
      <c r="AR4" s="144" t="s">
        <v>753</v>
      </c>
      <c r="AS4" s="153" t="s">
        <v>516</v>
      </c>
      <c r="AT4" s="153" t="s">
        <v>516</v>
      </c>
      <c r="AU4" s="153" t="s">
        <v>516</v>
      </c>
      <c r="AV4" s="144" t="s">
        <v>516</v>
      </c>
    </row>
    <row r="5" spans="1:48" s="175" customFormat="1" ht="41" hidden="1" customHeight="1" x14ac:dyDescent="0.25">
      <c r="A5" s="110" t="s">
        <v>395</v>
      </c>
      <c r="B5" s="158"/>
      <c r="C5" s="154" t="s">
        <v>160</v>
      </c>
      <c r="D5" s="116" t="s">
        <v>172</v>
      </c>
      <c r="E5" s="116"/>
      <c r="F5" s="116" t="s">
        <v>505</v>
      </c>
      <c r="G5" s="116" t="s">
        <v>512</v>
      </c>
      <c r="H5" s="116" t="s">
        <v>513</v>
      </c>
      <c r="I5" s="116" t="s">
        <v>514</v>
      </c>
      <c r="J5" s="116" t="s">
        <v>515</v>
      </c>
      <c r="K5" s="116" t="s">
        <v>161</v>
      </c>
      <c r="L5" s="154" t="s">
        <v>180</v>
      </c>
      <c r="M5" s="154" t="s">
        <v>181</v>
      </c>
      <c r="N5" s="154" t="s">
        <v>528</v>
      </c>
      <c r="O5" s="154" t="s">
        <v>529</v>
      </c>
      <c r="P5" s="154" t="s">
        <v>528</v>
      </c>
      <c r="Q5" s="154" t="s">
        <v>529</v>
      </c>
      <c r="R5" s="154" t="s">
        <v>528</v>
      </c>
      <c r="S5" s="154" t="s">
        <v>529</v>
      </c>
      <c r="T5" s="154" t="s">
        <v>564</v>
      </c>
      <c r="U5" s="154" t="s">
        <v>565</v>
      </c>
      <c r="V5" s="115" t="s">
        <v>811</v>
      </c>
      <c r="W5" s="115" t="s">
        <v>812</v>
      </c>
      <c r="X5" s="154" t="s">
        <v>601</v>
      </c>
      <c r="Y5" s="154" t="s">
        <v>604</v>
      </c>
      <c r="Z5" s="116" t="s">
        <v>517</v>
      </c>
      <c r="AA5" s="154" t="s">
        <v>179</v>
      </c>
      <c r="AB5" s="115" t="s">
        <v>572</v>
      </c>
      <c r="AC5" s="115" t="s">
        <v>573</v>
      </c>
      <c r="AD5" s="115" t="s">
        <v>702</v>
      </c>
      <c r="AE5" s="122"/>
      <c r="AF5" s="153" t="s">
        <v>285</v>
      </c>
      <c r="AG5" s="153" t="s">
        <v>286</v>
      </c>
      <c r="AH5" s="153" t="s">
        <v>284</v>
      </c>
      <c r="AI5" s="153" t="s">
        <v>131</v>
      </c>
      <c r="AJ5" s="122"/>
      <c r="AK5" s="153" t="s">
        <v>288</v>
      </c>
      <c r="AL5" s="115" t="s">
        <v>289</v>
      </c>
      <c r="AM5" s="115" t="s">
        <v>290</v>
      </c>
      <c r="AN5" s="115" t="s">
        <v>132</v>
      </c>
      <c r="AO5" s="115" t="s">
        <v>133</v>
      </c>
      <c r="AP5" s="115"/>
      <c r="AQ5" s="115"/>
      <c r="AR5" s="115"/>
      <c r="AS5" s="115" t="s">
        <v>814</v>
      </c>
      <c r="AT5" s="115" t="s">
        <v>815</v>
      </c>
      <c r="AU5" s="115" t="s">
        <v>816</v>
      </c>
      <c r="AV5" s="115" t="s">
        <v>876</v>
      </c>
    </row>
    <row r="6" spans="1:48" s="175" customFormat="1" ht="27" hidden="1" customHeight="1" x14ac:dyDescent="0.25">
      <c r="A6" s="110" t="s">
        <v>166</v>
      </c>
      <c r="B6" s="112"/>
      <c r="C6" s="115" t="s">
        <v>134</v>
      </c>
      <c r="D6" s="115" t="s">
        <v>134</v>
      </c>
      <c r="E6" s="115" t="s">
        <v>339</v>
      </c>
      <c r="F6" s="115" t="s">
        <v>134</v>
      </c>
      <c r="G6" s="115" t="s">
        <v>134</v>
      </c>
      <c r="H6" s="115" t="s">
        <v>134</v>
      </c>
      <c r="I6" s="115" t="s">
        <v>134</v>
      </c>
      <c r="J6" s="115" t="s">
        <v>134</v>
      </c>
      <c r="K6" s="115" t="s">
        <v>134</v>
      </c>
      <c r="L6" s="115" t="s">
        <v>134</v>
      </c>
      <c r="M6" s="115" t="s">
        <v>134</v>
      </c>
      <c r="N6" s="154" t="s">
        <v>674</v>
      </c>
      <c r="O6" s="115" t="s">
        <v>134</v>
      </c>
      <c r="P6" s="154" t="s">
        <v>674</v>
      </c>
      <c r="Q6" s="115" t="s">
        <v>134</v>
      </c>
      <c r="R6" s="154" t="s">
        <v>674</v>
      </c>
      <c r="S6" s="115" t="s">
        <v>134</v>
      </c>
      <c r="T6" s="115" t="s">
        <v>134</v>
      </c>
      <c r="U6" s="115" t="s">
        <v>134</v>
      </c>
      <c r="V6" s="122" t="s">
        <v>134</v>
      </c>
      <c r="W6" s="122" t="s">
        <v>813</v>
      </c>
      <c r="X6" s="154" t="s">
        <v>134</v>
      </c>
      <c r="Y6" s="154" t="s">
        <v>134</v>
      </c>
      <c r="Z6" s="154" t="s">
        <v>178</v>
      </c>
      <c r="AA6" s="115" t="s">
        <v>134</v>
      </c>
      <c r="AB6" s="154" t="s">
        <v>597</v>
      </c>
      <c r="AC6" s="115" t="s">
        <v>134</v>
      </c>
      <c r="AD6" s="115" t="s">
        <v>134</v>
      </c>
      <c r="AE6" s="115" t="s">
        <v>178</v>
      </c>
      <c r="AF6" s="122" t="s">
        <v>183</v>
      </c>
      <c r="AG6" s="122" t="s">
        <v>183</v>
      </c>
      <c r="AH6" s="122" t="s">
        <v>183</v>
      </c>
      <c r="AI6" s="122" t="s">
        <v>183</v>
      </c>
      <c r="AJ6" s="115" t="s">
        <v>178</v>
      </c>
      <c r="AK6" s="122" t="s">
        <v>183</v>
      </c>
      <c r="AL6" s="122" t="s">
        <v>183</v>
      </c>
      <c r="AM6" s="122" t="s">
        <v>183</v>
      </c>
      <c r="AN6" s="122" t="s">
        <v>183</v>
      </c>
      <c r="AO6" s="122" t="s">
        <v>183</v>
      </c>
      <c r="AP6" s="115" t="s">
        <v>178</v>
      </c>
      <c r="AQ6" s="115" t="s">
        <v>178</v>
      </c>
      <c r="AR6" s="122" t="s">
        <v>183</v>
      </c>
      <c r="AS6" s="122" t="s">
        <v>134</v>
      </c>
      <c r="AT6" s="122" t="s">
        <v>134</v>
      </c>
      <c r="AU6" s="122" t="s">
        <v>134</v>
      </c>
      <c r="AV6" s="122" t="s">
        <v>134</v>
      </c>
    </row>
    <row r="7" spans="1:48" s="175" customFormat="1" ht="27" hidden="1" customHeight="1" x14ac:dyDescent="0.25">
      <c r="A7" s="110" t="s">
        <v>167</v>
      </c>
      <c r="B7" s="112"/>
      <c r="C7" s="115" t="s">
        <v>169</v>
      </c>
      <c r="D7" s="115" t="s">
        <v>169</v>
      </c>
      <c r="E7" s="115" t="s">
        <v>171</v>
      </c>
      <c r="F7" s="115" t="s">
        <v>173</v>
      </c>
      <c r="G7" s="115" t="s">
        <v>173</v>
      </c>
      <c r="H7" s="115" t="s">
        <v>173</v>
      </c>
      <c r="I7" s="115" t="s">
        <v>173</v>
      </c>
      <c r="J7" s="115" t="s">
        <v>173</v>
      </c>
      <c r="K7" s="115" t="s">
        <v>169</v>
      </c>
      <c r="L7" s="115" t="s">
        <v>173</v>
      </c>
      <c r="M7" s="115" t="s">
        <v>173</v>
      </c>
      <c r="N7" s="154" t="s">
        <v>171</v>
      </c>
      <c r="O7" s="115" t="s">
        <v>169</v>
      </c>
      <c r="P7" s="154" t="s">
        <v>171</v>
      </c>
      <c r="Q7" s="115" t="s">
        <v>169</v>
      </c>
      <c r="R7" s="154" t="s">
        <v>171</v>
      </c>
      <c r="S7" s="115" t="s">
        <v>169</v>
      </c>
      <c r="T7" s="115" t="s">
        <v>169</v>
      </c>
      <c r="U7" s="115" t="s">
        <v>169</v>
      </c>
      <c r="V7" s="122" t="s">
        <v>173</v>
      </c>
      <c r="W7" s="122" t="s">
        <v>171</v>
      </c>
      <c r="X7" s="154" t="s">
        <v>185</v>
      </c>
      <c r="Y7" s="154" t="s">
        <v>185</v>
      </c>
      <c r="Z7" s="154" t="s">
        <v>171</v>
      </c>
      <c r="AA7" s="115" t="s">
        <v>173</v>
      </c>
      <c r="AB7" s="154" t="s">
        <v>171</v>
      </c>
      <c r="AC7" s="115" t="s">
        <v>169</v>
      </c>
      <c r="AD7" s="115" t="s">
        <v>169</v>
      </c>
      <c r="AE7" s="115" t="s">
        <v>171</v>
      </c>
      <c r="AF7" s="122" t="s">
        <v>183</v>
      </c>
      <c r="AG7" s="122" t="s">
        <v>183</v>
      </c>
      <c r="AH7" s="122" t="s">
        <v>183</v>
      </c>
      <c r="AI7" s="122" t="s">
        <v>183</v>
      </c>
      <c r="AJ7" s="115" t="s">
        <v>171</v>
      </c>
      <c r="AK7" s="122" t="s">
        <v>183</v>
      </c>
      <c r="AL7" s="122" t="s">
        <v>183</v>
      </c>
      <c r="AM7" s="122" t="s">
        <v>183</v>
      </c>
      <c r="AN7" s="122" t="s">
        <v>183</v>
      </c>
      <c r="AO7" s="122" t="s">
        <v>183</v>
      </c>
      <c r="AP7" s="115" t="s">
        <v>171</v>
      </c>
      <c r="AQ7" s="115" t="s">
        <v>171</v>
      </c>
      <c r="AR7" s="122" t="s">
        <v>183</v>
      </c>
      <c r="AS7" s="122" t="s">
        <v>185</v>
      </c>
      <c r="AT7" s="122" t="s">
        <v>185</v>
      </c>
      <c r="AU7" s="122" t="s">
        <v>185</v>
      </c>
      <c r="AV7" s="122" t="s">
        <v>169</v>
      </c>
    </row>
    <row r="8" spans="1:48" s="175" customFormat="1" ht="27" hidden="1" customHeight="1" x14ac:dyDescent="0.25">
      <c r="A8" s="110" t="s">
        <v>168</v>
      </c>
      <c r="B8" s="112"/>
      <c r="C8" s="115">
        <v>80</v>
      </c>
      <c r="D8" s="115">
        <v>20</v>
      </c>
      <c r="E8" s="115" t="s">
        <v>134</v>
      </c>
      <c r="F8" s="115" t="s">
        <v>174</v>
      </c>
      <c r="G8" s="115" t="s">
        <v>174</v>
      </c>
      <c r="H8" s="115" t="s">
        <v>174</v>
      </c>
      <c r="I8" s="115" t="s">
        <v>174</v>
      </c>
      <c r="J8" s="115" t="s">
        <v>174</v>
      </c>
      <c r="K8" s="115">
        <v>1500</v>
      </c>
      <c r="L8" s="115" t="s">
        <v>174</v>
      </c>
      <c r="M8" s="115" t="s">
        <v>174</v>
      </c>
      <c r="N8" s="154" t="s">
        <v>134</v>
      </c>
      <c r="O8" s="115">
        <v>250</v>
      </c>
      <c r="P8" s="154" t="s">
        <v>134</v>
      </c>
      <c r="Q8" s="115">
        <v>250</v>
      </c>
      <c r="R8" s="154" t="s">
        <v>134</v>
      </c>
      <c r="S8" s="115">
        <v>250</v>
      </c>
      <c r="T8" s="115">
        <v>250</v>
      </c>
      <c r="U8" s="115">
        <v>250</v>
      </c>
      <c r="V8" s="122" t="s">
        <v>174</v>
      </c>
      <c r="W8" s="122" t="s">
        <v>134</v>
      </c>
      <c r="X8" s="154">
        <v>10</v>
      </c>
      <c r="Y8" s="154">
        <v>10</v>
      </c>
      <c r="Z8" s="154" t="s">
        <v>134</v>
      </c>
      <c r="AA8" s="115" t="s">
        <v>174</v>
      </c>
      <c r="AB8" s="154" t="s">
        <v>134</v>
      </c>
      <c r="AC8" s="115">
        <v>255</v>
      </c>
      <c r="AD8" s="115">
        <v>1500</v>
      </c>
      <c r="AE8" s="115" t="s">
        <v>134</v>
      </c>
      <c r="AF8" s="122" t="s">
        <v>183</v>
      </c>
      <c r="AG8" s="122" t="s">
        <v>183</v>
      </c>
      <c r="AH8" s="122" t="s">
        <v>183</v>
      </c>
      <c r="AI8" s="122" t="s">
        <v>183</v>
      </c>
      <c r="AJ8" s="115" t="s">
        <v>134</v>
      </c>
      <c r="AK8" s="122" t="s">
        <v>183</v>
      </c>
      <c r="AL8" s="122" t="s">
        <v>183</v>
      </c>
      <c r="AM8" s="122" t="s">
        <v>183</v>
      </c>
      <c r="AN8" s="122" t="s">
        <v>183</v>
      </c>
      <c r="AO8" s="122" t="s">
        <v>183</v>
      </c>
      <c r="AP8" s="115" t="s">
        <v>134</v>
      </c>
      <c r="AQ8" s="115" t="s">
        <v>134</v>
      </c>
      <c r="AR8" s="122" t="s">
        <v>183</v>
      </c>
      <c r="AS8" s="122">
        <v>10</v>
      </c>
      <c r="AT8" s="122">
        <v>10</v>
      </c>
      <c r="AU8" s="122">
        <v>10</v>
      </c>
      <c r="AV8" s="122">
        <v>255</v>
      </c>
    </row>
    <row r="9" spans="1:48" s="175" customFormat="1" ht="27" hidden="1" customHeight="1" x14ac:dyDescent="0.25">
      <c r="A9" s="110" t="s">
        <v>396</v>
      </c>
      <c r="B9" s="156"/>
      <c r="C9" s="153"/>
      <c r="D9" s="153"/>
      <c r="E9" s="153"/>
      <c r="F9" s="153"/>
      <c r="G9" s="153"/>
      <c r="H9" s="115"/>
      <c r="I9" s="115" t="s">
        <v>608</v>
      </c>
      <c r="J9" s="115" t="s">
        <v>608</v>
      </c>
      <c r="K9" s="153"/>
      <c r="L9" s="153"/>
      <c r="M9" s="153"/>
      <c r="N9" s="115"/>
      <c r="O9" s="115"/>
      <c r="P9" s="115"/>
      <c r="Q9" s="115"/>
      <c r="R9" s="115"/>
      <c r="S9" s="115"/>
      <c r="T9" s="115"/>
      <c r="U9" s="115"/>
      <c r="V9" s="144"/>
      <c r="W9" s="144"/>
      <c r="X9" s="115"/>
      <c r="Y9" s="115"/>
      <c r="Z9" s="116"/>
      <c r="AA9" s="153" t="s">
        <v>700</v>
      </c>
      <c r="AB9" s="153" t="s">
        <v>700</v>
      </c>
      <c r="AC9" s="153" t="s">
        <v>701</v>
      </c>
      <c r="AD9" s="153" t="s">
        <v>703</v>
      </c>
      <c r="AE9" s="144" t="s">
        <v>734</v>
      </c>
      <c r="AF9" s="144" t="s">
        <v>705</v>
      </c>
      <c r="AG9" s="144" t="s">
        <v>705</v>
      </c>
      <c r="AH9" s="144" t="s">
        <v>705</v>
      </c>
      <c r="AI9" s="144" t="s">
        <v>705</v>
      </c>
      <c r="AJ9" s="144" t="s">
        <v>734</v>
      </c>
      <c r="AK9" s="144" t="s">
        <v>706</v>
      </c>
      <c r="AL9" s="144" t="s">
        <v>706</v>
      </c>
      <c r="AM9" s="144" t="s">
        <v>706</v>
      </c>
      <c r="AN9" s="144" t="s">
        <v>706</v>
      </c>
      <c r="AO9" s="144" t="s">
        <v>706</v>
      </c>
      <c r="AP9" s="144" t="s">
        <v>734</v>
      </c>
      <c r="AQ9" s="144" t="s">
        <v>734</v>
      </c>
      <c r="AR9" s="144" t="s">
        <v>707</v>
      </c>
      <c r="AS9" s="144"/>
      <c r="AT9" s="144"/>
      <c r="AU9" s="144"/>
      <c r="AV9" s="144" t="s">
        <v>877</v>
      </c>
    </row>
    <row r="10" spans="1:48" s="175" customFormat="1" ht="35.15" hidden="1" customHeight="1" x14ac:dyDescent="0.2">
      <c r="A10" s="86" t="s">
        <v>752</v>
      </c>
      <c r="B10" s="87"/>
      <c r="C10" s="87" t="s">
        <v>755</v>
      </c>
      <c r="D10" s="87" t="s">
        <v>756</v>
      </c>
      <c r="E10" s="87" t="s">
        <v>757</v>
      </c>
      <c r="F10" s="87" t="s">
        <v>758</v>
      </c>
      <c r="G10" s="87" t="s">
        <v>759</v>
      </c>
      <c r="H10" s="88" t="s">
        <v>833</v>
      </c>
      <c r="I10" s="88" t="s">
        <v>805</v>
      </c>
      <c r="J10" s="88" t="s">
        <v>832</v>
      </c>
      <c r="K10" s="87" t="s">
        <v>760</v>
      </c>
      <c r="L10" s="87" t="s">
        <v>761</v>
      </c>
      <c r="M10" s="87" t="s">
        <v>762</v>
      </c>
      <c r="N10" s="88"/>
      <c r="O10" s="88"/>
      <c r="P10" s="88"/>
      <c r="Q10" s="88"/>
      <c r="R10" s="88"/>
      <c r="S10" s="88"/>
      <c r="T10" s="88"/>
      <c r="U10" s="88"/>
      <c r="V10" s="88"/>
      <c r="W10" s="88"/>
      <c r="X10" s="88"/>
      <c r="Y10" s="88"/>
      <c r="Z10" s="89"/>
      <c r="AA10" s="87" t="s">
        <v>1002</v>
      </c>
      <c r="AB10" s="87"/>
      <c r="AC10" s="87"/>
      <c r="AD10" s="87"/>
      <c r="AE10" s="90"/>
      <c r="AF10" s="90"/>
      <c r="AG10" s="90"/>
      <c r="AH10" s="90"/>
      <c r="AI10" s="90"/>
      <c r="AJ10" s="90"/>
      <c r="AK10" s="90"/>
      <c r="AL10" s="90"/>
      <c r="AM10" s="90"/>
      <c r="AN10" s="90"/>
      <c r="AO10" s="90"/>
      <c r="AP10" s="90"/>
      <c r="AQ10" s="90"/>
      <c r="AR10" s="90"/>
      <c r="AS10" s="90"/>
      <c r="AT10" s="90"/>
      <c r="AU10" s="90"/>
      <c r="AV10" s="90"/>
    </row>
    <row r="11" spans="1:48" s="176" customFormat="1" ht="14" x14ac:dyDescent="0.3">
      <c r="A11" s="67"/>
      <c r="B11" s="68"/>
      <c r="C11" s="213">
        <f>Cover!$C$2</f>
        <v>0</v>
      </c>
      <c r="D11" s="213"/>
      <c r="E11" s="213"/>
      <c r="F11" s="214"/>
      <c r="G11" s="214"/>
      <c r="H11" s="214"/>
      <c r="I11" s="214"/>
      <c r="J11" s="214"/>
      <c r="K11" s="214"/>
      <c r="L11" s="214"/>
      <c r="M11" s="214"/>
      <c r="N11" s="215"/>
      <c r="O11" s="215"/>
      <c r="P11" s="215"/>
      <c r="Q11" s="215"/>
      <c r="R11" s="215"/>
      <c r="S11" s="215"/>
      <c r="T11" s="215"/>
      <c r="U11" s="215"/>
      <c r="V11" s="215"/>
      <c r="W11" s="215"/>
      <c r="X11" s="215"/>
      <c r="Y11" s="215"/>
      <c r="Z11" s="214"/>
      <c r="AA11" s="214"/>
      <c r="AB11" s="214"/>
      <c r="AC11" s="214"/>
      <c r="AD11" s="214"/>
      <c r="AE11" s="216"/>
      <c r="AF11" s="217"/>
      <c r="AG11" s="217"/>
      <c r="AH11" s="217"/>
      <c r="AI11" s="217"/>
      <c r="AJ11" s="216"/>
      <c r="AK11" s="217"/>
      <c r="AL11" s="217"/>
      <c r="AM11" s="217"/>
      <c r="AN11" s="217"/>
      <c r="AO11" s="217"/>
      <c r="AP11" s="216"/>
      <c r="AQ11" s="216"/>
      <c r="AR11" s="216"/>
      <c r="AS11" s="216"/>
      <c r="AT11" s="216"/>
      <c r="AU11" s="216"/>
      <c r="AV11" s="216"/>
    </row>
    <row r="12" spans="1:48" s="228" customFormat="1" ht="130" x14ac:dyDescent="0.3">
      <c r="A12" s="226" t="s">
        <v>164</v>
      </c>
      <c r="B12" s="227"/>
      <c r="C12" s="232" t="s">
        <v>7</v>
      </c>
      <c r="D12" s="232" t="s">
        <v>152</v>
      </c>
      <c r="E12" s="232" t="s">
        <v>153</v>
      </c>
      <c r="F12" s="232" t="s">
        <v>154</v>
      </c>
      <c r="G12" s="232" t="s">
        <v>508</v>
      </c>
      <c r="H12" s="232" t="s">
        <v>509</v>
      </c>
      <c r="I12" s="232" t="s">
        <v>510</v>
      </c>
      <c r="J12" s="232" t="s">
        <v>511</v>
      </c>
      <c r="K12" s="232" t="s">
        <v>157</v>
      </c>
      <c r="L12" s="308" t="s">
        <v>158</v>
      </c>
      <c r="M12" s="308" t="s">
        <v>159</v>
      </c>
      <c r="N12" s="232" t="s">
        <v>675</v>
      </c>
      <c r="O12" s="232" t="s">
        <v>524</v>
      </c>
      <c r="P12" s="308" t="s">
        <v>525</v>
      </c>
      <c r="Q12" s="232" t="s">
        <v>526</v>
      </c>
      <c r="R12" s="308" t="s">
        <v>525</v>
      </c>
      <c r="S12" s="232" t="s">
        <v>527</v>
      </c>
      <c r="T12" s="232" t="s">
        <v>562</v>
      </c>
      <c r="U12" s="232" t="s">
        <v>563</v>
      </c>
      <c r="V12" s="232" t="s">
        <v>641</v>
      </c>
      <c r="W12" s="232" t="s">
        <v>642</v>
      </c>
      <c r="X12" s="232" t="s">
        <v>600</v>
      </c>
      <c r="Y12" s="232" t="s">
        <v>603</v>
      </c>
      <c r="Z12" s="232" t="s">
        <v>155</v>
      </c>
      <c r="AA12" s="232" t="s">
        <v>156</v>
      </c>
      <c r="AB12" s="232" t="s">
        <v>569</v>
      </c>
      <c r="AC12" s="232" t="s">
        <v>570</v>
      </c>
      <c r="AD12" s="232" t="s">
        <v>571</v>
      </c>
      <c r="AE12" s="232" t="s">
        <v>379</v>
      </c>
      <c r="AF12" s="232" t="s">
        <v>381</v>
      </c>
      <c r="AG12" s="232" t="s">
        <v>380</v>
      </c>
      <c r="AH12" s="232" t="s">
        <v>384</v>
      </c>
      <c r="AI12" s="232" t="s">
        <v>382</v>
      </c>
      <c r="AJ12" s="232" t="s">
        <v>383</v>
      </c>
      <c r="AK12" s="232" t="s">
        <v>385</v>
      </c>
      <c r="AL12" s="232" t="s">
        <v>386</v>
      </c>
      <c r="AM12" s="232" t="s">
        <v>387</v>
      </c>
      <c r="AN12" s="232" t="s">
        <v>388</v>
      </c>
      <c r="AO12" s="232" t="s">
        <v>389</v>
      </c>
      <c r="AP12" s="232" t="s">
        <v>390</v>
      </c>
      <c r="AQ12" s="232" t="s">
        <v>392</v>
      </c>
      <c r="AR12" s="232" t="s">
        <v>391</v>
      </c>
      <c r="AS12" s="232" t="s">
        <v>814</v>
      </c>
      <c r="AT12" s="232" t="s">
        <v>815</v>
      </c>
      <c r="AU12" s="232" t="s">
        <v>816</v>
      </c>
      <c r="AV12" s="232" t="s">
        <v>876</v>
      </c>
    </row>
    <row r="13" spans="1:48" ht="12.5" customHeight="1" x14ac:dyDescent="0.25">
      <c r="A13" s="240" t="s">
        <v>165</v>
      </c>
      <c r="B13" s="241"/>
      <c r="C13" s="242"/>
      <c r="D13" s="242"/>
      <c r="E13" s="242"/>
      <c r="F13" s="243"/>
      <c r="G13" s="243"/>
      <c r="H13" s="243"/>
      <c r="I13" s="243"/>
      <c r="J13" s="243"/>
      <c r="K13" s="242"/>
      <c r="L13" s="243"/>
      <c r="M13" s="243"/>
      <c r="N13" s="244"/>
      <c r="O13" s="244"/>
      <c r="P13" s="244"/>
      <c r="Q13" s="244"/>
      <c r="R13" s="244"/>
      <c r="S13" s="244"/>
      <c r="T13" s="244"/>
      <c r="U13" s="244"/>
      <c r="V13" s="245"/>
      <c r="W13" s="244"/>
      <c r="X13" s="244"/>
      <c r="Y13" s="244"/>
      <c r="Z13" s="244"/>
      <c r="AA13" s="246"/>
      <c r="AB13" s="237"/>
      <c r="AC13" s="244"/>
      <c r="AD13" s="237"/>
      <c r="AE13" s="244"/>
      <c r="AF13" s="247"/>
      <c r="AG13" s="247"/>
      <c r="AH13" s="247"/>
      <c r="AI13" s="247"/>
      <c r="AJ13" s="244"/>
      <c r="AK13" s="247"/>
      <c r="AL13" s="247"/>
      <c r="AM13" s="247"/>
      <c r="AN13" s="247"/>
      <c r="AO13" s="247"/>
      <c r="AP13" s="244"/>
      <c r="AQ13" s="244"/>
      <c r="AR13" s="247"/>
      <c r="AS13" s="244"/>
      <c r="AT13" s="244"/>
      <c r="AU13" s="244"/>
      <c r="AV13" s="244"/>
    </row>
    <row r="14" spans="1:48" ht="12.75" customHeight="1" x14ac:dyDescent="0.25">
      <c r="A14" s="240"/>
      <c r="B14" s="241"/>
      <c r="C14" s="242"/>
      <c r="D14" s="242"/>
      <c r="E14" s="242"/>
      <c r="F14" s="243"/>
      <c r="G14" s="243"/>
      <c r="H14" s="243"/>
      <c r="I14" s="243"/>
      <c r="J14" s="243"/>
      <c r="K14" s="242"/>
      <c r="L14" s="243"/>
      <c r="M14" s="243"/>
      <c r="N14" s="244"/>
      <c r="O14" s="244"/>
      <c r="P14" s="244"/>
      <c r="Q14" s="244"/>
      <c r="R14" s="244"/>
      <c r="S14" s="244"/>
      <c r="T14" s="244"/>
      <c r="U14" s="244"/>
      <c r="V14" s="245"/>
      <c r="W14" s="244"/>
      <c r="X14" s="244"/>
      <c r="Y14" s="244"/>
      <c r="Z14" s="244"/>
      <c r="AA14" s="246"/>
      <c r="AB14" s="237"/>
      <c r="AC14" s="247"/>
      <c r="AD14" s="247"/>
      <c r="AE14" s="244"/>
      <c r="AF14" s="247"/>
      <c r="AG14" s="247"/>
      <c r="AH14" s="247"/>
      <c r="AI14" s="247"/>
      <c r="AJ14" s="244"/>
      <c r="AK14" s="247"/>
      <c r="AL14" s="247"/>
      <c r="AM14" s="247"/>
      <c r="AN14" s="247"/>
      <c r="AO14" s="247"/>
      <c r="AP14" s="244"/>
      <c r="AQ14" s="244"/>
      <c r="AR14" s="247"/>
      <c r="AS14" s="244"/>
      <c r="AT14" s="244"/>
      <c r="AU14" s="244"/>
      <c r="AV14" s="244"/>
    </row>
    <row r="15" spans="1:48" ht="12.75" customHeight="1" x14ac:dyDescent="0.25">
      <c r="A15" s="240"/>
      <c r="B15" s="241"/>
      <c r="C15" s="242"/>
      <c r="D15" s="242"/>
      <c r="E15" s="242"/>
      <c r="F15" s="243"/>
      <c r="G15" s="243"/>
      <c r="H15" s="243"/>
      <c r="I15" s="243"/>
      <c r="J15" s="243"/>
      <c r="K15" s="242"/>
      <c r="L15" s="243"/>
      <c r="M15" s="243"/>
      <c r="N15" s="244"/>
      <c r="O15" s="244"/>
      <c r="P15" s="244"/>
      <c r="Q15" s="244"/>
      <c r="R15" s="244"/>
      <c r="S15" s="244"/>
      <c r="T15" s="244"/>
      <c r="U15" s="244"/>
      <c r="V15" s="245"/>
      <c r="W15" s="244"/>
      <c r="X15" s="244"/>
      <c r="Y15" s="244"/>
      <c r="Z15" s="244"/>
      <c r="AA15" s="246"/>
      <c r="AB15" s="237"/>
      <c r="AC15" s="247"/>
      <c r="AD15" s="247"/>
      <c r="AE15" s="244"/>
      <c r="AF15" s="247"/>
      <c r="AG15" s="247"/>
      <c r="AH15" s="247"/>
      <c r="AI15" s="247"/>
      <c r="AJ15" s="244"/>
      <c r="AK15" s="247"/>
      <c r="AL15" s="247"/>
      <c r="AM15" s="247"/>
      <c r="AN15" s="247"/>
      <c r="AO15" s="247"/>
      <c r="AP15" s="244"/>
      <c r="AQ15" s="244"/>
      <c r="AR15" s="247"/>
      <c r="AS15" s="244"/>
      <c r="AT15" s="244"/>
      <c r="AU15" s="244"/>
      <c r="AV15" s="244"/>
    </row>
    <row r="16" spans="1:48" ht="12.75" customHeight="1" x14ac:dyDescent="0.25">
      <c r="A16" s="240"/>
      <c r="B16" s="241"/>
      <c r="C16" s="242"/>
      <c r="D16" s="244"/>
      <c r="E16" s="242"/>
      <c r="F16" s="243"/>
      <c r="G16" s="243"/>
      <c r="H16" s="243"/>
      <c r="I16" s="243"/>
      <c r="J16" s="243"/>
      <c r="K16" s="244"/>
      <c r="L16" s="243"/>
      <c r="M16" s="243"/>
      <c r="N16" s="244"/>
      <c r="O16" s="244"/>
      <c r="P16" s="244"/>
      <c r="Q16" s="244"/>
      <c r="R16" s="244"/>
      <c r="S16" s="244"/>
      <c r="T16" s="244"/>
      <c r="U16" s="244"/>
      <c r="V16" s="245"/>
      <c r="W16" s="244"/>
      <c r="X16" s="244"/>
      <c r="Y16" s="244"/>
      <c r="Z16" s="244"/>
      <c r="AA16" s="246"/>
      <c r="AB16" s="237"/>
      <c r="AC16" s="247"/>
      <c r="AD16" s="247"/>
      <c r="AE16" s="244"/>
      <c r="AF16" s="247"/>
      <c r="AG16" s="247"/>
      <c r="AH16" s="247"/>
      <c r="AI16" s="247"/>
      <c r="AJ16" s="244"/>
      <c r="AK16" s="247"/>
      <c r="AL16" s="247"/>
      <c r="AM16" s="247"/>
      <c r="AN16" s="247"/>
      <c r="AO16" s="247"/>
      <c r="AP16" s="244"/>
      <c r="AQ16" s="244"/>
      <c r="AR16" s="247"/>
      <c r="AS16" s="244"/>
      <c r="AT16" s="244"/>
      <c r="AU16" s="244"/>
      <c r="AV16" s="244"/>
    </row>
    <row r="17" spans="1:48" ht="12.75" customHeight="1" x14ac:dyDescent="0.25">
      <c r="A17" s="240"/>
      <c r="B17" s="241"/>
      <c r="C17" s="242"/>
      <c r="D17" s="244"/>
      <c r="E17" s="242"/>
      <c r="F17" s="243"/>
      <c r="G17" s="243"/>
      <c r="H17" s="243"/>
      <c r="I17" s="243"/>
      <c r="J17" s="243"/>
      <c r="K17" s="244"/>
      <c r="L17" s="243"/>
      <c r="M17" s="243"/>
      <c r="N17" s="244"/>
      <c r="O17" s="244"/>
      <c r="P17" s="244"/>
      <c r="Q17" s="244"/>
      <c r="R17" s="244"/>
      <c r="S17" s="244"/>
      <c r="T17" s="244"/>
      <c r="U17" s="244"/>
      <c r="V17" s="245"/>
      <c r="W17" s="244"/>
      <c r="X17" s="244"/>
      <c r="Y17" s="244"/>
      <c r="Z17" s="244"/>
      <c r="AA17" s="246"/>
      <c r="AB17" s="237"/>
      <c r="AC17" s="247"/>
      <c r="AD17" s="247"/>
      <c r="AE17" s="244"/>
      <c r="AF17" s="247"/>
      <c r="AG17" s="247"/>
      <c r="AH17" s="247"/>
      <c r="AI17" s="247"/>
      <c r="AJ17" s="244"/>
      <c r="AK17" s="247"/>
      <c r="AL17" s="247"/>
      <c r="AM17" s="247"/>
      <c r="AN17" s="247"/>
      <c r="AO17" s="247"/>
      <c r="AP17" s="244"/>
      <c r="AQ17" s="244"/>
      <c r="AR17" s="247"/>
      <c r="AS17" s="244"/>
      <c r="AT17" s="244"/>
      <c r="AU17" s="244"/>
      <c r="AV17" s="244"/>
    </row>
    <row r="18" spans="1:48" ht="12.75" customHeight="1" x14ac:dyDescent="0.25">
      <c r="A18" s="240"/>
      <c r="B18" s="241"/>
      <c r="C18" s="242"/>
      <c r="D18" s="244"/>
      <c r="E18" s="242"/>
      <c r="F18" s="243"/>
      <c r="G18" s="243"/>
      <c r="H18" s="243"/>
      <c r="I18" s="243"/>
      <c r="J18" s="243"/>
      <c r="K18" s="244"/>
      <c r="L18" s="243"/>
      <c r="M18" s="243"/>
      <c r="N18" s="244"/>
      <c r="O18" s="244"/>
      <c r="P18" s="244"/>
      <c r="Q18" s="244"/>
      <c r="R18" s="244"/>
      <c r="S18" s="244"/>
      <c r="T18" s="244"/>
      <c r="U18" s="244"/>
      <c r="V18" s="245"/>
      <c r="W18" s="244"/>
      <c r="X18" s="244"/>
      <c r="Y18" s="244"/>
      <c r="Z18" s="244"/>
      <c r="AA18" s="246"/>
      <c r="AB18" s="237"/>
      <c r="AC18" s="247"/>
      <c r="AD18" s="247"/>
      <c r="AE18" s="244"/>
      <c r="AF18" s="247"/>
      <c r="AG18" s="247"/>
      <c r="AH18" s="247"/>
      <c r="AI18" s="247"/>
      <c r="AJ18" s="244"/>
      <c r="AK18" s="247"/>
      <c r="AL18" s="247"/>
      <c r="AM18" s="247"/>
      <c r="AN18" s="247"/>
      <c r="AO18" s="247"/>
      <c r="AP18" s="244"/>
      <c r="AQ18" s="244"/>
      <c r="AR18" s="247"/>
      <c r="AS18" s="244"/>
      <c r="AT18" s="244"/>
      <c r="AU18" s="244"/>
      <c r="AV18" s="244"/>
    </row>
    <row r="19" spans="1:48" ht="12.75" customHeight="1" x14ac:dyDescent="0.25">
      <c r="A19" s="240"/>
      <c r="B19" s="241"/>
      <c r="C19" s="242"/>
      <c r="D19" s="244"/>
      <c r="E19" s="242"/>
      <c r="F19" s="243"/>
      <c r="G19" s="243"/>
      <c r="H19" s="243"/>
      <c r="I19" s="243"/>
      <c r="J19" s="243"/>
      <c r="K19" s="244"/>
      <c r="L19" s="243"/>
      <c r="M19" s="243"/>
      <c r="N19" s="244"/>
      <c r="O19" s="244"/>
      <c r="P19" s="244"/>
      <c r="Q19" s="244"/>
      <c r="R19" s="244"/>
      <c r="S19" s="244"/>
      <c r="T19" s="244"/>
      <c r="U19" s="244"/>
      <c r="V19" s="245"/>
      <c r="W19" s="244"/>
      <c r="X19" s="244"/>
      <c r="Y19" s="244"/>
      <c r="Z19" s="244"/>
      <c r="AA19" s="246"/>
      <c r="AB19" s="237"/>
      <c r="AC19" s="247"/>
      <c r="AD19" s="247"/>
      <c r="AE19" s="244"/>
      <c r="AF19" s="247"/>
      <c r="AG19" s="247"/>
      <c r="AH19" s="247"/>
      <c r="AI19" s="247"/>
      <c r="AJ19" s="244"/>
      <c r="AK19" s="247"/>
      <c r="AL19" s="247"/>
      <c r="AM19" s="247"/>
      <c r="AN19" s="247"/>
      <c r="AO19" s="247"/>
      <c r="AP19" s="244"/>
      <c r="AQ19" s="244"/>
      <c r="AR19" s="247"/>
      <c r="AS19" s="244"/>
      <c r="AT19" s="244"/>
      <c r="AU19" s="244"/>
      <c r="AV19" s="244"/>
    </row>
    <row r="20" spans="1:48" ht="12.75" customHeight="1" x14ac:dyDescent="0.25">
      <c r="A20" s="240"/>
      <c r="B20" s="241"/>
      <c r="C20" s="242"/>
      <c r="D20" s="244"/>
      <c r="E20" s="242"/>
      <c r="F20" s="243"/>
      <c r="G20" s="243"/>
      <c r="H20" s="243"/>
      <c r="I20" s="243"/>
      <c r="J20" s="243"/>
      <c r="K20" s="244"/>
      <c r="L20" s="243"/>
      <c r="M20" s="243"/>
      <c r="N20" s="244"/>
      <c r="O20" s="244"/>
      <c r="P20" s="244"/>
      <c r="Q20" s="244"/>
      <c r="R20" s="244"/>
      <c r="S20" s="244"/>
      <c r="T20" s="244"/>
      <c r="U20" s="244"/>
      <c r="V20" s="245"/>
      <c r="W20" s="244"/>
      <c r="X20" s="244"/>
      <c r="Y20" s="244"/>
      <c r="Z20" s="244"/>
      <c r="AA20" s="246"/>
      <c r="AB20" s="237"/>
      <c r="AC20" s="247"/>
      <c r="AD20" s="247"/>
      <c r="AE20" s="244"/>
      <c r="AF20" s="247"/>
      <c r="AG20" s="247"/>
      <c r="AH20" s="247"/>
      <c r="AI20" s="247"/>
      <c r="AJ20" s="244"/>
      <c r="AK20" s="247"/>
      <c r="AL20" s="247"/>
      <c r="AM20" s="247"/>
      <c r="AN20" s="247"/>
      <c r="AO20" s="247"/>
      <c r="AP20" s="244"/>
      <c r="AQ20" s="244"/>
      <c r="AR20" s="247"/>
      <c r="AS20" s="244"/>
      <c r="AT20" s="244"/>
      <c r="AU20" s="244"/>
      <c r="AV20" s="244"/>
    </row>
    <row r="21" spans="1:48" ht="12.75" customHeight="1" x14ac:dyDescent="0.25">
      <c r="A21" s="240"/>
      <c r="B21" s="241"/>
      <c r="C21" s="242"/>
      <c r="D21" s="244"/>
      <c r="E21" s="242"/>
      <c r="F21" s="243"/>
      <c r="G21" s="243"/>
      <c r="H21" s="243"/>
      <c r="I21" s="243"/>
      <c r="J21" s="243"/>
      <c r="K21" s="244"/>
      <c r="L21" s="243"/>
      <c r="M21" s="243"/>
      <c r="N21" s="244"/>
      <c r="O21" s="244"/>
      <c r="P21" s="244"/>
      <c r="Q21" s="244"/>
      <c r="R21" s="244"/>
      <c r="S21" s="244"/>
      <c r="T21" s="244"/>
      <c r="U21" s="244"/>
      <c r="V21" s="245"/>
      <c r="W21" s="244"/>
      <c r="X21" s="244"/>
      <c r="Y21" s="244"/>
      <c r="Z21" s="244"/>
      <c r="AA21" s="246"/>
      <c r="AB21" s="237"/>
      <c r="AC21" s="247"/>
      <c r="AD21" s="247"/>
      <c r="AE21" s="244"/>
      <c r="AF21" s="247"/>
      <c r="AG21" s="247"/>
      <c r="AH21" s="247"/>
      <c r="AI21" s="247"/>
      <c r="AJ21" s="244"/>
      <c r="AK21" s="247"/>
      <c r="AL21" s="247"/>
      <c r="AM21" s="247"/>
      <c r="AN21" s="247"/>
      <c r="AO21" s="247"/>
      <c r="AP21" s="244"/>
      <c r="AQ21" s="244"/>
      <c r="AR21" s="247"/>
      <c r="AS21" s="244"/>
      <c r="AT21" s="244"/>
      <c r="AU21" s="244"/>
      <c r="AV21" s="244"/>
    </row>
    <row r="22" spans="1:48" ht="12.75" customHeight="1" x14ac:dyDescent="0.25">
      <c r="A22" s="240"/>
      <c r="B22" s="241"/>
      <c r="C22" s="242"/>
      <c r="D22" s="244"/>
      <c r="E22" s="242"/>
      <c r="F22" s="243"/>
      <c r="G22" s="243"/>
      <c r="H22" s="243"/>
      <c r="I22" s="243"/>
      <c r="J22" s="243"/>
      <c r="K22" s="244"/>
      <c r="L22" s="243"/>
      <c r="M22" s="243"/>
      <c r="N22" s="244"/>
      <c r="O22" s="244"/>
      <c r="P22" s="244"/>
      <c r="Q22" s="244"/>
      <c r="R22" s="244"/>
      <c r="S22" s="244"/>
      <c r="T22" s="244"/>
      <c r="U22" s="244"/>
      <c r="V22" s="245"/>
      <c r="W22" s="244"/>
      <c r="X22" s="244"/>
      <c r="Y22" s="244"/>
      <c r="Z22" s="244"/>
      <c r="AA22" s="246"/>
      <c r="AB22" s="237"/>
      <c r="AC22" s="247"/>
      <c r="AD22" s="247"/>
      <c r="AE22" s="244"/>
      <c r="AF22" s="247"/>
      <c r="AG22" s="247"/>
      <c r="AH22" s="247"/>
      <c r="AI22" s="247"/>
      <c r="AJ22" s="244"/>
      <c r="AK22" s="247"/>
      <c r="AL22" s="247"/>
      <c r="AM22" s="247"/>
      <c r="AN22" s="247"/>
      <c r="AO22" s="247"/>
      <c r="AP22" s="244"/>
      <c r="AQ22" s="244"/>
      <c r="AR22" s="247"/>
      <c r="AS22" s="244"/>
      <c r="AT22" s="244"/>
      <c r="AU22" s="244"/>
      <c r="AV22" s="244"/>
    </row>
    <row r="23" spans="1:48" ht="12.75" customHeight="1" x14ac:dyDescent="0.25">
      <c r="A23" s="240"/>
      <c r="B23" s="241"/>
      <c r="C23" s="242"/>
      <c r="D23" s="244"/>
      <c r="E23" s="242"/>
      <c r="F23" s="243"/>
      <c r="G23" s="243"/>
      <c r="H23" s="243"/>
      <c r="I23" s="243"/>
      <c r="J23" s="243"/>
      <c r="K23" s="244"/>
      <c r="L23" s="243"/>
      <c r="M23" s="243"/>
      <c r="N23" s="244"/>
      <c r="O23" s="244"/>
      <c r="P23" s="244"/>
      <c r="Q23" s="244"/>
      <c r="R23" s="244"/>
      <c r="S23" s="244"/>
      <c r="T23" s="244"/>
      <c r="U23" s="244"/>
      <c r="V23" s="245"/>
      <c r="W23" s="244"/>
      <c r="X23" s="244"/>
      <c r="Y23" s="244"/>
      <c r="Z23" s="244"/>
      <c r="AA23" s="246"/>
      <c r="AB23" s="237"/>
      <c r="AC23" s="247"/>
      <c r="AD23" s="247"/>
      <c r="AE23" s="244"/>
      <c r="AF23" s="247"/>
      <c r="AG23" s="247"/>
      <c r="AH23" s="247"/>
      <c r="AI23" s="247"/>
      <c r="AJ23" s="244"/>
      <c r="AK23" s="247"/>
      <c r="AL23" s="247"/>
      <c r="AM23" s="247"/>
      <c r="AN23" s="247"/>
      <c r="AO23" s="247"/>
      <c r="AP23" s="244"/>
      <c r="AQ23" s="244"/>
      <c r="AR23" s="247"/>
      <c r="AS23" s="244"/>
      <c r="AT23" s="244"/>
      <c r="AU23" s="244"/>
      <c r="AV23" s="244"/>
    </row>
    <row r="24" spans="1:48" ht="12.75" customHeight="1" x14ac:dyDescent="0.25">
      <c r="A24" s="240"/>
      <c r="B24" s="241"/>
      <c r="C24" s="242"/>
      <c r="D24" s="244"/>
      <c r="E24" s="242"/>
      <c r="F24" s="243"/>
      <c r="G24" s="243"/>
      <c r="H24" s="243"/>
      <c r="I24" s="243"/>
      <c r="J24" s="243"/>
      <c r="K24" s="244"/>
      <c r="L24" s="243"/>
      <c r="M24" s="243"/>
      <c r="N24" s="244"/>
      <c r="O24" s="244"/>
      <c r="P24" s="244"/>
      <c r="Q24" s="244"/>
      <c r="R24" s="244"/>
      <c r="S24" s="244"/>
      <c r="T24" s="244"/>
      <c r="U24" s="244"/>
      <c r="V24" s="245"/>
      <c r="W24" s="244"/>
      <c r="X24" s="244"/>
      <c r="Y24" s="244"/>
      <c r="Z24" s="244"/>
      <c r="AA24" s="246"/>
      <c r="AB24" s="237"/>
      <c r="AC24" s="247"/>
      <c r="AD24" s="247"/>
      <c r="AE24" s="244"/>
      <c r="AF24" s="247"/>
      <c r="AG24" s="247"/>
      <c r="AH24" s="247"/>
      <c r="AI24" s="247"/>
      <c r="AJ24" s="244"/>
      <c r="AK24" s="247"/>
      <c r="AL24" s="247"/>
      <c r="AM24" s="247"/>
      <c r="AN24" s="247"/>
      <c r="AO24" s="247"/>
      <c r="AP24" s="244"/>
      <c r="AQ24" s="244"/>
      <c r="AR24" s="247"/>
      <c r="AS24" s="244"/>
      <c r="AT24" s="244"/>
      <c r="AU24" s="244"/>
      <c r="AV24" s="244"/>
    </row>
    <row r="25" spans="1:48" ht="12.75" customHeight="1" x14ac:dyDescent="0.25">
      <c r="A25" s="240"/>
      <c r="B25" s="241"/>
      <c r="C25" s="242"/>
      <c r="D25" s="244"/>
      <c r="E25" s="242"/>
      <c r="F25" s="243"/>
      <c r="G25" s="243"/>
      <c r="H25" s="243"/>
      <c r="I25" s="243"/>
      <c r="J25" s="243"/>
      <c r="K25" s="244"/>
      <c r="L25" s="243"/>
      <c r="M25" s="243"/>
      <c r="N25" s="244"/>
      <c r="O25" s="244"/>
      <c r="P25" s="244"/>
      <c r="Q25" s="244"/>
      <c r="R25" s="244"/>
      <c r="S25" s="244"/>
      <c r="T25" s="244"/>
      <c r="U25" s="244"/>
      <c r="V25" s="245"/>
      <c r="W25" s="244"/>
      <c r="X25" s="244"/>
      <c r="Y25" s="244"/>
      <c r="Z25" s="244"/>
      <c r="AA25" s="246"/>
      <c r="AB25" s="237"/>
      <c r="AC25" s="247"/>
      <c r="AD25" s="247"/>
      <c r="AE25" s="244"/>
      <c r="AF25" s="247"/>
      <c r="AG25" s="247"/>
      <c r="AH25" s="247"/>
      <c r="AI25" s="247"/>
      <c r="AJ25" s="244"/>
      <c r="AK25" s="247"/>
      <c r="AL25" s="247"/>
      <c r="AM25" s="247"/>
      <c r="AN25" s="247"/>
      <c r="AO25" s="247"/>
      <c r="AP25" s="244"/>
      <c r="AQ25" s="244"/>
      <c r="AR25" s="247"/>
      <c r="AS25" s="244"/>
      <c r="AT25" s="244"/>
      <c r="AU25" s="244"/>
      <c r="AV25" s="244"/>
    </row>
    <row r="26" spans="1:48" ht="12.75" customHeight="1" x14ac:dyDescent="0.25">
      <c r="A26" s="240"/>
      <c r="B26" s="241"/>
      <c r="C26" s="242"/>
      <c r="D26" s="244"/>
      <c r="E26" s="242"/>
      <c r="F26" s="243"/>
      <c r="G26" s="243"/>
      <c r="H26" s="243"/>
      <c r="I26" s="243"/>
      <c r="J26" s="243"/>
      <c r="K26" s="244"/>
      <c r="L26" s="243"/>
      <c r="M26" s="243"/>
      <c r="N26" s="244"/>
      <c r="O26" s="244"/>
      <c r="P26" s="244"/>
      <c r="Q26" s="244"/>
      <c r="R26" s="244"/>
      <c r="S26" s="244"/>
      <c r="T26" s="244"/>
      <c r="U26" s="244"/>
      <c r="V26" s="245"/>
      <c r="W26" s="244"/>
      <c r="X26" s="244"/>
      <c r="Y26" s="244"/>
      <c r="Z26" s="244"/>
      <c r="AA26" s="246"/>
      <c r="AB26" s="237"/>
      <c r="AC26" s="247"/>
      <c r="AD26" s="247"/>
      <c r="AE26" s="244"/>
      <c r="AF26" s="247"/>
      <c r="AG26" s="247"/>
      <c r="AH26" s="247"/>
      <c r="AI26" s="247"/>
      <c r="AJ26" s="244"/>
      <c r="AK26" s="247"/>
      <c r="AL26" s="247"/>
      <c r="AM26" s="247"/>
      <c r="AN26" s="247"/>
      <c r="AO26" s="247"/>
      <c r="AP26" s="244"/>
      <c r="AQ26" s="244"/>
      <c r="AR26" s="247"/>
      <c r="AS26" s="244"/>
      <c r="AT26" s="244"/>
      <c r="AU26" s="244"/>
      <c r="AV26" s="244"/>
    </row>
    <row r="27" spans="1:48" ht="12.75" customHeight="1" x14ac:dyDescent="0.25">
      <c r="A27" s="240"/>
      <c r="B27" s="241"/>
      <c r="C27" s="242"/>
      <c r="D27" s="244"/>
      <c r="E27" s="242"/>
      <c r="F27" s="243"/>
      <c r="G27" s="243"/>
      <c r="H27" s="243"/>
      <c r="I27" s="243"/>
      <c r="J27" s="243"/>
      <c r="K27" s="244"/>
      <c r="L27" s="243"/>
      <c r="M27" s="243"/>
      <c r="N27" s="244"/>
      <c r="O27" s="244"/>
      <c r="P27" s="244"/>
      <c r="Q27" s="244"/>
      <c r="R27" s="244"/>
      <c r="S27" s="244"/>
      <c r="T27" s="244"/>
      <c r="U27" s="244"/>
      <c r="V27" s="245"/>
      <c r="W27" s="244"/>
      <c r="X27" s="244"/>
      <c r="Y27" s="244"/>
      <c r="Z27" s="244"/>
      <c r="AA27" s="246"/>
      <c r="AB27" s="237"/>
      <c r="AC27" s="247"/>
      <c r="AD27" s="247"/>
      <c r="AE27" s="244"/>
      <c r="AF27" s="247"/>
      <c r="AG27" s="247"/>
      <c r="AH27" s="247"/>
      <c r="AI27" s="247"/>
      <c r="AJ27" s="244"/>
      <c r="AK27" s="247"/>
      <c r="AL27" s="247"/>
      <c r="AM27" s="247"/>
      <c r="AN27" s="247"/>
      <c r="AO27" s="247"/>
      <c r="AP27" s="244"/>
      <c r="AQ27" s="244"/>
      <c r="AR27" s="247"/>
      <c r="AS27" s="244"/>
      <c r="AT27" s="244"/>
      <c r="AU27" s="244"/>
      <c r="AV27" s="244"/>
    </row>
    <row r="28" spans="1:48" ht="12.75" customHeight="1" x14ac:dyDescent="0.25">
      <c r="A28" s="240"/>
      <c r="B28" s="241"/>
      <c r="C28" s="242"/>
      <c r="D28" s="244"/>
      <c r="E28" s="242"/>
      <c r="F28" s="243"/>
      <c r="G28" s="243"/>
      <c r="H28" s="243"/>
      <c r="I28" s="243"/>
      <c r="J28" s="243"/>
      <c r="K28" s="244"/>
      <c r="L28" s="243"/>
      <c r="M28" s="243"/>
      <c r="N28" s="244"/>
      <c r="O28" s="244"/>
      <c r="P28" s="244"/>
      <c r="Q28" s="244"/>
      <c r="R28" s="244"/>
      <c r="S28" s="244"/>
      <c r="T28" s="244"/>
      <c r="U28" s="244"/>
      <c r="V28" s="245"/>
      <c r="W28" s="244"/>
      <c r="X28" s="244"/>
      <c r="Y28" s="244"/>
      <c r="Z28" s="244"/>
      <c r="AA28" s="246"/>
      <c r="AB28" s="237"/>
      <c r="AC28" s="247"/>
      <c r="AD28" s="247"/>
      <c r="AE28" s="244"/>
      <c r="AF28" s="247"/>
      <c r="AG28" s="247"/>
      <c r="AH28" s="247"/>
      <c r="AI28" s="247"/>
      <c r="AJ28" s="244"/>
      <c r="AK28" s="247"/>
      <c r="AL28" s="247"/>
      <c r="AM28" s="247"/>
      <c r="AN28" s="247"/>
      <c r="AO28" s="247"/>
      <c r="AP28" s="244"/>
      <c r="AQ28" s="244"/>
      <c r="AR28" s="247"/>
      <c r="AS28" s="244"/>
      <c r="AT28" s="244"/>
      <c r="AU28" s="244"/>
      <c r="AV28" s="244"/>
    </row>
    <row r="29" spans="1:48" ht="12.75" customHeight="1" x14ac:dyDescent="0.25">
      <c r="A29" s="240"/>
      <c r="B29" s="241"/>
      <c r="C29" s="242"/>
      <c r="D29" s="244"/>
      <c r="E29" s="242"/>
      <c r="F29" s="243"/>
      <c r="G29" s="243"/>
      <c r="H29" s="243"/>
      <c r="I29" s="243"/>
      <c r="J29" s="243"/>
      <c r="K29" s="244"/>
      <c r="L29" s="243"/>
      <c r="M29" s="243"/>
      <c r="N29" s="244"/>
      <c r="O29" s="244"/>
      <c r="P29" s="244"/>
      <c r="Q29" s="244"/>
      <c r="R29" s="244"/>
      <c r="S29" s="244"/>
      <c r="T29" s="244"/>
      <c r="U29" s="244"/>
      <c r="V29" s="245"/>
      <c r="W29" s="244"/>
      <c r="X29" s="244"/>
      <c r="Y29" s="244"/>
      <c r="Z29" s="244"/>
      <c r="AA29" s="246"/>
      <c r="AB29" s="237"/>
      <c r="AC29" s="247"/>
      <c r="AD29" s="247"/>
      <c r="AE29" s="244"/>
      <c r="AF29" s="247"/>
      <c r="AG29" s="247"/>
      <c r="AH29" s="247"/>
      <c r="AI29" s="247"/>
      <c r="AJ29" s="244"/>
      <c r="AK29" s="247"/>
      <c r="AL29" s="247"/>
      <c r="AM29" s="247"/>
      <c r="AN29" s="247"/>
      <c r="AO29" s="247"/>
      <c r="AP29" s="244"/>
      <c r="AQ29" s="244"/>
      <c r="AR29" s="247"/>
      <c r="AS29" s="244"/>
      <c r="AT29" s="244"/>
      <c r="AU29" s="244"/>
      <c r="AV29" s="244"/>
    </row>
    <row r="30" spans="1:48" ht="12.75" customHeight="1" x14ac:dyDescent="0.25">
      <c r="A30" s="240"/>
      <c r="B30" s="241"/>
      <c r="C30" s="242"/>
      <c r="D30" s="244"/>
      <c r="E30" s="242"/>
      <c r="F30" s="243"/>
      <c r="G30" s="243"/>
      <c r="H30" s="243"/>
      <c r="I30" s="243"/>
      <c r="J30" s="243"/>
      <c r="K30" s="244"/>
      <c r="L30" s="243"/>
      <c r="M30" s="243"/>
      <c r="N30" s="244"/>
      <c r="O30" s="244"/>
      <c r="P30" s="244"/>
      <c r="Q30" s="244"/>
      <c r="R30" s="244"/>
      <c r="S30" s="244"/>
      <c r="T30" s="244"/>
      <c r="U30" s="244"/>
      <c r="V30" s="245"/>
      <c r="W30" s="244"/>
      <c r="X30" s="244"/>
      <c r="Y30" s="244"/>
      <c r="Z30" s="244"/>
      <c r="AA30" s="246"/>
      <c r="AB30" s="237"/>
      <c r="AC30" s="247"/>
      <c r="AD30" s="247"/>
      <c r="AE30" s="244"/>
      <c r="AF30" s="247"/>
      <c r="AG30" s="247"/>
      <c r="AH30" s="247"/>
      <c r="AI30" s="247"/>
      <c r="AJ30" s="244"/>
      <c r="AK30" s="247"/>
      <c r="AL30" s="247"/>
      <c r="AM30" s="247"/>
      <c r="AN30" s="247"/>
      <c r="AO30" s="247"/>
      <c r="AP30" s="244"/>
      <c r="AQ30" s="244"/>
      <c r="AR30" s="247"/>
      <c r="AS30" s="244"/>
      <c r="AT30" s="244"/>
      <c r="AU30" s="244"/>
      <c r="AV30" s="244"/>
    </row>
    <row r="31" spans="1:48" ht="12.75" customHeight="1" x14ac:dyDescent="0.25">
      <c r="A31" s="240"/>
      <c r="B31" s="241"/>
      <c r="C31" s="242"/>
      <c r="D31" s="244"/>
      <c r="E31" s="242"/>
      <c r="F31" s="243"/>
      <c r="G31" s="243"/>
      <c r="H31" s="243"/>
      <c r="I31" s="243"/>
      <c r="J31" s="243"/>
      <c r="K31" s="244"/>
      <c r="L31" s="243"/>
      <c r="M31" s="243"/>
      <c r="N31" s="244"/>
      <c r="O31" s="244"/>
      <c r="P31" s="244"/>
      <c r="Q31" s="244"/>
      <c r="R31" s="244"/>
      <c r="S31" s="244"/>
      <c r="T31" s="244"/>
      <c r="U31" s="244"/>
      <c r="V31" s="245"/>
      <c r="W31" s="244"/>
      <c r="X31" s="244"/>
      <c r="Y31" s="244"/>
      <c r="Z31" s="244"/>
      <c r="AA31" s="246"/>
      <c r="AB31" s="237"/>
      <c r="AC31" s="247"/>
      <c r="AD31" s="247"/>
      <c r="AE31" s="244"/>
      <c r="AF31" s="247"/>
      <c r="AG31" s="247"/>
      <c r="AH31" s="247"/>
      <c r="AI31" s="247"/>
      <c r="AJ31" s="244"/>
      <c r="AK31" s="247"/>
      <c r="AL31" s="247"/>
      <c r="AM31" s="247"/>
      <c r="AN31" s="247"/>
      <c r="AO31" s="247"/>
      <c r="AP31" s="244"/>
      <c r="AQ31" s="244"/>
      <c r="AR31" s="247"/>
      <c r="AS31" s="244"/>
      <c r="AT31" s="244"/>
      <c r="AU31" s="244"/>
      <c r="AV31" s="244"/>
    </row>
    <row r="32" spans="1:48" ht="12.75" customHeight="1" x14ac:dyDescent="0.25">
      <c r="A32" s="240"/>
      <c r="B32" s="241"/>
      <c r="C32" s="242"/>
      <c r="D32" s="244"/>
      <c r="E32" s="242"/>
      <c r="F32" s="243"/>
      <c r="G32" s="243"/>
      <c r="H32" s="243"/>
      <c r="I32" s="243"/>
      <c r="J32" s="243"/>
      <c r="K32" s="244"/>
      <c r="L32" s="243"/>
      <c r="M32" s="243"/>
      <c r="N32" s="244"/>
      <c r="O32" s="244"/>
      <c r="P32" s="244"/>
      <c r="Q32" s="244"/>
      <c r="R32" s="244"/>
      <c r="S32" s="244"/>
      <c r="T32" s="244"/>
      <c r="U32" s="244"/>
      <c r="V32" s="245"/>
      <c r="W32" s="244"/>
      <c r="X32" s="244"/>
      <c r="Y32" s="244"/>
      <c r="Z32" s="244"/>
      <c r="AA32" s="246"/>
      <c r="AB32" s="237"/>
      <c r="AC32" s="247"/>
      <c r="AD32" s="247"/>
      <c r="AE32" s="244"/>
      <c r="AF32" s="247"/>
      <c r="AG32" s="247"/>
      <c r="AH32" s="247"/>
      <c r="AI32" s="247"/>
      <c r="AJ32" s="244"/>
      <c r="AK32" s="247"/>
      <c r="AL32" s="247"/>
      <c r="AM32" s="247"/>
      <c r="AN32" s="247"/>
      <c r="AO32" s="247"/>
      <c r="AP32" s="244"/>
      <c r="AQ32" s="244"/>
      <c r="AR32" s="247"/>
      <c r="AS32" s="244"/>
      <c r="AT32" s="244"/>
      <c r="AU32" s="244"/>
      <c r="AV32" s="244"/>
    </row>
    <row r="33" spans="1:48" ht="12.75" customHeight="1" x14ac:dyDescent="0.25">
      <c r="A33" s="240"/>
      <c r="B33" s="241"/>
      <c r="C33" s="242"/>
      <c r="D33" s="244"/>
      <c r="E33" s="242"/>
      <c r="F33" s="243"/>
      <c r="G33" s="243"/>
      <c r="H33" s="243"/>
      <c r="I33" s="243"/>
      <c r="J33" s="243"/>
      <c r="K33" s="244"/>
      <c r="L33" s="243"/>
      <c r="M33" s="243"/>
      <c r="N33" s="244"/>
      <c r="O33" s="244"/>
      <c r="P33" s="244"/>
      <c r="Q33" s="244"/>
      <c r="R33" s="244"/>
      <c r="S33" s="244"/>
      <c r="T33" s="244"/>
      <c r="U33" s="244"/>
      <c r="V33" s="245"/>
      <c r="W33" s="244"/>
      <c r="X33" s="244"/>
      <c r="Y33" s="244"/>
      <c r="Z33" s="244"/>
      <c r="AA33" s="246"/>
      <c r="AB33" s="237"/>
      <c r="AC33" s="247"/>
      <c r="AD33" s="247"/>
      <c r="AE33" s="244"/>
      <c r="AF33" s="247"/>
      <c r="AG33" s="247"/>
      <c r="AH33" s="247"/>
      <c r="AI33" s="247"/>
      <c r="AJ33" s="244"/>
      <c r="AK33" s="247"/>
      <c r="AL33" s="247"/>
      <c r="AM33" s="247"/>
      <c r="AN33" s="247"/>
      <c r="AO33" s="247"/>
      <c r="AP33" s="244"/>
      <c r="AQ33" s="244"/>
      <c r="AR33" s="247"/>
      <c r="AS33" s="244"/>
      <c r="AT33" s="244"/>
      <c r="AU33" s="244"/>
      <c r="AV33" s="244"/>
    </row>
    <row r="34" spans="1:48" ht="12.75" customHeight="1" x14ac:dyDescent="0.25">
      <c r="A34" s="240"/>
      <c r="B34" s="241"/>
      <c r="C34" s="242"/>
      <c r="D34" s="244"/>
      <c r="E34" s="242"/>
      <c r="F34" s="243"/>
      <c r="G34" s="243"/>
      <c r="H34" s="243"/>
      <c r="I34" s="243"/>
      <c r="J34" s="243"/>
      <c r="K34" s="244"/>
      <c r="L34" s="243"/>
      <c r="M34" s="243"/>
      <c r="N34" s="244"/>
      <c r="O34" s="244"/>
      <c r="P34" s="244"/>
      <c r="Q34" s="244"/>
      <c r="R34" s="244"/>
      <c r="S34" s="244"/>
      <c r="T34" s="244"/>
      <c r="U34" s="244"/>
      <c r="V34" s="245"/>
      <c r="W34" s="244"/>
      <c r="X34" s="244"/>
      <c r="Y34" s="244"/>
      <c r="Z34" s="244"/>
      <c r="AA34" s="246"/>
      <c r="AB34" s="237"/>
      <c r="AC34" s="247"/>
      <c r="AD34" s="247"/>
      <c r="AE34" s="244"/>
      <c r="AF34" s="247"/>
      <c r="AG34" s="247"/>
      <c r="AH34" s="247"/>
      <c r="AI34" s="247"/>
      <c r="AJ34" s="244"/>
      <c r="AK34" s="247"/>
      <c r="AL34" s="247"/>
      <c r="AM34" s="247"/>
      <c r="AN34" s="247"/>
      <c r="AO34" s="247"/>
      <c r="AP34" s="244"/>
      <c r="AQ34" s="244"/>
      <c r="AR34" s="247"/>
      <c r="AS34" s="244"/>
      <c r="AT34" s="244"/>
      <c r="AU34" s="244"/>
      <c r="AV34" s="244"/>
    </row>
    <row r="35" spans="1:48" ht="12.75" customHeight="1" x14ac:dyDescent="0.25">
      <c r="A35" s="240"/>
      <c r="B35" s="241"/>
      <c r="C35" s="242"/>
      <c r="D35" s="244"/>
      <c r="E35" s="242"/>
      <c r="F35" s="243"/>
      <c r="G35" s="243"/>
      <c r="H35" s="243"/>
      <c r="I35" s="243"/>
      <c r="J35" s="243"/>
      <c r="K35" s="244"/>
      <c r="L35" s="243"/>
      <c r="M35" s="243"/>
      <c r="N35" s="244"/>
      <c r="O35" s="244"/>
      <c r="P35" s="244"/>
      <c r="Q35" s="244"/>
      <c r="R35" s="244"/>
      <c r="S35" s="244"/>
      <c r="T35" s="244"/>
      <c r="U35" s="244"/>
      <c r="V35" s="245"/>
      <c r="W35" s="244"/>
      <c r="X35" s="244"/>
      <c r="Y35" s="244"/>
      <c r="Z35" s="244"/>
      <c r="AA35" s="246"/>
      <c r="AB35" s="237"/>
      <c r="AC35" s="247"/>
      <c r="AD35" s="247"/>
      <c r="AE35" s="244"/>
      <c r="AF35" s="247"/>
      <c r="AG35" s="247"/>
      <c r="AH35" s="247"/>
      <c r="AI35" s="247"/>
      <c r="AJ35" s="244"/>
      <c r="AK35" s="247"/>
      <c r="AL35" s="247"/>
      <c r="AM35" s="247"/>
      <c r="AN35" s="247"/>
      <c r="AO35" s="247"/>
      <c r="AP35" s="244"/>
      <c r="AQ35" s="244"/>
      <c r="AR35" s="247"/>
      <c r="AS35" s="244"/>
      <c r="AT35" s="244"/>
      <c r="AU35" s="244"/>
      <c r="AV35" s="244"/>
    </row>
    <row r="36" spans="1:48" ht="12.75" customHeight="1" x14ac:dyDescent="0.25">
      <c r="A36" s="240"/>
      <c r="B36" s="241"/>
      <c r="C36" s="242"/>
      <c r="D36" s="244"/>
      <c r="E36" s="242"/>
      <c r="F36" s="243"/>
      <c r="G36" s="243"/>
      <c r="H36" s="243"/>
      <c r="I36" s="243"/>
      <c r="J36" s="243"/>
      <c r="K36" s="244"/>
      <c r="L36" s="243"/>
      <c r="M36" s="243"/>
      <c r="N36" s="244"/>
      <c r="O36" s="244"/>
      <c r="P36" s="244"/>
      <c r="Q36" s="244"/>
      <c r="R36" s="244"/>
      <c r="S36" s="244"/>
      <c r="T36" s="244"/>
      <c r="U36" s="244"/>
      <c r="V36" s="245"/>
      <c r="W36" s="244"/>
      <c r="X36" s="244"/>
      <c r="Y36" s="244"/>
      <c r="Z36" s="244"/>
      <c r="AA36" s="246"/>
      <c r="AB36" s="237"/>
      <c r="AC36" s="247"/>
      <c r="AD36" s="247"/>
      <c r="AE36" s="244"/>
      <c r="AF36" s="247"/>
      <c r="AG36" s="247"/>
      <c r="AH36" s="247"/>
      <c r="AI36" s="247"/>
      <c r="AJ36" s="244"/>
      <c r="AK36" s="247"/>
      <c r="AL36" s="247"/>
      <c r="AM36" s="247"/>
      <c r="AN36" s="247"/>
      <c r="AO36" s="247"/>
      <c r="AP36" s="244"/>
      <c r="AQ36" s="244"/>
      <c r="AR36" s="247"/>
      <c r="AS36" s="244"/>
      <c r="AT36" s="244"/>
      <c r="AU36" s="244"/>
      <c r="AV36" s="244"/>
    </row>
    <row r="37" spans="1:48" ht="12.75" customHeight="1" x14ac:dyDescent="0.25">
      <c r="A37" s="240"/>
      <c r="B37" s="241"/>
      <c r="C37" s="242"/>
      <c r="D37" s="244"/>
      <c r="E37" s="242"/>
      <c r="F37" s="243"/>
      <c r="G37" s="243"/>
      <c r="H37" s="243"/>
      <c r="I37" s="243"/>
      <c r="J37" s="243"/>
      <c r="K37" s="244"/>
      <c r="L37" s="243"/>
      <c r="M37" s="243"/>
      <c r="N37" s="244"/>
      <c r="O37" s="244"/>
      <c r="P37" s="244"/>
      <c r="Q37" s="244"/>
      <c r="R37" s="244"/>
      <c r="S37" s="244"/>
      <c r="T37" s="244"/>
      <c r="U37" s="244"/>
      <c r="V37" s="245"/>
      <c r="W37" s="244"/>
      <c r="X37" s="244"/>
      <c r="Y37" s="244"/>
      <c r="Z37" s="244"/>
      <c r="AA37" s="246"/>
      <c r="AB37" s="237"/>
      <c r="AC37" s="247"/>
      <c r="AD37" s="247"/>
      <c r="AE37" s="244"/>
      <c r="AF37" s="247"/>
      <c r="AG37" s="247"/>
      <c r="AH37" s="247"/>
      <c r="AI37" s="247"/>
      <c r="AJ37" s="244"/>
      <c r="AK37" s="247"/>
      <c r="AL37" s="247"/>
      <c r="AM37" s="247"/>
      <c r="AN37" s="247"/>
      <c r="AO37" s="247"/>
      <c r="AP37" s="244"/>
      <c r="AQ37" s="244"/>
      <c r="AR37" s="247"/>
      <c r="AS37" s="244"/>
      <c r="AT37" s="244"/>
      <c r="AU37" s="244"/>
      <c r="AV37" s="244"/>
    </row>
    <row r="38" spans="1:48" ht="12.75" customHeight="1" x14ac:dyDescent="0.25">
      <c r="A38" s="240"/>
      <c r="B38" s="240"/>
      <c r="C38" s="242"/>
      <c r="D38" s="247"/>
      <c r="E38" s="242"/>
      <c r="F38" s="243"/>
      <c r="G38" s="243"/>
      <c r="H38" s="243"/>
      <c r="I38" s="243"/>
      <c r="J38" s="243"/>
      <c r="K38" s="247"/>
      <c r="L38" s="243"/>
      <c r="M38" s="243"/>
      <c r="N38" s="244"/>
      <c r="O38" s="247"/>
      <c r="P38" s="244"/>
      <c r="Q38" s="247"/>
      <c r="R38" s="244"/>
      <c r="S38" s="247"/>
      <c r="T38" s="247"/>
      <c r="U38" s="247"/>
      <c r="V38" s="247"/>
      <c r="W38" s="244"/>
      <c r="X38" s="247"/>
      <c r="Y38" s="247"/>
      <c r="Z38" s="244"/>
      <c r="AA38" s="246"/>
      <c r="AB38" s="237"/>
      <c r="AC38" s="247"/>
      <c r="AD38" s="247"/>
      <c r="AE38" s="244"/>
      <c r="AF38" s="247"/>
      <c r="AG38" s="247"/>
      <c r="AH38" s="247"/>
      <c r="AI38" s="247"/>
      <c r="AJ38" s="244"/>
      <c r="AK38" s="247"/>
      <c r="AL38" s="247"/>
      <c r="AM38" s="247"/>
      <c r="AN38" s="247"/>
      <c r="AO38" s="247"/>
      <c r="AP38" s="244"/>
      <c r="AQ38" s="244"/>
      <c r="AR38" s="247"/>
      <c r="AS38" s="247"/>
      <c r="AT38" s="247"/>
      <c r="AU38" s="247"/>
      <c r="AV38" s="244"/>
    </row>
    <row r="39" spans="1:48" ht="12.75" customHeight="1" x14ac:dyDescent="0.25">
      <c r="A39" s="240"/>
      <c r="B39" s="240"/>
      <c r="C39" s="242"/>
      <c r="D39" s="247"/>
      <c r="E39" s="242"/>
      <c r="F39" s="243"/>
      <c r="G39" s="243"/>
      <c r="H39" s="243"/>
      <c r="I39" s="243"/>
      <c r="J39" s="243"/>
      <c r="K39" s="247"/>
      <c r="L39" s="243"/>
      <c r="M39" s="243"/>
      <c r="N39" s="244"/>
      <c r="O39" s="247"/>
      <c r="P39" s="244"/>
      <c r="Q39" s="247"/>
      <c r="R39" s="244"/>
      <c r="S39" s="247"/>
      <c r="T39" s="247"/>
      <c r="U39" s="247"/>
      <c r="V39" s="247"/>
      <c r="W39" s="244"/>
      <c r="X39" s="247"/>
      <c r="Y39" s="247"/>
      <c r="Z39" s="244"/>
      <c r="AA39" s="246"/>
      <c r="AB39" s="237"/>
      <c r="AC39" s="247"/>
      <c r="AD39" s="247"/>
      <c r="AE39" s="244"/>
      <c r="AF39" s="247"/>
      <c r="AG39" s="247"/>
      <c r="AH39" s="247"/>
      <c r="AI39" s="247"/>
      <c r="AJ39" s="244"/>
      <c r="AK39" s="247"/>
      <c r="AL39" s="247"/>
      <c r="AM39" s="247"/>
      <c r="AN39" s="247"/>
      <c r="AO39" s="247"/>
      <c r="AP39" s="244"/>
      <c r="AQ39" s="244"/>
      <c r="AR39" s="247"/>
      <c r="AS39" s="247"/>
      <c r="AT39" s="247"/>
      <c r="AU39" s="247"/>
      <c r="AV39" s="244"/>
    </row>
    <row r="40" spans="1:48" ht="12.75" customHeight="1" x14ac:dyDescent="0.25">
      <c r="A40" s="240"/>
      <c r="B40" s="240"/>
      <c r="C40" s="242"/>
      <c r="D40" s="247"/>
      <c r="E40" s="242"/>
      <c r="F40" s="243"/>
      <c r="G40" s="243"/>
      <c r="H40" s="243"/>
      <c r="I40" s="243"/>
      <c r="J40" s="243"/>
      <c r="K40" s="247"/>
      <c r="L40" s="243"/>
      <c r="M40" s="243"/>
      <c r="N40" s="244"/>
      <c r="O40" s="247"/>
      <c r="P40" s="244"/>
      <c r="Q40" s="247"/>
      <c r="R40" s="244"/>
      <c r="S40" s="247"/>
      <c r="T40" s="247"/>
      <c r="U40" s="247"/>
      <c r="V40" s="247"/>
      <c r="W40" s="244"/>
      <c r="X40" s="247"/>
      <c r="Y40" s="247"/>
      <c r="Z40" s="244"/>
      <c r="AA40" s="246"/>
      <c r="AB40" s="237"/>
      <c r="AC40" s="247"/>
      <c r="AD40" s="247"/>
      <c r="AE40" s="244"/>
      <c r="AF40" s="247"/>
      <c r="AG40" s="247"/>
      <c r="AH40" s="247"/>
      <c r="AI40" s="247"/>
      <c r="AJ40" s="244"/>
      <c r="AK40" s="247"/>
      <c r="AL40" s="247"/>
      <c r="AM40" s="247"/>
      <c r="AN40" s="247"/>
      <c r="AO40" s="247"/>
      <c r="AP40" s="244"/>
      <c r="AQ40" s="244"/>
      <c r="AR40" s="247"/>
      <c r="AS40" s="247"/>
      <c r="AT40" s="247"/>
      <c r="AU40" s="247"/>
      <c r="AV40" s="244"/>
    </row>
    <row r="41" spans="1:48" ht="12.75" customHeight="1" x14ac:dyDescent="0.25">
      <c r="A41" s="240"/>
      <c r="B41" s="240"/>
      <c r="C41" s="242"/>
      <c r="D41" s="247"/>
      <c r="E41" s="242"/>
      <c r="F41" s="243"/>
      <c r="G41" s="243"/>
      <c r="H41" s="243"/>
      <c r="I41" s="243"/>
      <c r="J41" s="243"/>
      <c r="K41" s="247"/>
      <c r="L41" s="243"/>
      <c r="M41" s="243"/>
      <c r="N41" s="244"/>
      <c r="O41" s="247"/>
      <c r="P41" s="244"/>
      <c r="Q41" s="247"/>
      <c r="R41" s="244"/>
      <c r="S41" s="247"/>
      <c r="T41" s="247"/>
      <c r="U41" s="247"/>
      <c r="V41" s="247"/>
      <c r="W41" s="244"/>
      <c r="X41" s="247"/>
      <c r="Y41" s="247"/>
      <c r="Z41" s="244"/>
      <c r="AA41" s="246"/>
      <c r="AB41" s="237"/>
      <c r="AC41" s="247"/>
      <c r="AD41" s="247"/>
      <c r="AE41" s="244"/>
      <c r="AF41" s="247"/>
      <c r="AG41" s="247"/>
      <c r="AH41" s="247"/>
      <c r="AI41" s="247"/>
      <c r="AJ41" s="244"/>
      <c r="AK41" s="247"/>
      <c r="AL41" s="247"/>
      <c r="AM41" s="247"/>
      <c r="AN41" s="247"/>
      <c r="AO41" s="247"/>
      <c r="AP41" s="244"/>
      <c r="AQ41" s="244"/>
      <c r="AR41" s="247"/>
      <c r="AS41" s="247"/>
      <c r="AT41" s="247"/>
      <c r="AU41" s="247"/>
      <c r="AV41" s="244"/>
    </row>
    <row r="42" spans="1:48" ht="12.75" customHeight="1" x14ac:dyDescent="0.25">
      <c r="A42" s="240"/>
      <c r="B42" s="240"/>
      <c r="C42" s="242"/>
      <c r="D42" s="247"/>
      <c r="E42" s="242"/>
      <c r="F42" s="243"/>
      <c r="G42" s="243"/>
      <c r="H42" s="243"/>
      <c r="I42" s="243"/>
      <c r="J42" s="243"/>
      <c r="K42" s="247"/>
      <c r="L42" s="243"/>
      <c r="M42" s="243"/>
      <c r="N42" s="244"/>
      <c r="O42" s="247"/>
      <c r="P42" s="244"/>
      <c r="Q42" s="247"/>
      <c r="R42" s="244"/>
      <c r="S42" s="247"/>
      <c r="T42" s="247"/>
      <c r="U42" s="247"/>
      <c r="V42" s="247"/>
      <c r="W42" s="244"/>
      <c r="X42" s="247"/>
      <c r="Y42" s="247"/>
      <c r="Z42" s="244"/>
      <c r="AA42" s="246"/>
      <c r="AB42" s="237"/>
      <c r="AC42" s="247"/>
      <c r="AD42" s="247"/>
      <c r="AE42" s="244"/>
      <c r="AF42" s="247"/>
      <c r="AG42" s="247"/>
      <c r="AH42" s="247"/>
      <c r="AI42" s="247"/>
      <c r="AJ42" s="244"/>
      <c r="AK42" s="247"/>
      <c r="AL42" s="247"/>
      <c r="AM42" s="247"/>
      <c r="AN42" s="247"/>
      <c r="AO42" s="247"/>
      <c r="AP42" s="244"/>
      <c r="AQ42" s="244"/>
      <c r="AR42" s="247"/>
      <c r="AS42" s="247"/>
      <c r="AT42" s="247"/>
      <c r="AU42" s="247"/>
      <c r="AV42" s="244"/>
    </row>
    <row r="43" spans="1:48" ht="12.75" customHeight="1" x14ac:dyDescent="0.25">
      <c r="A43" s="240"/>
      <c r="B43" s="240"/>
      <c r="C43" s="242"/>
      <c r="D43" s="247"/>
      <c r="E43" s="242"/>
      <c r="F43" s="243"/>
      <c r="G43" s="243"/>
      <c r="H43" s="243"/>
      <c r="I43" s="243"/>
      <c r="J43" s="243"/>
      <c r="K43" s="247"/>
      <c r="L43" s="243"/>
      <c r="M43" s="243"/>
      <c r="N43" s="244"/>
      <c r="O43" s="247"/>
      <c r="P43" s="244"/>
      <c r="Q43" s="247"/>
      <c r="R43" s="244"/>
      <c r="S43" s="247"/>
      <c r="T43" s="247"/>
      <c r="U43" s="247"/>
      <c r="V43" s="247"/>
      <c r="W43" s="244"/>
      <c r="X43" s="247"/>
      <c r="Y43" s="247"/>
      <c r="Z43" s="244"/>
      <c r="AA43" s="246"/>
      <c r="AB43" s="237"/>
      <c r="AC43" s="247"/>
      <c r="AD43" s="247"/>
      <c r="AE43" s="244"/>
      <c r="AF43" s="247"/>
      <c r="AG43" s="247"/>
      <c r="AH43" s="247"/>
      <c r="AI43" s="247"/>
      <c r="AJ43" s="244"/>
      <c r="AK43" s="247"/>
      <c r="AL43" s="247"/>
      <c r="AM43" s="247"/>
      <c r="AN43" s="247"/>
      <c r="AO43" s="247"/>
      <c r="AP43" s="244"/>
      <c r="AQ43" s="244"/>
      <c r="AR43" s="247"/>
      <c r="AS43" s="247"/>
      <c r="AT43" s="247"/>
      <c r="AU43" s="247"/>
      <c r="AV43" s="244"/>
    </row>
    <row r="44" spans="1:48" ht="12.75" customHeight="1" x14ac:dyDescent="0.25">
      <c r="A44" s="240"/>
      <c r="B44" s="240"/>
      <c r="C44" s="242"/>
      <c r="D44" s="247"/>
      <c r="E44" s="242"/>
      <c r="F44" s="243"/>
      <c r="G44" s="243"/>
      <c r="H44" s="243"/>
      <c r="I44" s="243"/>
      <c r="J44" s="243"/>
      <c r="K44" s="247"/>
      <c r="L44" s="243"/>
      <c r="M44" s="243"/>
      <c r="N44" s="244"/>
      <c r="O44" s="247"/>
      <c r="P44" s="244"/>
      <c r="Q44" s="247"/>
      <c r="R44" s="244"/>
      <c r="S44" s="247"/>
      <c r="T44" s="247"/>
      <c r="U44" s="247"/>
      <c r="V44" s="247"/>
      <c r="W44" s="244"/>
      <c r="X44" s="247"/>
      <c r="Y44" s="247"/>
      <c r="Z44" s="244"/>
      <c r="AA44" s="246"/>
      <c r="AB44" s="237"/>
      <c r="AC44" s="247"/>
      <c r="AD44" s="247"/>
      <c r="AE44" s="244"/>
      <c r="AF44" s="247"/>
      <c r="AG44" s="247"/>
      <c r="AH44" s="247"/>
      <c r="AI44" s="247"/>
      <c r="AJ44" s="244"/>
      <c r="AK44" s="247"/>
      <c r="AL44" s="247"/>
      <c r="AM44" s="247"/>
      <c r="AN44" s="247"/>
      <c r="AO44" s="247"/>
      <c r="AP44" s="244"/>
      <c r="AQ44" s="244"/>
      <c r="AR44" s="247"/>
      <c r="AS44" s="247"/>
      <c r="AT44" s="247"/>
      <c r="AU44" s="247"/>
      <c r="AV44" s="244"/>
    </row>
    <row r="45" spans="1:48" ht="12.75" customHeight="1" x14ac:dyDescent="0.25">
      <c r="A45" s="240"/>
      <c r="B45" s="240"/>
      <c r="C45" s="242"/>
      <c r="D45" s="247"/>
      <c r="E45" s="242"/>
      <c r="F45" s="243"/>
      <c r="G45" s="243"/>
      <c r="H45" s="243"/>
      <c r="I45" s="243"/>
      <c r="J45" s="243"/>
      <c r="K45" s="247"/>
      <c r="L45" s="243"/>
      <c r="M45" s="243"/>
      <c r="N45" s="244"/>
      <c r="O45" s="247"/>
      <c r="P45" s="244"/>
      <c r="Q45" s="247"/>
      <c r="R45" s="244"/>
      <c r="S45" s="247"/>
      <c r="T45" s="247"/>
      <c r="U45" s="247"/>
      <c r="V45" s="247"/>
      <c r="W45" s="244"/>
      <c r="X45" s="247"/>
      <c r="Y45" s="247"/>
      <c r="Z45" s="244"/>
      <c r="AA45" s="246"/>
      <c r="AB45" s="237"/>
      <c r="AC45" s="247"/>
      <c r="AD45" s="247"/>
      <c r="AE45" s="244"/>
      <c r="AF45" s="247"/>
      <c r="AG45" s="247"/>
      <c r="AH45" s="247"/>
      <c r="AI45" s="247"/>
      <c r="AJ45" s="244"/>
      <c r="AK45" s="247"/>
      <c r="AL45" s="247"/>
      <c r="AM45" s="247"/>
      <c r="AN45" s="247"/>
      <c r="AO45" s="247"/>
      <c r="AP45" s="244"/>
      <c r="AQ45" s="244"/>
      <c r="AR45" s="247"/>
      <c r="AS45" s="247"/>
      <c r="AT45" s="247"/>
      <c r="AU45" s="247"/>
      <c r="AV45" s="244"/>
    </row>
    <row r="46" spans="1:48" ht="12.75" customHeight="1" x14ac:dyDescent="0.25">
      <c r="A46" s="240"/>
      <c r="B46" s="240"/>
      <c r="C46" s="242"/>
      <c r="D46" s="247"/>
      <c r="E46" s="242"/>
      <c r="F46" s="243"/>
      <c r="G46" s="243"/>
      <c r="H46" s="243"/>
      <c r="I46" s="243"/>
      <c r="J46" s="243"/>
      <c r="K46" s="247"/>
      <c r="L46" s="243"/>
      <c r="M46" s="243"/>
      <c r="N46" s="244"/>
      <c r="O46" s="247"/>
      <c r="P46" s="244"/>
      <c r="Q46" s="247"/>
      <c r="R46" s="244"/>
      <c r="S46" s="247"/>
      <c r="T46" s="247"/>
      <c r="U46" s="247"/>
      <c r="V46" s="247"/>
      <c r="W46" s="244"/>
      <c r="X46" s="247"/>
      <c r="Y46" s="247"/>
      <c r="Z46" s="244"/>
      <c r="AA46" s="246"/>
      <c r="AB46" s="237"/>
      <c r="AC46" s="247"/>
      <c r="AD46" s="247"/>
      <c r="AE46" s="244"/>
      <c r="AF46" s="247"/>
      <c r="AG46" s="247"/>
      <c r="AH46" s="247"/>
      <c r="AI46" s="247"/>
      <c r="AJ46" s="244"/>
      <c r="AK46" s="247"/>
      <c r="AL46" s="247"/>
      <c r="AM46" s="247"/>
      <c r="AN46" s="247"/>
      <c r="AO46" s="247"/>
      <c r="AP46" s="244"/>
      <c r="AQ46" s="244"/>
      <c r="AR46" s="247"/>
      <c r="AS46" s="247"/>
      <c r="AT46" s="247"/>
      <c r="AU46" s="247"/>
      <c r="AV46" s="244"/>
    </row>
    <row r="47" spans="1:48" ht="12.75" customHeight="1" x14ac:dyDescent="0.25">
      <c r="A47" s="240"/>
      <c r="B47" s="240"/>
      <c r="C47" s="242"/>
      <c r="D47" s="247"/>
      <c r="E47" s="242"/>
      <c r="F47" s="243"/>
      <c r="G47" s="243"/>
      <c r="H47" s="243"/>
      <c r="I47" s="243"/>
      <c r="J47" s="243"/>
      <c r="K47" s="247"/>
      <c r="L47" s="243"/>
      <c r="M47" s="243"/>
      <c r="N47" s="244"/>
      <c r="O47" s="247"/>
      <c r="P47" s="244"/>
      <c r="Q47" s="247"/>
      <c r="R47" s="244"/>
      <c r="S47" s="247"/>
      <c r="T47" s="247"/>
      <c r="U47" s="247"/>
      <c r="V47" s="247"/>
      <c r="W47" s="244"/>
      <c r="X47" s="247"/>
      <c r="Y47" s="247"/>
      <c r="Z47" s="244"/>
      <c r="AA47" s="246"/>
      <c r="AB47" s="237"/>
      <c r="AC47" s="247"/>
      <c r="AD47" s="247"/>
      <c r="AE47" s="244"/>
      <c r="AF47" s="247"/>
      <c r="AG47" s="247"/>
      <c r="AH47" s="247"/>
      <c r="AI47" s="247"/>
      <c r="AJ47" s="244"/>
      <c r="AK47" s="247"/>
      <c r="AL47" s="247"/>
      <c r="AM47" s="247"/>
      <c r="AN47" s="247"/>
      <c r="AO47" s="247"/>
      <c r="AP47" s="244"/>
      <c r="AQ47" s="244"/>
      <c r="AR47" s="247"/>
      <c r="AS47" s="247"/>
      <c r="AT47" s="247"/>
      <c r="AU47" s="247"/>
      <c r="AV47" s="244"/>
    </row>
    <row r="48" spans="1:48" ht="12.75" customHeight="1" x14ac:dyDescent="0.25">
      <c r="A48" s="240"/>
      <c r="B48" s="240"/>
      <c r="C48" s="242"/>
      <c r="D48" s="247"/>
      <c r="E48" s="242"/>
      <c r="F48" s="243"/>
      <c r="G48" s="243"/>
      <c r="H48" s="243"/>
      <c r="I48" s="243"/>
      <c r="J48" s="243"/>
      <c r="K48" s="247"/>
      <c r="L48" s="243"/>
      <c r="M48" s="243"/>
      <c r="N48" s="244"/>
      <c r="O48" s="247"/>
      <c r="P48" s="244"/>
      <c r="Q48" s="247"/>
      <c r="R48" s="244"/>
      <c r="S48" s="247"/>
      <c r="T48" s="247"/>
      <c r="U48" s="247"/>
      <c r="V48" s="247"/>
      <c r="W48" s="244"/>
      <c r="X48" s="247"/>
      <c r="Y48" s="247"/>
      <c r="Z48" s="244"/>
      <c r="AA48" s="246"/>
      <c r="AB48" s="237"/>
      <c r="AC48" s="247"/>
      <c r="AD48" s="247"/>
      <c r="AE48" s="244"/>
      <c r="AF48" s="247"/>
      <c r="AG48" s="247"/>
      <c r="AH48" s="247"/>
      <c r="AI48" s="247"/>
      <c r="AJ48" s="244"/>
      <c r="AK48" s="247"/>
      <c r="AL48" s="247"/>
      <c r="AM48" s="247"/>
      <c r="AN48" s="247"/>
      <c r="AO48" s="247"/>
      <c r="AP48" s="244"/>
      <c r="AQ48" s="244"/>
      <c r="AR48" s="247"/>
      <c r="AS48" s="247"/>
      <c r="AT48" s="247"/>
      <c r="AU48" s="247"/>
      <c r="AV48" s="244"/>
    </row>
    <row r="49" spans="1:48" ht="12.75" customHeight="1" x14ac:dyDescent="0.25">
      <c r="A49" s="240"/>
      <c r="B49" s="240"/>
      <c r="C49" s="242"/>
      <c r="D49" s="247"/>
      <c r="E49" s="242"/>
      <c r="F49" s="243"/>
      <c r="G49" s="243"/>
      <c r="H49" s="243"/>
      <c r="I49" s="243"/>
      <c r="J49" s="243"/>
      <c r="K49" s="247"/>
      <c r="L49" s="243"/>
      <c r="M49" s="243"/>
      <c r="N49" s="244"/>
      <c r="O49" s="247"/>
      <c r="P49" s="244"/>
      <c r="Q49" s="247"/>
      <c r="R49" s="244"/>
      <c r="S49" s="247"/>
      <c r="T49" s="247"/>
      <c r="U49" s="247"/>
      <c r="V49" s="247"/>
      <c r="W49" s="244"/>
      <c r="X49" s="247"/>
      <c r="Y49" s="247"/>
      <c r="Z49" s="244"/>
      <c r="AA49" s="246"/>
      <c r="AB49" s="237"/>
      <c r="AC49" s="247"/>
      <c r="AD49" s="247"/>
      <c r="AE49" s="244"/>
      <c r="AF49" s="247"/>
      <c r="AG49" s="247"/>
      <c r="AH49" s="247"/>
      <c r="AI49" s="247"/>
      <c r="AJ49" s="244"/>
      <c r="AK49" s="247"/>
      <c r="AL49" s="247"/>
      <c r="AM49" s="247"/>
      <c r="AN49" s="247"/>
      <c r="AO49" s="247"/>
      <c r="AP49" s="244"/>
      <c r="AQ49" s="244"/>
      <c r="AR49" s="247"/>
      <c r="AS49" s="247"/>
      <c r="AT49" s="247"/>
      <c r="AU49" s="247"/>
      <c r="AV49" s="244"/>
    </row>
    <row r="50" spans="1:48" ht="12.75" customHeight="1" x14ac:dyDescent="0.25">
      <c r="A50" s="240"/>
      <c r="B50" s="240"/>
      <c r="C50" s="242"/>
      <c r="D50" s="247"/>
      <c r="E50" s="242"/>
      <c r="F50" s="243"/>
      <c r="G50" s="243"/>
      <c r="H50" s="243"/>
      <c r="I50" s="243"/>
      <c r="J50" s="243"/>
      <c r="K50" s="247"/>
      <c r="L50" s="243"/>
      <c r="M50" s="243"/>
      <c r="N50" s="244"/>
      <c r="O50" s="247"/>
      <c r="P50" s="244"/>
      <c r="Q50" s="247"/>
      <c r="R50" s="244"/>
      <c r="S50" s="247"/>
      <c r="T50" s="247"/>
      <c r="U50" s="247"/>
      <c r="V50" s="247"/>
      <c r="W50" s="244"/>
      <c r="X50" s="247"/>
      <c r="Y50" s="247"/>
      <c r="Z50" s="244"/>
      <c r="AA50" s="246"/>
      <c r="AB50" s="237"/>
      <c r="AC50" s="247"/>
      <c r="AD50" s="247"/>
      <c r="AE50" s="244"/>
      <c r="AF50" s="247"/>
      <c r="AG50" s="247"/>
      <c r="AH50" s="247"/>
      <c r="AI50" s="247"/>
      <c r="AJ50" s="244"/>
      <c r="AK50" s="247"/>
      <c r="AL50" s="247"/>
      <c r="AM50" s="247"/>
      <c r="AN50" s="247"/>
      <c r="AO50" s="247"/>
      <c r="AP50" s="244"/>
      <c r="AQ50" s="244"/>
      <c r="AR50" s="247"/>
      <c r="AS50" s="247"/>
      <c r="AT50" s="247"/>
      <c r="AU50" s="247"/>
      <c r="AV50" s="244"/>
    </row>
    <row r="51" spans="1:48" ht="12.75" customHeight="1" x14ac:dyDescent="0.25">
      <c r="A51" s="240"/>
      <c r="B51" s="240"/>
      <c r="C51" s="242"/>
      <c r="D51" s="247"/>
      <c r="E51" s="242"/>
      <c r="F51" s="243"/>
      <c r="G51" s="243"/>
      <c r="H51" s="243"/>
      <c r="I51" s="243"/>
      <c r="J51" s="243"/>
      <c r="K51" s="247"/>
      <c r="L51" s="243"/>
      <c r="M51" s="243"/>
      <c r="N51" s="244"/>
      <c r="O51" s="247"/>
      <c r="P51" s="244"/>
      <c r="Q51" s="247"/>
      <c r="R51" s="244"/>
      <c r="S51" s="247"/>
      <c r="T51" s="247"/>
      <c r="U51" s="247"/>
      <c r="V51" s="247"/>
      <c r="W51" s="244"/>
      <c r="X51" s="247"/>
      <c r="Y51" s="247"/>
      <c r="Z51" s="244"/>
      <c r="AA51" s="246"/>
      <c r="AB51" s="237"/>
      <c r="AC51" s="247"/>
      <c r="AD51" s="247"/>
      <c r="AE51" s="244"/>
      <c r="AF51" s="247"/>
      <c r="AG51" s="247"/>
      <c r="AH51" s="247"/>
      <c r="AI51" s="247"/>
      <c r="AJ51" s="244"/>
      <c r="AK51" s="247"/>
      <c r="AL51" s="247"/>
      <c r="AM51" s="247"/>
      <c r="AN51" s="247"/>
      <c r="AO51" s="247"/>
      <c r="AP51" s="244"/>
      <c r="AQ51" s="244"/>
      <c r="AR51" s="247"/>
      <c r="AS51" s="247"/>
      <c r="AT51" s="247"/>
      <c r="AU51" s="247"/>
      <c r="AV51" s="244"/>
    </row>
    <row r="52" spans="1:48" ht="12.75" customHeight="1" x14ac:dyDescent="0.25">
      <c r="A52" s="240"/>
      <c r="B52" s="240"/>
      <c r="C52" s="242"/>
      <c r="D52" s="247"/>
      <c r="E52" s="242"/>
      <c r="F52" s="243"/>
      <c r="G52" s="243"/>
      <c r="H52" s="243"/>
      <c r="I52" s="243"/>
      <c r="J52" s="243"/>
      <c r="K52" s="247"/>
      <c r="L52" s="243"/>
      <c r="M52" s="243"/>
      <c r="N52" s="244"/>
      <c r="O52" s="247"/>
      <c r="P52" s="244"/>
      <c r="Q52" s="247"/>
      <c r="R52" s="244"/>
      <c r="S52" s="247"/>
      <c r="T52" s="247"/>
      <c r="U52" s="247"/>
      <c r="V52" s="247"/>
      <c r="W52" s="244"/>
      <c r="X52" s="247"/>
      <c r="Y52" s="247"/>
      <c r="Z52" s="244"/>
      <c r="AA52" s="246"/>
      <c r="AB52" s="237"/>
      <c r="AC52" s="247"/>
      <c r="AD52" s="247"/>
      <c r="AE52" s="244"/>
      <c r="AF52" s="247"/>
      <c r="AG52" s="247"/>
      <c r="AH52" s="247"/>
      <c r="AI52" s="247"/>
      <c r="AJ52" s="244"/>
      <c r="AK52" s="247"/>
      <c r="AL52" s="247"/>
      <c r="AM52" s="247"/>
      <c r="AN52" s="247"/>
      <c r="AO52" s="247"/>
      <c r="AP52" s="244"/>
      <c r="AQ52" s="244"/>
      <c r="AR52" s="247"/>
      <c r="AS52" s="247"/>
      <c r="AT52" s="247"/>
      <c r="AU52" s="247"/>
      <c r="AV52" s="244"/>
    </row>
    <row r="53" spans="1:48" ht="12.75" customHeight="1" x14ac:dyDescent="0.25">
      <c r="A53" s="240"/>
      <c r="B53" s="240"/>
      <c r="C53" s="242"/>
      <c r="D53" s="247"/>
      <c r="E53" s="242"/>
      <c r="F53" s="243"/>
      <c r="G53" s="243"/>
      <c r="H53" s="243"/>
      <c r="I53" s="243"/>
      <c r="J53" s="243"/>
      <c r="K53" s="247"/>
      <c r="L53" s="243"/>
      <c r="M53" s="243"/>
      <c r="N53" s="244"/>
      <c r="O53" s="247"/>
      <c r="P53" s="244"/>
      <c r="Q53" s="247"/>
      <c r="R53" s="244"/>
      <c r="S53" s="247"/>
      <c r="T53" s="247"/>
      <c r="U53" s="247"/>
      <c r="V53" s="247"/>
      <c r="W53" s="244"/>
      <c r="X53" s="247"/>
      <c r="Y53" s="247"/>
      <c r="Z53" s="244"/>
      <c r="AA53" s="246"/>
      <c r="AB53" s="237"/>
      <c r="AC53" s="247"/>
      <c r="AD53" s="247"/>
      <c r="AE53" s="244"/>
      <c r="AF53" s="247"/>
      <c r="AG53" s="247"/>
      <c r="AH53" s="247"/>
      <c r="AI53" s="247"/>
      <c r="AJ53" s="244"/>
      <c r="AK53" s="247"/>
      <c r="AL53" s="247"/>
      <c r="AM53" s="247"/>
      <c r="AN53" s="247"/>
      <c r="AO53" s="247"/>
      <c r="AP53" s="244"/>
      <c r="AQ53" s="244"/>
      <c r="AR53" s="247"/>
      <c r="AS53" s="247"/>
      <c r="AT53" s="247"/>
      <c r="AU53" s="247"/>
      <c r="AV53" s="244"/>
    </row>
    <row r="54" spans="1:48" ht="12.75" customHeight="1" x14ac:dyDescent="0.25">
      <c r="A54" s="240"/>
      <c r="B54" s="240"/>
      <c r="C54" s="242"/>
      <c r="D54" s="247"/>
      <c r="E54" s="242"/>
      <c r="F54" s="243"/>
      <c r="G54" s="243"/>
      <c r="H54" s="243"/>
      <c r="I54" s="243"/>
      <c r="J54" s="243"/>
      <c r="K54" s="247"/>
      <c r="L54" s="243"/>
      <c r="M54" s="243"/>
      <c r="N54" s="244"/>
      <c r="O54" s="247"/>
      <c r="P54" s="244"/>
      <c r="Q54" s="247"/>
      <c r="R54" s="244"/>
      <c r="S54" s="247"/>
      <c r="T54" s="247"/>
      <c r="U54" s="247"/>
      <c r="V54" s="247"/>
      <c r="W54" s="244"/>
      <c r="X54" s="247"/>
      <c r="Y54" s="247"/>
      <c r="Z54" s="244"/>
      <c r="AA54" s="246"/>
      <c r="AB54" s="237"/>
      <c r="AC54" s="247"/>
      <c r="AD54" s="247"/>
      <c r="AE54" s="244"/>
      <c r="AF54" s="247"/>
      <c r="AG54" s="247"/>
      <c r="AH54" s="247"/>
      <c r="AI54" s="247"/>
      <c r="AJ54" s="244"/>
      <c r="AK54" s="247"/>
      <c r="AL54" s="247"/>
      <c r="AM54" s="247"/>
      <c r="AN54" s="247"/>
      <c r="AO54" s="247"/>
      <c r="AP54" s="244"/>
      <c r="AQ54" s="244"/>
      <c r="AR54" s="247"/>
      <c r="AS54" s="247"/>
      <c r="AT54" s="247"/>
      <c r="AU54" s="247"/>
      <c r="AV54" s="244"/>
    </row>
    <row r="55" spans="1:48" ht="12.75" customHeight="1" x14ac:dyDescent="0.25">
      <c r="A55" s="240"/>
      <c r="B55" s="240"/>
      <c r="C55" s="242"/>
      <c r="D55" s="247"/>
      <c r="E55" s="242"/>
      <c r="F55" s="243"/>
      <c r="G55" s="243"/>
      <c r="H55" s="243"/>
      <c r="I55" s="243"/>
      <c r="J55" s="243"/>
      <c r="K55" s="247"/>
      <c r="L55" s="243"/>
      <c r="M55" s="243"/>
      <c r="N55" s="244"/>
      <c r="O55" s="247"/>
      <c r="P55" s="244"/>
      <c r="Q55" s="247"/>
      <c r="R55" s="244"/>
      <c r="S55" s="247"/>
      <c r="T55" s="247"/>
      <c r="U55" s="247"/>
      <c r="V55" s="247"/>
      <c r="W55" s="244"/>
      <c r="X55" s="247"/>
      <c r="Y55" s="247"/>
      <c r="Z55" s="244"/>
      <c r="AA55" s="246"/>
      <c r="AB55" s="237"/>
      <c r="AC55" s="247"/>
      <c r="AD55" s="247"/>
      <c r="AE55" s="244"/>
      <c r="AF55" s="247"/>
      <c r="AG55" s="247"/>
      <c r="AH55" s="247"/>
      <c r="AI55" s="247"/>
      <c r="AJ55" s="244"/>
      <c r="AK55" s="247"/>
      <c r="AL55" s="247"/>
      <c r="AM55" s="247"/>
      <c r="AN55" s="247"/>
      <c r="AO55" s="247"/>
      <c r="AP55" s="244"/>
      <c r="AQ55" s="244"/>
      <c r="AR55" s="247"/>
      <c r="AS55" s="247"/>
      <c r="AT55" s="247"/>
      <c r="AU55" s="247"/>
      <c r="AV55" s="244"/>
    </row>
    <row r="56" spans="1:48" ht="12.75" customHeight="1" x14ac:dyDescent="0.25">
      <c r="A56" s="240"/>
      <c r="B56" s="240"/>
      <c r="C56" s="242"/>
      <c r="D56" s="247"/>
      <c r="E56" s="242"/>
      <c r="F56" s="243"/>
      <c r="G56" s="243"/>
      <c r="H56" s="243"/>
      <c r="I56" s="243"/>
      <c r="J56" s="243"/>
      <c r="K56" s="247"/>
      <c r="L56" s="243"/>
      <c r="M56" s="243"/>
      <c r="N56" s="244"/>
      <c r="O56" s="247"/>
      <c r="P56" s="244"/>
      <c r="Q56" s="247"/>
      <c r="R56" s="244"/>
      <c r="S56" s="247"/>
      <c r="T56" s="247"/>
      <c r="U56" s="247"/>
      <c r="V56" s="247"/>
      <c r="W56" s="244"/>
      <c r="X56" s="247"/>
      <c r="Y56" s="247"/>
      <c r="Z56" s="244"/>
      <c r="AA56" s="246"/>
      <c r="AB56" s="237"/>
      <c r="AC56" s="247"/>
      <c r="AD56" s="247"/>
      <c r="AE56" s="244"/>
      <c r="AF56" s="247"/>
      <c r="AG56" s="247"/>
      <c r="AH56" s="247"/>
      <c r="AI56" s="247"/>
      <c r="AJ56" s="244"/>
      <c r="AK56" s="247"/>
      <c r="AL56" s="247"/>
      <c r="AM56" s="247"/>
      <c r="AN56" s="247"/>
      <c r="AO56" s="247"/>
      <c r="AP56" s="244"/>
      <c r="AQ56" s="244"/>
      <c r="AR56" s="247"/>
      <c r="AS56" s="247"/>
      <c r="AT56" s="247"/>
      <c r="AU56" s="247"/>
      <c r="AV56" s="244"/>
    </row>
    <row r="57" spans="1:48" ht="12.75" customHeight="1" x14ac:dyDescent="0.25">
      <c r="A57" s="240"/>
      <c r="B57" s="240"/>
      <c r="C57" s="242"/>
      <c r="D57" s="247"/>
      <c r="E57" s="242"/>
      <c r="F57" s="243"/>
      <c r="G57" s="243"/>
      <c r="H57" s="243"/>
      <c r="I57" s="243"/>
      <c r="J57" s="243"/>
      <c r="K57" s="247"/>
      <c r="L57" s="243"/>
      <c r="M57" s="243"/>
      <c r="N57" s="244"/>
      <c r="O57" s="247"/>
      <c r="P57" s="244"/>
      <c r="Q57" s="247"/>
      <c r="R57" s="244"/>
      <c r="S57" s="247"/>
      <c r="T57" s="247"/>
      <c r="U57" s="247"/>
      <c r="V57" s="247"/>
      <c r="W57" s="244"/>
      <c r="X57" s="247"/>
      <c r="Y57" s="247"/>
      <c r="Z57" s="244"/>
      <c r="AA57" s="246"/>
      <c r="AB57" s="237"/>
      <c r="AC57" s="247"/>
      <c r="AD57" s="247"/>
      <c r="AE57" s="244"/>
      <c r="AF57" s="247"/>
      <c r="AG57" s="247"/>
      <c r="AH57" s="247"/>
      <c r="AI57" s="247"/>
      <c r="AJ57" s="244"/>
      <c r="AK57" s="247"/>
      <c r="AL57" s="247"/>
      <c r="AM57" s="247"/>
      <c r="AN57" s="247"/>
      <c r="AO57" s="247"/>
      <c r="AP57" s="244"/>
      <c r="AQ57" s="244"/>
      <c r="AR57" s="247"/>
      <c r="AS57" s="247"/>
      <c r="AT57" s="247"/>
      <c r="AU57" s="247"/>
      <c r="AV57" s="244"/>
    </row>
    <row r="58" spans="1:48" ht="12.75" customHeight="1" x14ac:dyDescent="0.25">
      <c r="A58" s="240"/>
      <c r="B58" s="240"/>
      <c r="C58" s="242"/>
      <c r="D58" s="247"/>
      <c r="E58" s="242"/>
      <c r="F58" s="243"/>
      <c r="G58" s="243"/>
      <c r="H58" s="243"/>
      <c r="I58" s="243"/>
      <c r="J58" s="243"/>
      <c r="K58" s="247"/>
      <c r="L58" s="243"/>
      <c r="M58" s="243"/>
      <c r="N58" s="244"/>
      <c r="O58" s="247"/>
      <c r="P58" s="244"/>
      <c r="Q58" s="247"/>
      <c r="R58" s="244"/>
      <c r="S58" s="247"/>
      <c r="T58" s="247"/>
      <c r="U58" s="247"/>
      <c r="V58" s="247"/>
      <c r="W58" s="244"/>
      <c r="X58" s="247"/>
      <c r="Y58" s="247"/>
      <c r="Z58" s="244"/>
      <c r="AA58" s="246"/>
      <c r="AB58" s="237"/>
      <c r="AC58" s="247"/>
      <c r="AD58" s="247"/>
      <c r="AE58" s="244"/>
      <c r="AF58" s="247"/>
      <c r="AG58" s="247"/>
      <c r="AH58" s="247"/>
      <c r="AI58" s="247"/>
      <c r="AJ58" s="244"/>
      <c r="AK58" s="247"/>
      <c r="AL58" s="247"/>
      <c r="AM58" s="247"/>
      <c r="AN58" s="247"/>
      <c r="AO58" s="247"/>
      <c r="AP58" s="244"/>
      <c r="AQ58" s="244"/>
      <c r="AR58" s="247"/>
      <c r="AS58" s="247"/>
      <c r="AT58" s="247"/>
      <c r="AU58" s="247"/>
      <c r="AV58" s="244"/>
    </row>
    <row r="59" spans="1:48" ht="12.75" customHeight="1" x14ac:dyDescent="0.25">
      <c r="A59" s="240"/>
      <c r="B59" s="240"/>
      <c r="C59" s="242"/>
      <c r="D59" s="247"/>
      <c r="E59" s="242"/>
      <c r="F59" s="243"/>
      <c r="G59" s="243"/>
      <c r="H59" s="243"/>
      <c r="I59" s="243"/>
      <c r="J59" s="243"/>
      <c r="K59" s="247"/>
      <c r="L59" s="243"/>
      <c r="M59" s="243"/>
      <c r="N59" s="244"/>
      <c r="O59" s="247"/>
      <c r="P59" s="244"/>
      <c r="Q59" s="247"/>
      <c r="R59" s="244"/>
      <c r="S59" s="247"/>
      <c r="T59" s="247"/>
      <c r="U59" s="247"/>
      <c r="V59" s="247"/>
      <c r="W59" s="244"/>
      <c r="X59" s="247"/>
      <c r="Y59" s="247"/>
      <c r="Z59" s="244"/>
      <c r="AA59" s="246"/>
      <c r="AB59" s="237"/>
      <c r="AC59" s="247"/>
      <c r="AD59" s="247"/>
      <c r="AE59" s="244"/>
      <c r="AF59" s="247"/>
      <c r="AG59" s="247"/>
      <c r="AH59" s="247"/>
      <c r="AI59" s="247"/>
      <c r="AJ59" s="244"/>
      <c r="AK59" s="247"/>
      <c r="AL59" s="247"/>
      <c r="AM59" s="247"/>
      <c r="AN59" s="247"/>
      <c r="AO59" s="247"/>
      <c r="AP59" s="244"/>
      <c r="AQ59" s="244"/>
      <c r="AR59" s="247"/>
      <c r="AS59" s="247"/>
      <c r="AT59" s="247"/>
      <c r="AU59" s="247"/>
      <c r="AV59" s="244"/>
    </row>
    <row r="60" spans="1:48" ht="12.75" customHeight="1" x14ac:dyDescent="0.25">
      <c r="A60" s="240"/>
      <c r="B60" s="240"/>
      <c r="C60" s="242"/>
      <c r="D60" s="247"/>
      <c r="E60" s="242"/>
      <c r="F60" s="243"/>
      <c r="G60" s="243"/>
      <c r="H60" s="243"/>
      <c r="I60" s="243"/>
      <c r="J60" s="243"/>
      <c r="K60" s="247"/>
      <c r="L60" s="243"/>
      <c r="M60" s="243"/>
      <c r="N60" s="244"/>
      <c r="O60" s="247"/>
      <c r="P60" s="244"/>
      <c r="Q60" s="247"/>
      <c r="R60" s="244"/>
      <c r="S60" s="247"/>
      <c r="T60" s="247"/>
      <c r="U60" s="247"/>
      <c r="V60" s="247"/>
      <c r="W60" s="244"/>
      <c r="X60" s="247"/>
      <c r="Y60" s="247"/>
      <c r="Z60" s="244"/>
      <c r="AA60" s="246"/>
      <c r="AB60" s="237"/>
      <c r="AC60" s="247"/>
      <c r="AD60" s="247"/>
      <c r="AE60" s="244"/>
      <c r="AF60" s="247"/>
      <c r="AG60" s="247"/>
      <c r="AH60" s="247"/>
      <c r="AI60" s="247"/>
      <c r="AJ60" s="244"/>
      <c r="AK60" s="247"/>
      <c r="AL60" s="247"/>
      <c r="AM60" s="247"/>
      <c r="AN60" s="247"/>
      <c r="AO60" s="247"/>
      <c r="AP60" s="244"/>
      <c r="AQ60" s="244"/>
      <c r="AR60" s="247"/>
      <c r="AS60" s="247"/>
      <c r="AT60" s="247"/>
      <c r="AU60" s="247"/>
      <c r="AV60" s="244"/>
    </row>
    <row r="61" spans="1:48" ht="12.75" customHeight="1" x14ac:dyDescent="0.25">
      <c r="A61" s="240"/>
      <c r="B61" s="240"/>
      <c r="C61" s="242"/>
      <c r="D61" s="247"/>
      <c r="E61" s="242"/>
      <c r="F61" s="243"/>
      <c r="G61" s="243"/>
      <c r="H61" s="243"/>
      <c r="I61" s="243"/>
      <c r="J61" s="243"/>
      <c r="K61" s="247"/>
      <c r="L61" s="243"/>
      <c r="M61" s="243"/>
      <c r="N61" s="244"/>
      <c r="O61" s="247"/>
      <c r="P61" s="244"/>
      <c r="Q61" s="247"/>
      <c r="R61" s="244"/>
      <c r="S61" s="247"/>
      <c r="T61" s="247"/>
      <c r="U61" s="247"/>
      <c r="V61" s="247"/>
      <c r="W61" s="244"/>
      <c r="X61" s="247"/>
      <c r="Y61" s="247"/>
      <c r="Z61" s="244"/>
      <c r="AA61" s="246"/>
      <c r="AB61" s="237"/>
      <c r="AC61" s="247"/>
      <c r="AD61" s="247"/>
      <c r="AE61" s="244"/>
      <c r="AF61" s="247"/>
      <c r="AG61" s="247"/>
      <c r="AH61" s="247"/>
      <c r="AI61" s="247"/>
      <c r="AJ61" s="244"/>
      <c r="AK61" s="247"/>
      <c r="AL61" s="247"/>
      <c r="AM61" s="247"/>
      <c r="AN61" s="247"/>
      <c r="AO61" s="247"/>
      <c r="AP61" s="244"/>
      <c r="AQ61" s="244"/>
      <c r="AR61" s="247"/>
      <c r="AS61" s="247"/>
      <c r="AT61" s="247"/>
      <c r="AU61" s="247"/>
      <c r="AV61" s="244"/>
    </row>
    <row r="62" spans="1:48" ht="12.75" customHeight="1" x14ac:dyDescent="0.25">
      <c r="A62" s="240"/>
      <c r="B62" s="240"/>
      <c r="C62" s="242"/>
      <c r="D62" s="247"/>
      <c r="E62" s="242"/>
      <c r="F62" s="243"/>
      <c r="G62" s="243"/>
      <c r="H62" s="243"/>
      <c r="I62" s="243"/>
      <c r="J62" s="243"/>
      <c r="K62" s="247"/>
      <c r="L62" s="243"/>
      <c r="M62" s="243"/>
      <c r="N62" s="244"/>
      <c r="O62" s="247"/>
      <c r="P62" s="244"/>
      <c r="Q62" s="247"/>
      <c r="R62" s="244"/>
      <c r="S62" s="247"/>
      <c r="T62" s="247"/>
      <c r="U62" s="247"/>
      <c r="V62" s="247"/>
      <c r="W62" s="244"/>
      <c r="X62" s="247"/>
      <c r="Y62" s="247"/>
      <c r="Z62" s="244"/>
      <c r="AA62" s="246"/>
      <c r="AB62" s="237"/>
      <c r="AC62" s="247"/>
      <c r="AD62" s="247"/>
      <c r="AE62" s="244"/>
      <c r="AF62" s="247"/>
      <c r="AG62" s="247"/>
      <c r="AH62" s="247"/>
      <c r="AI62" s="247"/>
      <c r="AJ62" s="244"/>
      <c r="AK62" s="247"/>
      <c r="AL62" s="247"/>
      <c r="AM62" s="247"/>
      <c r="AN62" s="247"/>
      <c r="AO62" s="247"/>
      <c r="AP62" s="244"/>
      <c r="AQ62" s="244"/>
      <c r="AR62" s="247"/>
      <c r="AS62" s="247"/>
      <c r="AT62" s="247"/>
      <c r="AU62" s="247"/>
      <c r="AV62" s="244"/>
    </row>
    <row r="63" spans="1:48" ht="12.75" customHeight="1" x14ac:dyDescent="0.25">
      <c r="A63" s="240"/>
      <c r="B63" s="240"/>
      <c r="C63" s="242"/>
      <c r="D63" s="247"/>
      <c r="E63" s="242"/>
      <c r="F63" s="243"/>
      <c r="G63" s="243"/>
      <c r="H63" s="243"/>
      <c r="I63" s="243"/>
      <c r="J63" s="243"/>
      <c r="K63" s="247"/>
      <c r="L63" s="243"/>
      <c r="M63" s="243"/>
      <c r="N63" s="244"/>
      <c r="O63" s="247"/>
      <c r="P63" s="244"/>
      <c r="Q63" s="247"/>
      <c r="R63" s="244"/>
      <c r="S63" s="247"/>
      <c r="T63" s="247"/>
      <c r="U63" s="247"/>
      <c r="V63" s="247"/>
      <c r="W63" s="244"/>
      <c r="X63" s="247"/>
      <c r="Y63" s="247"/>
      <c r="Z63" s="244"/>
      <c r="AA63" s="246"/>
      <c r="AB63" s="237"/>
      <c r="AC63" s="247"/>
      <c r="AD63" s="247"/>
      <c r="AE63" s="244"/>
      <c r="AF63" s="247"/>
      <c r="AG63" s="247"/>
      <c r="AH63" s="247"/>
      <c r="AI63" s="247"/>
      <c r="AJ63" s="244"/>
      <c r="AK63" s="247"/>
      <c r="AL63" s="247"/>
      <c r="AM63" s="247"/>
      <c r="AN63" s="247"/>
      <c r="AO63" s="247"/>
      <c r="AP63" s="244"/>
      <c r="AQ63" s="244"/>
      <c r="AR63" s="247"/>
      <c r="AS63" s="247"/>
      <c r="AT63" s="247"/>
      <c r="AU63" s="247"/>
      <c r="AV63" s="244"/>
    </row>
    <row r="64" spans="1:48" ht="12.75" customHeight="1" x14ac:dyDescent="0.25">
      <c r="A64" s="240"/>
      <c r="B64" s="240"/>
      <c r="C64" s="242"/>
      <c r="D64" s="247"/>
      <c r="E64" s="242"/>
      <c r="F64" s="243"/>
      <c r="G64" s="243"/>
      <c r="H64" s="243"/>
      <c r="I64" s="243"/>
      <c r="J64" s="243"/>
      <c r="K64" s="247"/>
      <c r="L64" s="243"/>
      <c r="M64" s="243"/>
      <c r="N64" s="244"/>
      <c r="O64" s="247"/>
      <c r="P64" s="244"/>
      <c r="Q64" s="247"/>
      <c r="R64" s="244"/>
      <c r="S64" s="247"/>
      <c r="T64" s="247"/>
      <c r="U64" s="247"/>
      <c r="V64" s="247"/>
      <c r="W64" s="244"/>
      <c r="X64" s="247"/>
      <c r="Y64" s="247"/>
      <c r="Z64" s="244"/>
      <c r="AA64" s="246"/>
      <c r="AB64" s="237"/>
      <c r="AC64" s="247"/>
      <c r="AD64" s="247"/>
      <c r="AE64" s="244"/>
      <c r="AF64" s="247"/>
      <c r="AG64" s="247"/>
      <c r="AH64" s="247"/>
      <c r="AI64" s="247"/>
      <c r="AJ64" s="244"/>
      <c r="AK64" s="247"/>
      <c r="AL64" s="247"/>
      <c r="AM64" s="247"/>
      <c r="AN64" s="247"/>
      <c r="AO64" s="247"/>
      <c r="AP64" s="244"/>
      <c r="AQ64" s="244"/>
      <c r="AR64" s="247"/>
      <c r="AS64" s="247"/>
      <c r="AT64" s="247"/>
      <c r="AU64" s="247"/>
      <c r="AV64" s="244"/>
    </row>
    <row r="65" spans="1:48" ht="12.75" customHeight="1" x14ac:dyDescent="0.25">
      <c r="A65" s="240"/>
      <c r="B65" s="240"/>
      <c r="C65" s="242"/>
      <c r="D65" s="247"/>
      <c r="E65" s="242"/>
      <c r="F65" s="243"/>
      <c r="G65" s="243"/>
      <c r="H65" s="243"/>
      <c r="I65" s="243"/>
      <c r="J65" s="243"/>
      <c r="K65" s="247"/>
      <c r="L65" s="243"/>
      <c r="M65" s="243"/>
      <c r="N65" s="244"/>
      <c r="O65" s="247"/>
      <c r="P65" s="244"/>
      <c r="Q65" s="247"/>
      <c r="R65" s="244"/>
      <c r="S65" s="247"/>
      <c r="T65" s="247"/>
      <c r="U65" s="247"/>
      <c r="V65" s="247"/>
      <c r="W65" s="244"/>
      <c r="X65" s="247"/>
      <c r="Y65" s="247"/>
      <c r="Z65" s="244"/>
      <c r="AA65" s="246"/>
      <c r="AB65" s="237"/>
      <c r="AC65" s="247"/>
      <c r="AD65" s="247"/>
      <c r="AE65" s="244"/>
      <c r="AF65" s="247"/>
      <c r="AG65" s="247"/>
      <c r="AH65" s="247"/>
      <c r="AI65" s="247"/>
      <c r="AJ65" s="244"/>
      <c r="AK65" s="247"/>
      <c r="AL65" s="247"/>
      <c r="AM65" s="247"/>
      <c r="AN65" s="247"/>
      <c r="AO65" s="247"/>
      <c r="AP65" s="244"/>
      <c r="AQ65" s="244"/>
      <c r="AR65" s="247"/>
      <c r="AS65" s="247"/>
      <c r="AT65" s="247"/>
      <c r="AU65" s="247"/>
      <c r="AV65" s="244"/>
    </row>
    <row r="66" spans="1:48" ht="12.75" customHeight="1" x14ac:dyDescent="0.25">
      <c r="A66" s="240"/>
      <c r="B66" s="240"/>
      <c r="C66" s="242"/>
      <c r="D66" s="247"/>
      <c r="E66" s="242"/>
      <c r="F66" s="243"/>
      <c r="G66" s="243"/>
      <c r="H66" s="243"/>
      <c r="I66" s="243"/>
      <c r="J66" s="243"/>
      <c r="K66" s="247"/>
      <c r="L66" s="243"/>
      <c r="M66" s="243"/>
      <c r="N66" s="244"/>
      <c r="O66" s="247"/>
      <c r="P66" s="244"/>
      <c r="Q66" s="247"/>
      <c r="R66" s="244"/>
      <c r="S66" s="247"/>
      <c r="T66" s="247"/>
      <c r="U66" s="247"/>
      <c r="V66" s="247"/>
      <c r="W66" s="244"/>
      <c r="X66" s="247"/>
      <c r="Y66" s="247"/>
      <c r="Z66" s="244"/>
      <c r="AA66" s="246"/>
      <c r="AB66" s="237"/>
      <c r="AC66" s="247"/>
      <c r="AD66" s="247"/>
      <c r="AE66" s="244"/>
      <c r="AF66" s="247"/>
      <c r="AG66" s="247"/>
      <c r="AH66" s="247"/>
      <c r="AI66" s="247"/>
      <c r="AJ66" s="244"/>
      <c r="AK66" s="247"/>
      <c r="AL66" s="247"/>
      <c r="AM66" s="247"/>
      <c r="AN66" s="247"/>
      <c r="AO66" s="247"/>
      <c r="AP66" s="244"/>
      <c r="AQ66" s="244"/>
      <c r="AR66" s="247"/>
      <c r="AS66" s="247"/>
      <c r="AT66" s="247"/>
      <c r="AU66" s="247"/>
      <c r="AV66" s="244"/>
    </row>
    <row r="67" spans="1:48" ht="12.75" customHeight="1" x14ac:dyDescent="0.25">
      <c r="A67" s="240"/>
      <c r="B67" s="240"/>
      <c r="C67" s="242"/>
      <c r="D67" s="247"/>
      <c r="E67" s="242"/>
      <c r="F67" s="243"/>
      <c r="G67" s="243"/>
      <c r="H67" s="243"/>
      <c r="I67" s="243"/>
      <c r="J67" s="243"/>
      <c r="K67" s="247"/>
      <c r="L67" s="243"/>
      <c r="M67" s="243"/>
      <c r="N67" s="244"/>
      <c r="O67" s="247"/>
      <c r="P67" s="244"/>
      <c r="Q67" s="247"/>
      <c r="R67" s="244"/>
      <c r="S67" s="247"/>
      <c r="T67" s="247"/>
      <c r="U67" s="247"/>
      <c r="V67" s="247"/>
      <c r="W67" s="244"/>
      <c r="X67" s="247"/>
      <c r="Y67" s="247"/>
      <c r="Z67" s="244"/>
      <c r="AA67" s="246"/>
      <c r="AB67" s="237"/>
      <c r="AC67" s="247"/>
      <c r="AD67" s="247"/>
      <c r="AE67" s="244"/>
      <c r="AF67" s="247"/>
      <c r="AG67" s="247"/>
      <c r="AH67" s="247"/>
      <c r="AI67" s="247"/>
      <c r="AJ67" s="244"/>
      <c r="AK67" s="247"/>
      <c r="AL67" s="247"/>
      <c r="AM67" s="247"/>
      <c r="AN67" s="247"/>
      <c r="AO67" s="247"/>
      <c r="AP67" s="244"/>
      <c r="AQ67" s="244"/>
      <c r="AR67" s="247"/>
      <c r="AS67" s="247"/>
      <c r="AT67" s="247"/>
      <c r="AU67" s="247"/>
      <c r="AV67" s="244"/>
    </row>
    <row r="68" spans="1:48" ht="12.75" customHeight="1" x14ac:dyDescent="0.25">
      <c r="A68" s="240"/>
      <c r="B68" s="240"/>
      <c r="C68" s="242"/>
      <c r="D68" s="247"/>
      <c r="E68" s="242"/>
      <c r="F68" s="243"/>
      <c r="G68" s="243"/>
      <c r="H68" s="243"/>
      <c r="I68" s="243"/>
      <c r="J68" s="243"/>
      <c r="K68" s="247"/>
      <c r="L68" s="243"/>
      <c r="M68" s="243"/>
      <c r="N68" s="244"/>
      <c r="O68" s="247"/>
      <c r="P68" s="244"/>
      <c r="Q68" s="247"/>
      <c r="R68" s="244"/>
      <c r="S68" s="247"/>
      <c r="T68" s="247"/>
      <c r="U68" s="247"/>
      <c r="V68" s="247"/>
      <c r="W68" s="244"/>
      <c r="X68" s="247"/>
      <c r="Y68" s="247"/>
      <c r="Z68" s="244"/>
      <c r="AA68" s="246"/>
      <c r="AB68" s="237"/>
      <c r="AC68" s="247"/>
      <c r="AD68" s="247"/>
      <c r="AE68" s="244"/>
      <c r="AF68" s="247"/>
      <c r="AG68" s="247"/>
      <c r="AH68" s="247"/>
      <c r="AI68" s="247"/>
      <c r="AJ68" s="244"/>
      <c r="AK68" s="247"/>
      <c r="AL68" s="247"/>
      <c r="AM68" s="247"/>
      <c r="AN68" s="247"/>
      <c r="AO68" s="247"/>
      <c r="AP68" s="244"/>
      <c r="AQ68" s="244"/>
      <c r="AR68" s="247"/>
      <c r="AS68" s="247"/>
      <c r="AT68" s="247"/>
      <c r="AU68" s="247"/>
      <c r="AV68" s="244"/>
    </row>
    <row r="69" spans="1:48" ht="12.75" customHeight="1" x14ac:dyDescent="0.25">
      <c r="A69" s="240"/>
      <c r="B69" s="240"/>
      <c r="C69" s="242"/>
      <c r="D69" s="247"/>
      <c r="E69" s="242"/>
      <c r="F69" s="243"/>
      <c r="G69" s="243"/>
      <c r="H69" s="243"/>
      <c r="I69" s="243"/>
      <c r="J69" s="243"/>
      <c r="K69" s="247"/>
      <c r="L69" s="243"/>
      <c r="M69" s="243"/>
      <c r="N69" s="244"/>
      <c r="O69" s="247"/>
      <c r="P69" s="244"/>
      <c r="Q69" s="247"/>
      <c r="R69" s="244"/>
      <c r="S69" s="247"/>
      <c r="T69" s="247"/>
      <c r="U69" s="247"/>
      <c r="V69" s="247"/>
      <c r="W69" s="244"/>
      <c r="X69" s="247"/>
      <c r="Y69" s="247"/>
      <c r="Z69" s="244"/>
      <c r="AA69" s="246"/>
      <c r="AB69" s="237"/>
      <c r="AC69" s="247"/>
      <c r="AD69" s="247"/>
      <c r="AE69" s="244"/>
      <c r="AF69" s="247"/>
      <c r="AG69" s="247"/>
      <c r="AH69" s="247"/>
      <c r="AI69" s="247"/>
      <c r="AJ69" s="244"/>
      <c r="AK69" s="247"/>
      <c r="AL69" s="247"/>
      <c r="AM69" s="247"/>
      <c r="AN69" s="247"/>
      <c r="AO69" s="247"/>
      <c r="AP69" s="244"/>
      <c r="AQ69" s="244"/>
      <c r="AR69" s="247"/>
      <c r="AS69" s="247"/>
      <c r="AT69" s="247"/>
      <c r="AU69" s="247"/>
      <c r="AV69" s="244"/>
    </row>
    <row r="70" spans="1:48" ht="12.75" customHeight="1" x14ac:dyDescent="0.25">
      <c r="A70" s="240"/>
      <c r="B70" s="240"/>
      <c r="C70" s="242"/>
      <c r="D70" s="247"/>
      <c r="E70" s="242"/>
      <c r="F70" s="243"/>
      <c r="G70" s="243"/>
      <c r="H70" s="243"/>
      <c r="I70" s="243"/>
      <c r="J70" s="243"/>
      <c r="K70" s="247"/>
      <c r="L70" s="243"/>
      <c r="M70" s="243"/>
      <c r="N70" s="244"/>
      <c r="O70" s="247"/>
      <c r="P70" s="244"/>
      <c r="Q70" s="247"/>
      <c r="R70" s="244"/>
      <c r="S70" s="247"/>
      <c r="T70" s="247"/>
      <c r="U70" s="247"/>
      <c r="V70" s="247"/>
      <c r="W70" s="244"/>
      <c r="X70" s="247"/>
      <c r="Y70" s="247"/>
      <c r="Z70" s="244"/>
      <c r="AA70" s="246"/>
      <c r="AB70" s="237"/>
      <c r="AC70" s="247"/>
      <c r="AD70" s="247"/>
      <c r="AE70" s="244"/>
      <c r="AF70" s="247"/>
      <c r="AG70" s="247"/>
      <c r="AH70" s="247"/>
      <c r="AI70" s="247"/>
      <c r="AJ70" s="244"/>
      <c r="AK70" s="247"/>
      <c r="AL70" s="247"/>
      <c r="AM70" s="247"/>
      <c r="AN70" s="247"/>
      <c r="AO70" s="247"/>
      <c r="AP70" s="244"/>
      <c r="AQ70" s="244"/>
      <c r="AR70" s="247"/>
      <c r="AS70" s="247"/>
      <c r="AT70" s="247"/>
      <c r="AU70" s="247"/>
      <c r="AV70" s="244"/>
    </row>
    <row r="71" spans="1:48" ht="12.75" customHeight="1" x14ac:dyDescent="0.25">
      <c r="A71" s="240"/>
      <c r="B71" s="240"/>
      <c r="C71" s="242"/>
      <c r="D71" s="247"/>
      <c r="E71" s="242"/>
      <c r="F71" s="243"/>
      <c r="G71" s="243"/>
      <c r="H71" s="243"/>
      <c r="I71" s="243"/>
      <c r="J71" s="243"/>
      <c r="K71" s="247"/>
      <c r="L71" s="243"/>
      <c r="M71" s="243"/>
      <c r="N71" s="244"/>
      <c r="O71" s="247"/>
      <c r="P71" s="244"/>
      <c r="Q71" s="247"/>
      <c r="R71" s="244"/>
      <c r="S71" s="247"/>
      <c r="T71" s="247"/>
      <c r="U71" s="247"/>
      <c r="V71" s="247"/>
      <c r="W71" s="244"/>
      <c r="X71" s="247"/>
      <c r="Y71" s="247"/>
      <c r="Z71" s="244"/>
      <c r="AA71" s="246"/>
      <c r="AB71" s="237"/>
      <c r="AC71" s="247"/>
      <c r="AD71" s="247"/>
      <c r="AE71" s="244"/>
      <c r="AF71" s="247"/>
      <c r="AG71" s="247"/>
      <c r="AH71" s="247"/>
      <c r="AI71" s="247"/>
      <c r="AJ71" s="244"/>
      <c r="AK71" s="247"/>
      <c r="AL71" s="247"/>
      <c r="AM71" s="247"/>
      <c r="AN71" s="247"/>
      <c r="AO71" s="247"/>
      <c r="AP71" s="244"/>
      <c r="AQ71" s="244"/>
      <c r="AR71" s="247"/>
      <c r="AS71" s="247"/>
      <c r="AT71" s="247"/>
      <c r="AU71" s="247"/>
      <c r="AV71" s="244"/>
    </row>
    <row r="72" spans="1:48" ht="12.75" customHeight="1" x14ac:dyDescent="0.25">
      <c r="A72" s="240"/>
      <c r="B72" s="240"/>
      <c r="C72" s="242"/>
      <c r="D72" s="247"/>
      <c r="E72" s="242"/>
      <c r="F72" s="243"/>
      <c r="G72" s="243"/>
      <c r="H72" s="243"/>
      <c r="I72" s="243"/>
      <c r="J72" s="243"/>
      <c r="K72" s="247"/>
      <c r="L72" s="243"/>
      <c r="M72" s="243"/>
      <c r="N72" s="244"/>
      <c r="O72" s="247"/>
      <c r="P72" s="244"/>
      <c r="Q72" s="247"/>
      <c r="R72" s="244"/>
      <c r="S72" s="247"/>
      <c r="T72" s="247"/>
      <c r="U72" s="247"/>
      <c r="V72" s="247"/>
      <c r="W72" s="244"/>
      <c r="X72" s="247"/>
      <c r="Y72" s="247"/>
      <c r="Z72" s="244"/>
      <c r="AA72" s="246"/>
      <c r="AB72" s="237"/>
      <c r="AC72" s="247"/>
      <c r="AD72" s="247"/>
      <c r="AE72" s="244"/>
      <c r="AF72" s="247"/>
      <c r="AG72" s="247"/>
      <c r="AH72" s="247"/>
      <c r="AI72" s="247"/>
      <c r="AJ72" s="244"/>
      <c r="AK72" s="247"/>
      <c r="AL72" s="247"/>
      <c r="AM72" s="247"/>
      <c r="AN72" s="247"/>
      <c r="AO72" s="247"/>
      <c r="AP72" s="244"/>
      <c r="AQ72" s="244"/>
      <c r="AR72" s="247"/>
      <c r="AS72" s="247"/>
      <c r="AT72" s="247"/>
      <c r="AU72" s="247"/>
      <c r="AV72" s="244"/>
    </row>
    <row r="73" spans="1:48" ht="12.75" customHeight="1" x14ac:dyDescent="0.25">
      <c r="A73" s="240"/>
      <c r="B73" s="240"/>
      <c r="C73" s="242"/>
      <c r="D73" s="247"/>
      <c r="E73" s="242"/>
      <c r="F73" s="243"/>
      <c r="G73" s="243"/>
      <c r="H73" s="243"/>
      <c r="I73" s="243"/>
      <c r="J73" s="243"/>
      <c r="K73" s="247"/>
      <c r="L73" s="243"/>
      <c r="M73" s="243"/>
      <c r="N73" s="244"/>
      <c r="O73" s="247"/>
      <c r="P73" s="244"/>
      <c r="Q73" s="247"/>
      <c r="R73" s="244"/>
      <c r="S73" s="247"/>
      <c r="T73" s="247"/>
      <c r="U73" s="247"/>
      <c r="V73" s="247"/>
      <c r="W73" s="244"/>
      <c r="X73" s="247"/>
      <c r="Y73" s="247"/>
      <c r="Z73" s="244"/>
      <c r="AA73" s="246"/>
      <c r="AB73" s="237"/>
      <c r="AC73" s="247"/>
      <c r="AD73" s="247"/>
      <c r="AE73" s="244"/>
      <c r="AF73" s="247"/>
      <c r="AG73" s="247"/>
      <c r="AH73" s="247"/>
      <c r="AI73" s="247"/>
      <c r="AJ73" s="244"/>
      <c r="AK73" s="247"/>
      <c r="AL73" s="247"/>
      <c r="AM73" s="247"/>
      <c r="AN73" s="247"/>
      <c r="AO73" s="247"/>
      <c r="AP73" s="244"/>
      <c r="AQ73" s="244"/>
      <c r="AR73" s="247"/>
      <c r="AS73" s="247"/>
      <c r="AT73" s="247"/>
      <c r="AU73" s="247"/>
      <c r="AV73" s="244"/>
    </row>
    <row r="74" spans="1:48" ht="12.75" customHeight="1" x14ac:dyDescent="0.25">
      <c r="A74" s="240"/>
      <c r="B74" s="240"/>
      <c r="C74" s="242"/>
      <c r="D74" s="247"/>
      <c r="E74" s="242"/>
      <c r="F74" s="243"/>
      <c r="G74" s="243"/>
      <c r="H74" s="243"/>
      <c r="I74" s="243"/>
      <c r="J74" s="243"/>
      <c r="K74" s="247"/>
      <c r="L74" s="243"/>
      <c r="M74" s="243"/>
      <c r="N74" s="244"/>
      <c r="O74" s="247"/>
      <c r="P74" s="244"/>
      <c r="Q74" s="247"/>
      <c r="R74" s="244"/>
      <c r="S74" s="247"/>
      <c r="T74" s="247"/>
      <c r="U74" s="247"/>
      <c r="V74" s="247"/>
      <c r="W74" s="244"/>
      <c r="X74" s="247"/>
      <c r="Y74" s="247"/>
      <c r="Z74" s="244"/>
      <c r="AA74" s="246"/>
      <c r="AB74" s="237"/>
      <c r="AC74" s="247"/>
      <c r="AD74" s="247"/>
      <c r="AE74" s="244"/>
      <c r="AF74" s="247"/>
      <c r="AG74" s="247"/>
      <c r="AH74" s="247"/>
      <c r="AI74" s="247"/>
      <c r="AJ74" s="244"/>
      <c r="AK74" s="247"/>
      <c r="AL74" s="247"/>
      <c r="AM74" s="247"/>
      <c r="AN74" s="247"/>
      <c r="AO74" s="247"/>
      <c r="AP74" s="244"/>
      <c r="AQ74" s="244"/>
      <c r="AR74" s="247"/>
      <c r="AS74" s="247"/>
      <c r="AT74" s="247"/>
      <c r="AU74" s="247"/>
      <c r="AV74" s="244"/>
    </row>
    <row r="75" spans="1:48" ht="12.75" customHeight="1" x14ac:dyDescent="0.25">
      <c r="A75" s="240"/>
      <c r="B75" s="240"/>
      <c r="C75" s="242"/>
      <c r="D75" s="247"/>
      <c r="E75" s="242"/>
      <c r="F75" s="243"/>
      <c r="G75" s="243"/>
      <c r="H75" s="243"/>
      <c r="I75" s="243"/>
      <c r="J75" s="243"/>
      <c r="K75" s="247"/>
      <c r="L75" s="243"/>
      <c r="M75" s="243"/>
      <c r="N75" s="244"/>
      <c r="O75" s="247"/>
      <c r="P75" s="244"/>
      <c r="Q75" s="247"/>
      <c r="R75" s="244"/>
      <c r="S75" s="247"/>
      <c r="T75" s="247"/>
      <c r="U75" s="247"/>
      <c r="V75" s="247"/>
      <c r="W75" s="244"/>
      <c r="X75" s="247"/>
      <c r="Y75" s="247"/>
      <c r="Z75" s="244"/>
      <c r="AA75" s="246"/>
      <c r="AB75" s="237"/>
      <c r="AC75" s="247"/>
      <c r="AD75" s="247"/>
      <c r="AE75" s="244"/>
      <c r="AF75" s="247"/>
      <c r="AG75" s="247"/>
      <c r="AH75" s="247"/>
      <c r="AI75" s="247"/>
      <c r="AJ75" s="244"/>
      <c r="AK75" s="247"/>
      <c r="AL75" s="247"/>
      <c r="AM75" s="247"/>
      <c r="AN75" s="247"/>
      <c r="AO75" s="247"/>
      <c r="AP75" s="244"/>
      <c r="AQ75" s="244"/>
      <c r="AR75" s="247"/>
      <c r="AS75" s="247"/>
      <c r="AT75" s="247"/>
      <c r="AU75" s="247"/>
      <c r="AV75" s="244"/>
    </row>
    <row r="76" spans="1:48" ht="12.75" customHeight="1" x14ac:dyDescent="0.25">
      <c r="A76" s="240"/>
      <c r="B76" s="240"/>
      <c r="C76" s="242"/>
      <c r="D76" s="247"/>
      <c r="E76" s="242"/>
      <c r="F76" s="243"/>
      <c r="G76" s="243"/>
      <c r="H76" s="243"/>
      <c r="I76" s="243"/>
      <c r="J76" s="243"/>
      <c r="K76" s="247"/>
      <c r="L76" s="243"/>
      <c r="M76" s="243"/>
      <c r="N76" s="244"/>
      <c r="O76" s="247"/>
      <c r="P76" s="244"/>
      <c r="Q76" s="247"/>
      <c r="R76" s="244"/>
      <c r="S76" s="247"/>
      <c r="T76" s="247"/>
      <c r="U76" s="247"/>
      <c r="V76" s="247"/>
      <c r="W76" s="244"/>
      <c r="X76" s="247"/>
      <c r="Y76" s="247"/>
      <c r="Z76" s="244"/>
      <c r="AA76" s="246"/>
      <c r="AB76" s="237"/>
      <c r="AC76" s="247"/>
      <c r="AD76" s="247"/>
      <c r="AE76" s="244"/>
      <c r="AF76" s="247"/>
      <c r="AG76" s="247"/>
      <c r="AH76" s="247"/>
      <c r="AI76" s="247"/>
      <c r="AJ76" s="244"/>
      <c r="AK76" s="247"/>
      <c r="AL76" s="247"/>
      <c r="AM76" s="247"/>
      <c r="AN76" s="247"/>
      <c r="AO76" s="247"/>
      <c r="AP76" s="244"/>
      <c r="AQ76" s="244"/>
      <c r="AR76" s="247"/>
      <c r="AS76" s="247"/>
      <c r="AT76" s="247"/>
      <c r="AU76" s="247"/>
      <c r="AV76" s="244"/>
    </row>
    <row r="77" spans="1:48" ht="12.75" customHeight="1" x14ac:dyDescent="0.25">
      <c r="A77" s="240"/>
      <c r="B77" s="240"/>
      <c r="C77" s="242"/>
      <c r="D77" s="247"/>
      <c r="E77" s="242"/>
      <c r="F77" s="243"/>
      <c r="G77" s="243"/>
      <c r="H77" s="243"/>
      <c r="I77" s="243"/>
      <c r="J77" s="243"/>
      <c r="K77" s="247"/>
      <c r="L77" s="243"/>
      <c r="M77" s="243"/>
      <c r="N77" s="244"/>
      <c r="O77" s="247"/>
      <c r="P77" s="244"/>
      <c r="Q77" s="247"/>
      <c r="R77" s="244"/>
      <c r="S77" s="247"/>
      <c r="T77" s="247"/>
      <c r="U77" s="247"/>
      <c r="V77" s="247"/>
      <c r="W77" s="244"/>
      <c r="X77" s="247"/>
      <c r="Y77" s="247"/>
      <c r="Z77" s="244"/>
      <c r="AA77" s="246"/>
      <c r="AB77" s="237"/>
      <c r="AC77" s="247"/>
      <c r="AD77" s="247"/>
      <c r="AE77" s="244"/>
      <c r="AF77" s="247"/>
      <c r="AG77" s="247"/>
      <c r="AH77" s="247"/>
      <c r="AI77" s="247"/>
      <c r="AJ77" s="244"/>
      <c r="AK77" s="247"/>
      <c r="AL77" s="247"/>
      <c r="AM77" s="247"/>
      <c r="AN77" s="247"/>
      <c r="AO77" s="247"/>
      <c r="AP77" s="244"/>
      <c r="AQ77" s="244"/>
      <c r="AR77" s="247"/>
      <c r="AS77" s="247"/>
      <c r="AT77" s="247"/>
      <c r="AU77" s="247"/>
      <c r="AV77" s="244"/>
    </row>
    <row r="78" spans="1:48" ht="12.75" customHeight="1" x14ac:dyDescent="0.25">
      <c r="A78" s="240"/>
      <c r="B78" s="240"/>
      <c r="C78" s="242"/>
      <c r="D78" s="247"/>
      <c r="E78" s="242"/>
      <c r="F78" s="243"/>
      <c r="G78" s="243"/>
      <c r="H78" s="243"/>
      <c r="I78" s="243"/>
      <c r="J78" s="243"/>
      <c r="K78" s="247"/>
      <c r="L78" s="243"/>
      <c r="M78" s="243"/>
      <c r="N78" s="244"/>
      <c r="O78" s="247"/>
      <c r="P78" s="244"/>
      <c r="Q78" s="247"/>
      <c r="R78" s="244"/>
      <c r="S78" s="247"/>
      <c r="T78" s="247"/>
      <c r="U78" s="247"/>
      <c r="V78" s="247"/>
      <c r="W78" s="244"/>
      <c r="X78" s="247"/>
      <c r="Y78" s="247"/>
      <c r="Z78" s="244"/>
      <c r="AA78" s="246"/>
      <c r="AB78" s="237"/>
      <c r="AC78" s="247"/>
      <c r="AD78" s="247"/>
      <c r="AE78" s="244"/>
      <c r="AF78" s="247"/>
      <c r="AG78" s="247"/>
      <c r="AH78" s="247"/>
      <c r="AI78" s="247"/>
      <c r="AJ78" s="244"/>
      <c r="AK78" s="247"/>
      <c r="AL78" s="247"/>
      <c r="AM78" s="247"/>
      <c r="AN78" s="247"/>
      <c r="AO78" s="247"/>
      <c r="AP78" s="244"/>
      <c r="AQ78" s="244"/>
      <c r="AR78" s="247"/>
      <c r="AS78" s="247"/>
      <c r="AT78" s="247"/>
      <c r="AU78" s="247"/>
      <c r="AV78" s="244"/>
    </row>
    <row r="79" spans="1:48" ht="12.75" customHeight="1" x14ac:dyDescent="0.25">
      <c r="A79" s="240"/>
      <c r="B79" s="240"/>
      <c r="C79" s="242"/>
      <c r="D79" s="247"/>
      <c r="E79" s="242"/>
      <c r="F79" s="243"/>
      <c r="G79" s="243"/>
      <c r="H79" s="243"/>
      <c r="I79" s="243"/>
      <c r="J79" s="243"/>
      <c r="K79" s="247"/>
      <c r="L79" s="243"/>
      <c r="M79" s="243"/>
      <c r="N79" s="244"/>
      <c r="O79" s="247"/>
      <c r="P79" s="244"/>
      <c r="Q79" s="247"/>
      <c r="R79" s="244"/>
      <c r="S79" s="247"/>
      <c r="T79" s="247"/>
      <c r="U79" s="247"/>
      <c r="V79" s="247"/>
      <c r="W79" s="244"/>
      <c r="X79" s="247"/>
      <c r="Y79" s="247"/>
      <c r="Z79" s="244"/>
      <c r="AA79" s="246"/>
      <c r="AB79" s="237"/>
      <c r="AC79" s="247"/>
      <c r="AD79" s="247"/>
      <c r="AE79" s="244"/>
      <c r="AF79" s="247"/>
      <c r="AG79" s="247"/>
      <c r="AH79" s="247"/>
      <c r="AI79" s="247"/>
      <c r="AJ79" s="244"/>
      <c r="AK79" s="247"/>
      <c r="AL79" s="247"/>
      <c r="AM79" s="247"/>
      <c r="AN79" s="247"/>
      <c r="AO79" s="247"/>
      <c r="AP79" s="244"/>
      <c r="AQ79" s="244"/>
      <c r="AR79" s="247"/>
      <c r="AS79" s="247"/>
      <c r="AT79" s="247"/>
      <c r="AU79" s="247"/>
      <c r="AV79" s="244"/>
    </row>
    <row r="80" spans="1:48" ht="12.75" customHeight="1" x14ac:dyDescent="0.25">
      <c r="A80" s="240"/>
      <c r="B80" s="240"/>
      <c r="C80" s="242"/>
      <c r="D80" s="247"/>
      <c r="E80" s="242"/>
      <c r="F80" s="243"/>
      <c r="G80" s="243"/>
      <c r="H80" s="243"/>
      <c r="I80" s="243"/>
      <c r="J80" s="243"/>
      <c r="K80" s="247"/>
      <c r="L80" s="243"/>
      <c r="M80" s="243"/>
      <c r="N80" s="244"/>
      <c r="O80" s="247"/>
      <c r="P80" s="244"/>
      <c r="Q80" s="247"/>
      <c r="R80" s="244"/>
      <c r="S80" s="247"/>
      <c r="T80" s="247"/>
      <c r="U80" s="247"/>
      <c r="V80" s="247"/>
      <c r="W80" s="244"/>
      <c r="X80" s="247"/>
      <c r="Y80" s="247"/>
      <c r="Z80" s="244"/>
      <c r="AA80" s="246"/>
      <c r="AB80" s="237"/>
      <c r="AC80" s="247"/>
      <c r="AD80" s="247"/>
      <c r="AE80" s="244"/>
      <c r="AF80" s="247"/>
      <c r="AG80" s="247"/>
      <c r="AH80" s="247"/>
      <c r="AI80" s="247"/>
      <c r="AJ80" s="244"/>
      <c r="AK80" s="247"/>
      <c r="AL80" s="247"/>
      <c r="AM80" s="247"/>
      <c r="AN80" s="247"/>
      <c r="AO80" s="247"/>
      <c r="AP80" s="244"/>
      <c r="AQ80" s="244"/>
      <c r="AR80" s="247"/>
      <c r="AS80" s="247"/>
      <c r="AT80" s="247"/>
      <c r="AU80" s="247"/>
      <c r="AV80" s="244"/>
    </row>
    <row r="81" spans="1:48" ht="12.75" customHeight="1" x14ac:dyDescent="0.25">
      <c r="A81" s="240"/>
      <c r="B81" s="240"/>
      <c r="C81" s="242"/>
      <c r="D81" s="247"/>
      <c r="E81" s="242"/>
      <c r="F81" s="243"/>
      <c r="G81" s="243"/>
      <c r="H81" s="243"/>
      <c r="I81" s="243"/>
      <c r="J81" s="243"/>
      <c r="K81" s="247"/>
      <c r="L81" s="243"/>
      <c r="M81" s="243"/>
      <c r="N81" s="244"/>
      <c r="O81" s="247"/>
      <c r="P81" s="244"/>
      <c r="Q81" s="247"/>
      <c r="R81" s="244"/>
      <c r="S81" s="247"/>
      <c r="T81" s="247"/>
      <c r="U81" s="247"/>
      <c r="V81" s="247"/>
      <c r="W81" s="244"/>
      <c r="X81" s="247"/>
      <c r="Y81" s="247"/>
      <c r="Z81" s="244"/>
      <c r="AA81" s="246"/>
      <c r="AB81" s="237"/>
      <c r="AC81" s="247"/>
      <c r="AD81" s="247"/>
      <c r="AE81" s="244"/>
      <c r="AF81" s="247"/>
      <c r="AG81" s="247"/>
      <c r="AH81" s="247"/>
      <c r="AI81" s="247"/>
      <c r="AJ81" s="244"/>
      <c r="AK81" s="247"/>
      <c r="AL81" s="247"/>
      <c r="AM81" s="247"/>
      <c r="AN81" s="247"/>
      <c r="AO81" s="247"/>
      <c r="AP81" s="244"/>
      <c r="AQ81" s="244"/>
      <c r="AR81" s="247"/>
      <c r="AS81" s="247"/>
      <c r="AT81" s="247"/>
      <c r="AU81" s="247"/>
      <c r="AV81" s="244"/>
    </row>
    <row r="82" spans="1:48" ht="12.75" customHeight="1" x14ac:dyDescent="0.25">
      <c r="A82" s="240"/>
      <c r="B82" s="240"/>
      <c r="C82" s="242"/>
      <c r="D82" s="247"/>
      <c r="E82" s="242"/>
      <c r="F82" s="243"/>
      <c r="G82" s="243"/>
      <c r="H82" s="243"/>
      <c r="I82" s="243"/>
      <c r="J82" s="243"/>
      <c r="K82" s="247"/>
      <c r="L82" s="243"/>
      <c r="M82" s="243"/>
      <c r="N82" s="244"/>
      <c r="O82" s="247"/>
      <c r="P82" s="244"/>
      <c r="Q82" s="247"/>
      <c r="R82" s="244"/>
      <c r="S82" s="247"/>
      <c r="T82" s="247"/>
      <c r="U82" s="247"/>
      <c r="V82" s="247"/>
      <c r="W82" s="244"/>
      <c r="X82" s="247"/>
      <c r="Y82" s="247"/>
      <c r="Z82" s="244"/>
      <c r="AA82" s="246"/>
      <c r="AB82" s="237"/>
      <c r="AC82" s="247"/>
      <c r="AD82" s="247"/>
      <c r="AE82" s="244"/>
      <c r="AF82" s="247"/>
      <c r="AG82" s="247"/>
      <c r="AH82" s="247"/>
      <c r="AI82" s="247"/>
      <c r="AJ82" s="244"/>
      <c r="AK82" s="247"/>
      <c r="AL82" s="247"/>
      <c r="AM82" s="247"/>
      <c r="AN82" s="247"/>
      <c r="AO82" s="247"/>
      <c r="AP82" s="244"/>
      <c r="AQ82" s="244"/>
      <c r="AR82" s="247"/>
      <c r="AS82" s="247"/>
      <c r="AT82" s="247"/>
      <c r="AU82" s="247"/>
      <c r="AV82" s="244"/>
    </row>
    <row r="83" spans="1:48" ht="12.75" customHeight="1" x14ac:dyDescent="0.25">
      <c r="A83" s="240"/>
      <c r="B83" s="240"/>
      <c r="C83" s="242"/>
      <c r="D83" s="247"/>
      <c r="E83" s="242"/>
      <c r="F83" s="243"/>
      <c r="G83" s="243"/>
      <c r="H83" s="243"/>
      <c r="I83" s="243"/>
      <c r="J83" s="243"/>
      <c r="K83" s="247"/>
      <c r="L83" s="243"/>
      <c r="M83" s="243"/>
      <c r="N83" s="244"/>
      <c r="O83" s="247"/>
      <c r="P83" s="244"/>
      <c r="Q83" s="247"/>
      <c r="R83" s="244"/>
      <c r="S83" s="247"/>
      <c r="T83" s="247"/>
      <c r="U83" s="247"/>
      <c r="V83" s="247"/>
      <c r="W83" s="244"/>
      <c r="X83" s="247"/>
      <c r="Y83" s="247"/>
      <c r="Z83" s="244"/>
      <c r="AA83" s="246"/>
      <c r="AB83" s="237"/>
      <c r="AC83" s="247"/>
      <c r="AD83" s="247"/>
      <c r="AE83" s="244"/>
      <c r="AF83" s="247"/>
      <c r="AG83" s="247"/>
      <c r="AH83" s="247"/>
      <c r="AI83" s="247"/>
      <c r="AJ83" s="244"/>
      <c r="AK83" s="247"/>
      <c r="AL83" s="247"/>
      <c r="AM83" s="247"/>
      <c r="AN83" s="247"/>
      <c r="AO83" s="247"/>
      <c r="AP83" s="244"/>
      <c r="AQ83" s="244"/>
      <c r="AR83" s="247"/>
      <c r="AS83" s="247"/>
      <c r="AT83" s="247"/>
      <c r="AU83" s="247"/>
      <c r="AV83" s="244"/>
    </row>
    <row r="84" spans="1:48" ht="12.75" customHeight="1" x14ac:dyDescent="0.25">
      <c r="A84" s="240"/>
      <c r="B84" s="240"/>
      <c r="C84" s="242"/>
      <c r="D84" s="247"/>
      <c r="E84" s="242"/>
      <c r="F84" s="243"/>
      <c r="G84" s="243"/>
      <c r="H84" s="243"/>
      <c r="I84" s="243"/>
      <c r="J84" s="243"/>
      <c r="K84" s="247"/>
      <c r="L84" s="243"/>
      <c r="M84" s="243"/>
      <c r="N84" s="244"/>
      <c r="O84" s="247"/>
      <c r="P84" s="244"/>
      <c r="Q84" s="247"/>
      <c r="R84" s="244"/>
      <c r="S84" s="247"/>
      <c r="T84" s="247"/>
      <c r="U84" s="247"/>
      <c r="V84" s="247"/>
      <c r="W84" s="244"/>
      <c r="X84" s="247"/>
      <c r="Y84" s="247"/>
      <c r="Z84" s="244"/>
      <c r="AA84" s="246"/>
      <c r="AB84" s="237"/>
      <c r="AC84" s="247"/>
      <c r="AD84" s="247"/>
      <c r="AE84" s="244"/>
      <c r="AF84" s="247"/>
      <c r="AG84" s="247"/>
      <c r="AH84" s="247"/>
      <c r="AI84" s="247"/>
      <c r="AJ84" s="244"/>
      <c r="AK84" s="247"/>
      <c r="AL84" s="247"/>
      <c r="AM84" s="247"/>
      <c r="AN84" s="247"/>
      <c r="AO84" s="247"/>
      <c r="AP84" s="244"/>
      <c r="AQ84" s="244"/>
      <c r="AR84" s="247"/>
      <c r="AS84" s="247"/>
      <c r="AT84" s="247"/>
      <c r="AU84" s="247"/>
      <c r="AV84" s="244"/>
    </row>
    <row r="85" spans="1:48" ht="12.75" customHeight="1" x14ac:dyDescent="0.25">
      <c r="A85" s="240"/>
      <c r="B85" s="240"/>
      <c r="C85" s="242"/>
      <c r="D85" s="247"/>
      <c r="E85" s="242"/>
      <c r="F85" s="243"/>
      <c r="G85" s="243"/>
      <c r="H85" s="243"/>
      <c r="I85" s="243"/>
      <c r="J85" s="243"/>
      <c r="K85" s="247"/>
      <c r="L85" s="243"/>
      <c r="M85" s="243"/>
      <c r="N85" s="244"/>
      <c r="O85" s="247"/>
      <c r="P85" s="244"/>
      <c r="Q85" s="247"/>
      <c r="R85" s="244"/>
      <c r="S85" s="247"/>
      <c r="T85" s="247"/>
      <c r="U85" s="247"/>
      <c r="V85" s="247"/>
      <c r="W85" s="244"/>
      <c r="X85" s="247"/>
      <c r="Y85" s="247"/>
      <c r="Z85" s="244"/>
      <c r="AA85" s="246"/>
      <c r="AB85" s="237"/>
      <c r="AC85" s="247"/>
      <c r="AD85" s="247"/>
      <c r="AE85" s="244"/>
      <c r="AF85" s="247"/>
      <c r="AG85" s="247"/>
      <c r="AH85" s="247"/>
      <c r="AI85" s="247"/>
      <c r="AJ85" s="244"/>
      <c r="AK85" s="247"/>
      <c r="AL85" s="247"/>
      <c r="AM85" s="247"/>
      <c r="AN85" s="247"/>
      <c r="AO85" s="247"/>
      <c r="AP85" s="244"/>
      <c r="AQ85" s="244"/>
      <c r="AR85" s="247"/>
      <c r="AS85" s="247"/>
      <c r="AT85" s="247"/>
      <c r="AU85" s="247"/>
      <c r="AV85" s="244"/>
    </row>
    <row r="86" spans="1:48" ht="12.75" customHeight="1" x14ac:dyDescent="0.25">
      <c r="A86" s="240"/>
      <c r="B86" s="240"/>
      <c r="C86" s="242"/>
      <c r="D86" s="247"/>
      <c r="E86" s="242"/>
      <c r="F86" s="243"/>
      <c r="G86" s="243"/>
      <c r="H86" s="243"/>
      <c r="I86" s="243"/>
      <c r="J86" s="243"/>
      <c r="K86" s="247"/>
      <c r="L86" s="243"/>
      <c r="M86" s="243"/>
      <c r="N86" s="244"/>
      <c r="O86" s="247"/>
      <c r="P86" s="244"/>
      <c r="Q86" s="247"/>
      <c r="R86" s="244"/>
      <c r="S86" s="247"/>
      <c r="T86" s="247"/>
      <c r="U86" s="247"/>
      <c r="V86" s="247"/>
      <c r="W86" s="244"/>
      <c r="X86" s="247"/>
      <c r="Y86" s="247"/>
      <c r="Z86" s="244"/>
      <c r="AA86" s="246"/>
      <c r="AB86" s="237"/>
      <c r="AC86" s="247"/>
      <c r="AD86" s="247"/>
      <c r="AE86" s="244"/>
      <c r="AF86" s="247"/>
      <c r="AG86" s="247"/>
      <c r="AH86" s="247"/>
      <c r="AI86" s="247"/>
      <c r="AJ86" s="244"/>
      <c r="AK86" s="247"/>
      <c r="AL86" s="247"/>
      <c r="AM86" s="247"/>
      <c r="AN86" s="247"/>
      <c r="AO86" s="247"/>
      <c r="AP86" s="244"/>
      <c r="AQ86" s="244"/>
      <c r="AR86" s="247"/>
      <c r="AS86" s="247"/>
      <c r="AT86" s="247"/>
      <c r="AU86" s="247"/>
      <c r="AV86" s="244"/>
    </row>
    <row r="87" spans="1:48" ht="12.75" customHeight="1" x14ac:dyDescent="0.25">
      <c r="A87" s="240"/>
      <c r="B87" s="240"/>
      <c r="C87" s="242"/>
      <c r="D87" s="247"/>
      <c r="E87" s="242"/>
      <c r="F87" s="243"/>
      <c r="G87" s="243"/>
      <c r="H87" s="243"/>
      <c r="I87" s="243"/>
      <c r="J87" s="243"/>
      <c r="K87" s="247"/>
      <c r="L87" s="243"/>
      <c r="M87" s="243"/>
      <c r="N87" s="244"/>
      <c r="O87" s="247"/>
      <c r="P87" s="244"/>
      <c r="Q87" s="247"/>
      <c r="R87" s="244"/>
      <c r="S87" s="247"/>
      <c r="T87" s="247"/>
      <c r="U87" s="247"/>
      <c r="V87" s="247"/>
      <c r="W87" s="244"/>
      <c r="X87" s="247"/>
      <c r="Y87" s="247"/>
      <c r="Z87" s="244"/>
      <c r="AA87" s="246"/>
      <c r="AB87" s="237"/>
      <c r="AC87" s="247"/>
      <c r="AD87" s="247"/>
      <c r="AE87" s="244"/>
      <c r="AF87" s="247"/>
      <c r="AG87" s="247"/>
      <c r="AH87" s="247"/>
      <c r="AI87" s="247"/>
      <c r="AJ87" s="244"/>
      <c r="AK87" s="247"/>
      <c r="AL87" s="247"/>
      <c r="AM87" s="247"/>
      <c r="AN87" s="247"/>
      <c r="AO87" s="247"/>
      <c r="AP87" s="244"/>
      <c r="AQ87" s="244"/>
      <c r="AR87" s="247"/>
      <c r="AS87" s="247"/>
      <c r="AT87" s="247"/>
      <c r="AU87" s="247"/>
      <c r="AV87" s="244"/>
    </row>
    <row r="88" spans="1:48" ht="12.75" customHeight="1" x14ac:dyDescent="0.25">
      <c r="A88" s="240"/>
      <c r="B88" s="240"/>
      <c r="C88" s="242"/>
      <c r="D88" s="247"/>
      <c r="E88" s="242"/>
      <c r="F88" s="243"/>
      <c r="G88" s="243"/>
      <c r="H88" s="243"/>
      <c r="I88" s="243"/>
      <c r="J88" s="243"/>
      <c r="K88" s="247"/>
      <c r="L88" s="243"/>
      <c r="M88" s="243"/>
      <c r="N88" s="244"/>
      <c r="O88" s="247"/>
      <c r="P88" s="244"/>
      <c r="Q88" s="247"/>
      <c r="R88" s="244"/>
      <c r="S88" s="247"/>
      <c r="T88" s="247"/>
      <c r="U88" s="247"/>
      <c r="V88" s="247"/>
      <c r="W88" s="244"/>
      <c r="X88" s="247"/>
      <c r="Y88" s="247"/>
      <c r="Z88" s="244"/>
      <c r="AA88" s="246"/>
      <c r="AB88" s="237"/>
      <c r="AC88" s="247"/>
      <c r="AD88" s="247"/>
      <c r="AE88" s="244"/>
      <c r="AF88" s="247"/>
      <c r="AG88" s="247"/>
      <c r="AH88" s="247"/>
      <c r="AI88" s="247"/>
      <c r="AJ88" s="244"/>
      <c r="AK88" s="247"/>
      <c r="AL88" s="247"/>
      <c r="AM88" s="247"/>
      <c r="AN88" s="247"/>
      <c r="AO88" s="247"/>
      <c r="AP88" s="244"/>
      <c r="AQ88" s="244"/>
      <c r="AR88" s="247"/>
      <c r="AS88" s="247"/>
      <c r="AT88" s="247"/>
      <c r="AU88" s="247"/>
      <c r="AV88" s="244"/>
    </row>
    <row r="89" spans="1:48" ht="12.75" customHeight="1" x14ac:dyDescent="0.25">
      <c r="A89" s="240"/>
      <c r="B89" s="240"/>
      <c r="C89" s="242"/>
      <c r="D89" s="247"/>
      <c r="E89" s="242"/>
      <c r="F89" s="243"/>
      <c r="G89" s="243"/>
      <c r="H89" s="243"/>
      <c r="I89" s="243"/>
      <c r="J89" s="243"/>
      <c r="K89" s="247"/>
      <c r="L89" s="243"/>
      <c r="M89" s="243"/>
      <c r="N89" s="244"/>
      <c r="O89" s="247"/>
      <c r="P89" s="244"/>
      <c r="Q89" s="247"/>
      <c r="R89" s="244"/>
      <c r="S89" s="247"/>
      <c r="T89" s="247"/>
      <c r="U89" s="247"/>
      <c r="V89" s="247"/>
      <c r="W89" s="244"/>
      <c r="X89" s="247"/>
      <c r="Y89" s="247"/>
      <c r="Z89" s="244"/>
      <c r="AA89" s="246"/>
      <c r="AB89" s="237"/>
      <c r="AC89" s="247"/>
      <c r="AD89" s="247"/>
      <c r="AE89" s="244"/>
      <c r="AF89" s="247"/>
      <c r="AG89" s="247"/>
      <c r="AH89" s="247"/>
      <c r="AI89" s="247"/>
      <c r="AJ89" s="244"/>
      <c r="AK89" s="247"/>
      <c r="AL89" s="247"/>
      <c r="AM89" s="247"/>
      <c r="AN89" s="247"/>
      <c r="AO89" s="247"/>
      <c r="AP89" s="244"/>
      <c r="AQ89" s="244"/>
      <c r="AR89" s="247"/>
      <c r="AS89" s="247"/>
      <c r="AT89" s="247"/>
      <c r="AU89" s="247"/>
      <c r="AV89" s="244"/>
    </row>
    <row r="90" spans="1:48" ht="12.75" customHeight="1" x14ac:dyDescent="0.25">
      <c r="A90" s="240"/>
      <c r="B90" s="240"/>
      <c r="C90" s="242"/>
      <c r="D90" s="247"/>
      <c r="E90" s="242"/>
      <c r="F90" s="243"/>
      <c r="G90" s="243"/>
      <c r="H90" s="243"/>
      <c r="I90" s="243"/>
      <c r="J90" s="243"/>
      <c r="K90" s="247"/>
      <c r="L90" s="243"/>
      <c r="M90" s="243"/>
      <c r="N90" s="244"/>
      <c r="O90" s="247"/>
      <c r="P90" s="244"/>
      <c r="Q90" s="247"/>
      <c r="R90" s="244"/>
      <c r="S90" s="247"/>
      <c r="T90" s="247"/>
      <c r="U90" s="247"/>
      <c r="V90" s="247"/>
      <c r="W90" s="244"/>
      <c r="X90" s="247"/>
      <c r="Y90" s="247"/>
      <c r="Z90" s="244"/>
      <c r="AA90" s="246"/>
      <c r="AB90" s="237"/>
      <c r="AC90" s="247"/>
      <c r="AD90" s="247"/>
      <c r="AE90" s="244"/>
      <c r="AF90" s="247"/>
      <c r="AG90" s="247"/>
      <c r="AH90" s="247"/>
      <c r="AI90" s="247"/>
      <c r="AJ90" s="244"/>
      <c r="AK90" s="247"/>
      <c r="AL90" s="247"/>
      <c r="AM90" s="247"/>
      <c r="AN90" s="247"/>
      <c r="AO90" s="247"/>
      <c r="AP90" s="244"/>
      <c r="AQ90" s="244"/>
      <c r="AR90" s="247"/>
      <c r="AS90" s="247"/>
      <c r="AT90" s="247"/>
      <c r="AU90" s="247"/>
      <c r="AV90" s="244"/>
    </row>
    <row r="91" spans="1:48" ht="12.75" customHeight="1" x14ac:dyDescent="0.25">
      <c r="A91" s="240"/>
      <c r="B91" s="240"/>
      <c r="C91" s="242"/>
      <c r="D91" s="247"/>
      <c r="E91" s="242"/>
      <c r="F91" s="243"/>
      <c r="G91" s="243"/>
      <c r="H91" s="243"/>
      <c r="I91" s="243"/>
      <c r="J91" s="243"/>
      <c r="K91" s="247"/>
      <c r="L91" s="243"/>
      <c r="M91" s="243"/>
      <c r="N91" s="244"/>
      <c r="O91" s="247"/>
      <c r="P91" s="244"/>
      <c r="Q91" s="247"/>
      <c r="R91" s="244"/>
      <c r="S91" s="247"/>
      <c r="T91" s="247"/>
      <c r="U91" s="247"/>
      <c r="V91" s="247"/>
      <c r="W91" s="244"/>
      <c r="X91" s="247"/>
      <c r="Y91" s="247"/>
      <c r="Z91" s="244"/>
      <c r="AA91" s="246"/>
      <c r="AB91" s="237"/>
      <c r="AC91" s="247"/>
      <c r="AD91" s="247"/>
      <c r="AE91" s="244"/>
      <c r="AF91" s="247"/>
      <c r="AG91" s="247"/>
      <c r="AH91" s="247"/>
      <c r="AI91" s="247"/>
      <c r="AJ91" s="244"/>
      <c r="AK91" s="247"/>
      <c r="AL91" s="247"/>
      <c r="AM91" s="247"/>
      <c r="AN91" s="247"/>
      <c r="AO91" s="247"/>
      <c r="AP91" s="244"/>
      <c r="AQ91" s="244"/>
      <c r="AR91" s="247"/>
      <c r="AS91" s="247"/>
      <c r="AT91" s="247"/>
      <c r="AU91" s="247"/>
      <c r="AV91" s="244"/>
    </row>
    <row r="92" spans="1:48" ht="12.75" customHeight="1" x14ac:dyDescent="0.25">
      <c r="A92" s="240"/>
      <c r="B92" s="240"/>
      <c r="C92" s="242"/>
      <c r="D92" s="247"/>
      <c r="E92" s="242"/>
      <c r="F92" s="243"/>
      <c r="G92" s="243"/>
      <c r="H92" s="243"/>
      <c r="I92" s="243"/>
      <c r="J92" s="243"/>
      <c r="K92" s="247"/>
      <c r="L92" s="243"/>
      <c r="M92" s="243"/>
      <c r="N92" s="244"/>
      <c r="O92" s="247"/>
      <c r="P92" s="244"/>
      <c r="Q92" s="247"/>
      <c r="R92" s="244"/>
      <c r="S92" s="247"/>
      <c r="T92" s="247"/>
      <c r="U92" s="247"/>
      <c r="V92" s="247"/>
      <c r="W92" s="244"/>
      <c r="X92" s="247"/>
      <c r="Y92" s="247"/>
      <c r="Z92" s="244"/>
      <c r="AA92" s="246"/>
      <c r="AB92" s="237"/>
      <c r="AC92" s="247"/>
      <c r="AD92" s="247"/>
      <c r="AE92" s="244"/>
      <c r="AF92" s="247"/>
      <c r="AG92" s="247"/>
      <c r="AH92" s="247"/>
      <c r="AI92" s="247"/>
      <c r="AJ92" s="244"/>
      <c r="AK92" s="247"/>
      <c r="AL92" s="247"/>
      <c r="AM92" s="247"/>
      <c r="AN92" s="247"/>
      <c r="AO92" s="247"/>
      <c r="AP92" s="244"/>
      <c r="AQ92" s="244"/>
      <c r="AR92" s="247"/>
      <c r="AS92" s="247"/>
      <c r="AT92" s="247"/>
      <c r="AU92" s="247"/>
      <c r="AV92" s="244"/>
    </row>
    <row r="93" spans="1:48" ht="12.75" customHeight="1" x14ac:dyDescent="0.25">
      <c r="A93" s="240"/>
      <c r="B93" s="240"/>
      <c r="C93" s="242"/>
      <c r="D93" s="247"/>
      <c r="E93" s="242"/>
      <c r="F93" s="243"/>
      <c r="G93" s="243"/>
      <c r="H93" s="243"/>
      <c r="I93" s="243"/>
      <c r="J93" s="243"/>
      <c r="K93" s="247"/>
      <c r="L93" s="243"/>
      <c r="M93" s="243"/>
      <c r="N93" s="244"/>
      <c r="O93" s="247"/>
      <c r="P93" s="244"/>
      <c r="Q93" s="247"/>
      <c r="R93" s="244"/>
      <c r="S93" s="247"/>
      <c r="T93" s="247"/>
      <c r="U93" s="247"/>
      <c r="V93" s="247"/>
      <c r="W93" s="244"/>
      <c r="X93" s="247"/>
      <c r="Y93" s="247"/>
      <c r="Z93" s="244"/>
      <c r="AA93" s="246"/>
      <c r="AB93" s="237"/>
      <c r="AC93" s="247"/>
      <c r="AD93" s="247"/>
      <c r="AE93" s="244"/>
      <c r="AF93" s="247"/>
      <c r="AG93" s="247"/>
      <c r="AH93" s="247"/>
      <c r="AI93" s="247"/>
      <c r="AJ93" s="244"/>
      <c r="AK93" s="247"/>
      <c r="AL93" s="247"/>
      <c r="AM93" s="247"/>
      <c r="AN93" s="247"/>
      <c r="AO93" s="247"/>
      <c r="AP93" s="244"/>
      <c r="AQ93" s="244"/>
      <c r="AR93" s="247"/>
      <c r="AS93" s="247"/>
      <c r="AT93" s="247"/>
      <c r="AU93" s="247"/>
      <c r="AV93" s="244"/>
    </row>
    <row r="94" spans="1:48" ht="12.75" customHeight="1" x14ac:dyDescent="0.25">
      <c r="A94" s="240"/>
      <c r="B94" s="240"/>
      <c r="C94" s="242"/>
      <c r="D94" s="247"/>
      <c r="E94" s="242"/>
      <c r="F94" s="243"/>
      <c r="G94" s="243"/>
      <c r="H94" s="243"/>
      <c r="I94" s="243"/>
      <c r="J94" s="243"/>
      <c r="K94" s="247"/>
      <c r="L94" s="243"/>
      <c r="M94" s="243"/>
      <c r="N94" s="244"/>
      <c r="O94" s="247"/>
      <c r="P94" s="244"/>
      <c r="Q94" s="247"/>
      <c r="R94" s="244"/>
      <c r="S94" s="247"/>
      <c r="T94" s="247"/>
      <c r="U94" s="247"/>
      <c r="V94" s="247"/>
      <c r="W94" s="244"/>
      <c r="X94" s="247"/>
      <c r="Y94" s="247"/>
      <c r="Z94" s="244"/>
      <c r="AA94" s="246"/>
      <c r="AB94" s="237"/>
      <c r="AC94" s="247"/>
      <c r="AD94" s="247"/>
      <c r="AE94" s="244"/>
      <c r="AF94" s="247"/>
      <c r="AG94" s="247"/>
      <c r="AH94" s="247"/>
      <c r="AI94" s="247"/>
      <c r="AJ94" s="244"/>
      <c r="AK94" s="247"/>
      <c r="AL94" s="247"/>
      <c r="AM94" s="247"/>
      <c r="AN94" s="247"/>
      <c r="AO94" s="247"/>
      <c r="AP94" s="244"/>
      <c r="AQ94" s="244"/>
      <c r="AR94" s="247"/>
      <c r="AS94" s="247"/>
      <c r="AT94" s="247"/>
      <c r="AU94" s="247"/>
      <c r="AV94" s="244"/>
    </row>
    <row r="95" spans="1:48" ht="12.75" customHeight="1" x14ac:dyDescent="0.25">
      <c r="A95" s="240"/>
      <c r="B95" s="240"/>
      <c r="C95" s="242"/>
      <c r="D95" s="247"/>
      <c r="E95" s="242"/>
      <c r="F95" s="243"/>
      <c r="G95" s="243"/>
      <c r="H95" s="243"/>
      <c r="I95" s="243"/>
      <c r="J95" s="243"/>
      <c r="K95" s="247"/>
      <c r="L95" s="243"/>
      <c r="M95" s="243"/>
      <c r="N95" s="244"/>
      <c r="O95" s="247"/>
      <c r="P95" s="244"/>
      <c r="Q95" s="247"/>
      <c r="R95" s="244"/>
      <c r="S95" s="247"/>
      <c r="T95" s="247"/>
      <c r="U95" s="247"/>
      <c r="V95" s="247"/>
      <c r="W95" s="244"/>
      <c r="X95" s="247"/>
      <c r="Y95" s="247"/>
      <c r="Z95" s="244"/>
      <c r="AA95" s="246"/>
      <c r="AB95" s="237"/>
      <c r="AC95" s="247"/>
      <c r="AD95" s="247"/>
      <c r="AE95" s="244"/>
      <c r="AF95" s="247"/>
      <c r="AG95" s="247"/>
      <c r="AH95" s="247"/>
      <c r="AI95" s="247"/>
      <c r="AJ95" s="244"/>
      <c r="AK95" s="247"/>
      <c r="AL95" s="247"/>
      <c r="AM95" s="247"/>
      <c r="AN95" s="247"/>
      <c r="AO95" s="247"/>
      <c r="AP95" s="244"/>
      <c r="AQ95" s="244"/>
      <c r="AR95" s="247"/>
      <c r="AS95" s="247"/>
      <c r="AT95" s="247"/>
      <c r="AU95" s="247"/>
      <c r="AV95" s="244"/>
    </row>
    <row r="96" spans="1:48" ht="12.75" customHeight="1" x14ac:dyDescent="0.25">
      <c r="A96" s="240"/>
      <c r="B96" s="240"/>
      <c r="C96" s="242"/>
      <c r="D96" s="247"/>
      <c r="E96" s="242"/>
      <c r="F96" s="243"/>
      <c r="G96" s="243"/>
      <c r="H96" s="243"/>
      <c r="I96" s="243"/>
      <c r="J96" s="243"/>
      <c r="K96" s="247"/>
      <c r="L96" s="243"/>
      <c r="M96" s="243"/>
      <c r="N96" s="244"/>
      <c r="O96" s="247"/>
      <c r="P96" s="244"/>
      <c r="Q96" s="247"/>
      <c r="R96" s="244"/>
      <c r="S96" s="247"/>
      <c r="T96" s="247"/>
      <c r="U96" s="247"/>
      <c r="V96" s="247"/>
      <c r="W96" s="244"/>
      <c r="X96" s="247"/>
      <c r="Y96" s="247"/>
      <c r="Z96" s="244"/>
      <c r="AA96" s="246"/>
      <c r="AB96" s="237"/>
      <c r="AC96" s="247"/>
      <c r="AD96" s="247"/>
      <c r="AE96" s="244"/>
      <c r="AF96" s="247"/>
      <c r="AG96" s="247"/>
      <c r="AH96" s="247"/>
      <c r="AI96" s="247"/>
      <c r="AJ96" s="244"/>
      <c r="AK96" s="247"/>
      <c r="AL96" s="247"/>
      <c r="AM96" s="247"/>
      <c r="AN96" s="247"/>
      <c r="AO96" s="247"/>
      <c r="AP96" s="244"/>
      <c r="AQ96" s="244"/>
      <c r="AR96" s="247"/>
      <c r="AS96" s="247"/>
      <c r="AT96" s="247"/>
      <c r="AU96" s="247"/>
      <c r="AV96" s="244"/>
    </row>
    <row r="97" spans="1:48" ht="12.75" customHeight="1" x14ac:dyDescent="0.25">
      <c r="A97" s="240"/>
      <c r="B97" s="240"/>
      <c r="C97" s="242"/>
      <c r="D97" s="247"/>
      <c r="E97" s="242"/>
      <c r="F97" s="243"/>
      <c r="G97" s="243"/>
      <c r="H97" s="243"/>
      <c r="I97" s="243"/>
      <c r="J97" s="243"/>
      <c r="K97" s="247"/>
      <c r="L97" s="243"/>
      <c r="M97" s="243"/>
      <c r="N97" s="244"/>
      <c r="O97" s="247"/>
      <c r="P97" s="244"/>
      <c r="Q97" s="247"/>
      <c r="R97" s="244"/>
      <c r="S97" s="247"/>
      <c r="T97" s="247"/>
      <c r="U97" s="247"/>
      <c r="V97" s="247"/>
      <c r="W97" s="244"/>
      <c r="X97" s="247"/>
      <c r="Y97" s="247"/>
      <c r="Z97" s="244"/>
      <c r="AA97" s="246"/>
      <c r="AB97" s="237"/>
      <c r="AC97" s="247"/>
      <c r="AD97" s="247"/>
      <c r="AE97" s="244"/>
      <c r="AF97" s="247"/>
      <c r="AG97" s="247"/>
      <c r="AH97" s="247"/>
      <c r="AI97" s="247"/>
      <c r="AJ97" s="244"/>
      <c r="AK97" s="247"/>
      <c r="AL97" s="247"/>
      <c r="AM97" s="247"/>
      <c r="AN97" s="247"/>
      <c r="AO97" s="247"/>
      <c r="AP97" s="244"/>
      <c r="AQ97" s="244"/>
      <c r="AR97" s="247"/>
      <c r="AS97" s="247"/>
      <c r="AT97" s="247"/>
      <c r="AU97" s="247"/>
      <c r="AV97" s="244"/>
    </row>
    <row r="98" spans="1:48" ht="12.75" customHeight="1" x14ac:dyDescent="0.25">
      <c r="A98" s="240"/>
      <c r="B98" s="240"/>
      <c r="C98" s="242"/>
      <c r="D98" s="247"/>
      <c r="E98" s="242"/>
      <c r="F98" s="243"/>
      <c r="G98" s="243"/>
      <c r="H98" s="243"/>
      <c r="I98" s="243"/>
      <c r="J98" s="243"/>
      <c r="K98" s="247"/>
      <c r="L98" s="243"/>
      <c r="M98" s="243"/>
      <c r="N98" s="244"/>
      <c r="O98" s="247"/>
      <c r="P98" s="244"/>
      <c r="Q98" s="247"/>
      <c r="R98" s="244"/>
      <c r="S98" s="247"/>
      <c r="T98" s="247"/>
      <c r="U98" s="247"/>
      <c r="V98" s="247"/>
      <c r="W98" s="244"/>
      <c r="X98" s="247"/>
      <c r="Y98" s="247"/>
      <c r="Z98" s="244"/>
      <c r="AA98" s="246"/>
      <c r="AB98" s="237"/>
      <c r="AC98" s="247"/>
      <c r="AD98" s="247"/>
      <c r="AE98" s="244"/>
      <c r="AF98" s="247"/>
      <c r="AG98" s="247"/>
      <c r="AH98" s="247"/>
      <c r="AI98" s="247"/>
      <c r="AJ98" s="244"/>
      <c r="AK98" s="247"/>
      <c r="AL98" s="247"/>
      <c r="AM98" s="247"/>
      <c r="AN98" s="247"/>
      <c r="AO98" s="247"/>
      <c r="AP98" s="244"/>
      <c r="AQ98" s="244"/>
      <c r="AR98" s="247"/>
      <c r="AS98" s="247"/>
      <c r="AT98" s="247"/>
      <c r="AU98" s="247"/>
      <c r="AV98" s="244"/>
    </row>
    <row r="99" spans="1:48" ht="12.75" customHeight="1" x14ac:dyDescent="0.25">
      <c r="A99" s="240"/>
      <c r="B99" s="240"/>
      <c r="C99" s="242"/>
      <c r="D99" s="247"/>
      <c r="E99" s="242"/>
      <c r="F99" s="243"/>
      <c r="G99" s="243"/>
      <c r="H99" s="243"/>
      <c r="I99" s="243"/>
      <c r="J99" s="243"/>
      <c r="K99" s="247"/>
      <c r="L99" s="243"/>
      <c r="M99" s="243"/>
      <c r="N99" s="244"/>
      <c r="O99" s="247"/>
      <c r="P99" s="244"/>
      <c r="Q99" s="247"/>
      <c r="R99" s="244"/>
      <c r="S99" s="247"/>
      <c r="T99" s="247"/>
      <c r="U99" s="247"/>
      <c r="V99" s="247"/>
      <c r="W99" s="244"/>
      <c r="X99" s="247"/>
      <c r="Y99" s="247"/>
      <c r="Z99" s="244"/>
      <c r="AA99" s="246"/>
      <c r="AB99" s="237"/>
      <c r="AC99" s="247"/>
      <c r="AD99" s="247"/>
      <c r="AE99" s="244"/>
      <c r="AF99" s="247"/>
      <c r="AG99" s="247"/>
      <c r="AH99" s="247"/>
      <c r="AI99" s="247"/>
      <c r="AJ99" s="244"/>
      <c r="AK99" s="247"/>
      <c r="AL99" s="247"/>
      <c r="AM99" s="247"/>
      <c r="AN99" s="247"/>
      <c r="AO99" s="247"/>
      <c r="AP99" s="244"/>
      <c r="AQ99" s="244"/>
      <c r="AR99" s="247"/>
      <c r="AS99" s="247"/>
      <c r="AT99" s="247"/>
      <c r="AU99" s="247"/>
      <c r="AV99" s="244"/>
    </row>
    <row r="100" spans="1:48" ht="12.75" customHeight="1" x14ac:dyDescent="0.25">
      <c r="A100" s="240"/>
      <c r="B100" s="240"/>
      <c r="C100" s="242"/>
      <c r="D100" s="247"/>
      <c r="E100" s="242"/>
      <c r="F100" s="243"/>
      <c r="G100" s="243"/>
      <c r="H100" s="243"/>
      <c r="I100" s="243"/>
      <c r="J100" s="243"/>
      <c r="K100" s="247"/>
      <c r="L100" s="243"/>
      <c r="M100" s="243"/>
      <c r="N100" s="244"/>
      <c r="O100" s="247"/>
      <c r="P100" s="244"/>
      <c r="Q100" s="247"/>
      <c r="R100" s="244"/>
      <c r="S100" s="247"/>
      <c r="T100" s="247"/>
      <c r="U100" s="247"/>
      <c r="V100" s="247"/>
      <c r="W100" s="244"/>
      <c r="X100" s="247"/>
      <c r="Y100" s="247"/>
      <c r="Z100" s="244"/>
      <c r="AA100" s="246"/>
      <c r="AB100" s="237"/>
      <c r="AC100" s="247"/>
      <c r="AD100" s="247"/>
      <c r="AE100" s="244"/>
      <c r="AF100" s="247"/>
      <c r="AG100" s="247"/>
      <c r="AH100" s="247"/>
      <c r="AI100" s="247"/>
      <c r="AJ100" s="244"/>
      <c r="AK100" s="247"/>
      <c r="AL100" s="247"/>
      <c r="AM100" s="247"/>
      <c r="AN100" s="247"/>
      <c r="AO100" s="247"/>
      <c r="AP100" s="244"/>
      <c r="AQ100" s="244"/>
      <c r="AR100" s="247"/>
      <c r="AS100" s="247"/>
      <c r="AT100" s="247"/>
      <c r="AU100" s="247"/>
      <c r="AV100" s="244"/>
    </row>
    <row r="101" spans="1:48" ht="12.75" customHeight="1" x14ac:dyDescent="0.25">
      <c r="A101" s="240"/>
      <c r="B101" s="240"/>
      <c r="C101" s="242"/>
      <c r="D101" s="247"/>
      <c r="E101" s="242"/>
      <c r="F101" s="243"/>
      <c r="G101" s="243"/>
      <c r="H101" s="243"/>
      <c r="I101" s="243"/>
      <c r="J101" s="243"/>
      <c r="K101" s="247"/>
      <c r="L101" s="243"/>
      <c r="M101" s="243"/>
      <c r="N101" s="244"/>
      <c r="O101" s="247"/>
      <c r="P101" s="244"/>
      <c r="Q101" s="247"/>
      <c r="R101" s="244"/>
      <c r="S101" s="247"/>
      <c r="T101" s="247"/>
      <c r="U101" s="247"/>
      <c r="V101" s="247"/>
      <c r="W101" s="244"/>
      <c r="X101" s="247"/>
      <c r="Y101" s="247"/>
      <c r="Z101" s="244"/>
      <c r="AA101" s="246"/>
      <c r="AB101" s="237"/>
      <c r="AC101" s="247"/>
      <c r="AD101" s="247"/>
      <c r="AE101" s="244"/>
      <c r="AF101" s="247"/>
      <c r="AG101" s="247"/>
      <c r="AH101" s="247"/>
      <c r="AI101" s="247"/>
      <c r="AJ101" s="244"/>
      <c r="AK101" s="247"/>
      <c r="AL101" s="247"/>
      <c r="AM101" s="247"/>
      <c r="AN101" s="247"/>
      <c r="AO101" s="247"/>
      <c r="AP101" s="244"/>
      <c r="AQ101" s="244"/>
      <c r="AR101" s="247"/>
      <c r="AS101" s="247"/>
      <c r="AT101" s="247"/>
      <c r="AU101" s="247"/>
      <c r="AV101" s="244"/>
    </row>
    <row r="102" spans="1:48" ht="12.75" customHeight="1" x14ac:dyDescent="0.25">
      <c r="A102" s="240"/>
      <c r="B102" s="240"/>
      <c r="C102" s="242"/>
      <c r="D102" s="247"/>
      <c r="E102" s="242"/>
      <c r="F102" s="243"/>
      <c r="G102" s="243"/>
      <c r="H102" s="243"/>
      <c r="I102" s="243"/>
      <c r="J102" s="243"/>
      <c r="K102" s="247"/>
      <c r="L102" s="243"/>
      <c r="M102" s="243"/>
      <c r="N102" s="244"/>
      <c r="O102" s="247"/>
      <c r="P102" s="244"/>
      <c r="Q102" s="247"/>
      <c r="R102" s="244"/>
      <c r="S102" s="247"/>
      <c r="T102" s="247"/>
      <c r="U102" s="247"/>
      <c r="V102" s="247"/>
      <c r="W102" s="244"/>
      <c r="X102" s="247"/>
      <c r="Y102" s="247"/>
      <c r="Z102" s="244"/>
      <c r="AA102" s="246"/>
      <c r="AB102" s="237"/>
      <c r="AC102" s="247"/>
      <c r="AD102" s="247"/>
      <c r="AE102" s="244"/>
      <c r="AF102" s="247"/>
      <c r="AG102" s="247"/>
      <c r="AH102" s="247"/>
      <c r="AI102" s="247"/>
      <c r="AJ102" s="244"/>
      <c r="AK102" s="247"/>
      <c r="AL102" s="247"/>
      <c r="AM102" s="247"/>
      <c r="AN102" s="247"/>
      <c r="AO102" s="247"/>
      <c r="AP102" s="244"/>
      <c r="AQ102" s="244"/>
      <c r="AR102" s="247"/>
      <c r="AS102" s="247"/>
      <c r="AT102" s="247"/>
      <c r="AU102" s="247"/>
      <c r="AV102" s="244"/>
    </row>
    <row r="103" spans="1:48" ht="12.75" customHeight="1" x14ac:dyDescent="0.25">
      <c r="A103" s="240"/>
      <c r="B103" s="240"/>
      <c r="C103" s="242"/>
      <c r="D103" s="247"/>
      <c r="E103" s="242"/>
      <c r="F103" s="243"/>
      <c r="G103" s="243"/>
      <c r="H103" s="243"/>
      <c r="I103" s="243"/>
      <c r="J103" s="243"/>
      <c r="K103" s="247"/>
      <c r="L103" s="243"/>
      <c r="M103" s="243"/>
      <c r="N103" s="244"/>
      <c r="O103" s="247"/>
      <c r="P103" s="244"/>
      <c r="Q103" s="247"/>
      <c r="R103" s="244"/>
      <c r="S103" s="247"/>
      <c r="T103" s="247"/>
      <c r="U103" s="247"/>
      <c r="V103" s="247"/>
      <c r="W103" s="244"/>
      <c r="X103" s="247"/>
      <c r="Y103" s="247"/>
      <c r="Z103" s="244"/>
      <c r="AA103" s="246"/>
      <c r="AB103" s="237"/>
      <c r="AC103" s="247"/>
      <c r="AD103" s="247"/>
      <c r="AE103" s="244"/>
      <c r="AF103" s="247"/>
      <c r="AG103" s="247"/>
      <c r="AH103" s="247"/>
      <c r="AI103" s="247"/>
      <c r="AJ103" s="244"/>
      <c r="AK103" s="247"/>
      <c r="AL103" s="247"/>
      <c r="AM103" s="247"/>
      <c r="AN103" s="247"/>
      <c r="AO103" s="247"/>
      <c r="AP103" s="244"/>
      <c r="AQ103" s="244"/>
      <c r="AR103" s="247"/>
      <c r="AS103" s="247"/>
      <c r="AT103" s="247"/>
      <c r="AU103" s="247"/>
      <c r="AV103" s="244"/>
    </row>
    <row r="104" spans="1:48" ht="12.75" customHeight="1" x14ac:dyDescent="0.25">
      <c r="A104" s="240"/>
      <c r="B104" s="240"/>
      <c r="C104" s="242"/>
      <c r="D104" s="247"/>
      <c r="E104" s="242"/>
      <c r="F104" s="243"/>
      <c r="G104" s="243"/>
      <c r="H104" s="243"/>
      <c r="I104" s="243"/>
      <c r="J104" s="243"/>
      <c r="K104" s="247"/>
      <c r="L104" s="243"/>
      <c r="M104" s="243"/>
      <c r="N104" s="244"/>
      <c r="O104" s="247"/>
      <c r="P104" s="244"/>
      <c r="Q104" s="247"/>
      <c r="R104" s="244"/>
      <c r="S104" s="247"/>
      <c r="T104" s="247"/>
      <c r="U104" s="247"/>
      <c r="V104" s="247"/>
      <c r="W104" s="244"/>
      <c r="X104" s="247"/>
      <c r="Y104" s="247"/>
      <c r="Z104" s="244"/>
      <c r="AA104" s="246"/>
      <c r="AB104" s="237"/>
      <c r="AC104" s="247"/>
      <c r="AD104" s="247"/>
      <c r="AE104" s="244"/>
      <c r="AF104" s="247"/>
      <c r="AG104" s="247"/>
      <c r="AH104" s="247"/>
      <c r="AI104" s="247"/>
      <c r="AJ104" s="244"/>
      <c r="AK104" s="247"/>
      <c r="AL104" s="247"/>
      <c r="AM104" s="247"/>
      <c r="AN104" s="247"/>
      <c r="AO104" s="247"/>
      <c r="AP104" s="244"/>
      <c r="AQ104" s="244"/>
      <c r="AR104" s="247"/>
      <c r="AS104" s="247"/>
      <c r="AT104" s="247"/>
      <c r="AU104" s="247"/>
      <c r="AV104" s="244"/>
    </row>
    <row r="105" spans="1:48" ht="12.75" customHeight="1" x14ac:dyDescent="0.25">
      <c r="A105" s="240"/>
      <c r="B105" s="240"/>
      <c r="C105" s="242"/>
      <c r="D105" s="247"/>
      <c r="E105" s="242"/>
      <c r="F105" s="243"/>
      <c r="G105" s="243"/>
      <c r="H105" s="243"/>
      <c r="I105" s="243"/>
      <c r="J105" s="243"/>
      <c r="K105" s="247"/>
      <c r="L105" s="243"/>
      <c r="M105" s="243"/>
      <c r="N105" s="244"/>
      <c r="O105" s="247"/>
      <c r="P105" s="244"/>
      <c r="Q105" s="247"/>
      <c r="R105" s="244"/>
      <c r="S105" s="247"/>
      <c r="T105" s="247"/>
      <c r="U105" s="247"/>
      <c r="V105" s="247"/>
      <c r="W105" s="244"/>
      <c r="X105" s="247"/>
      <c r="Y105" s="247"/>
      <c r="Z105" s="244"/>
      <c r="AA105" s="246"/>
      <c r="AB105" s="237"/>
      <c r="AC105" s="247"/>
      <c r="AD105" s="247"/>
      <c r="AE105" s="244"/>
      <c r="AF105" s="247"/>
      <c r="AG105" s="247"/>
      <c r="AH105" s="247"/>
      <c r="AI105" s="247"/>
      <c r="AJ105" s="244"/>
      <c r="AK105" s="247"/>
      <c r="AL105" s="247"/>
      <c r="AM105" s="247"/>
      <c r="AN105" s="247"/>
      <c r="AO105" s="247"/>
      <c r="AP105" s="244"/>
      <c r="AQ105" s="244"/>
      <c r="AR105" s="247"/>
      <c r="AS105" s="247"/>
      <c r="AT105" s="247"/>
      <c r="AU105" s="247"/>
      <c r="AV105" s="244"/>
    </row>
    <row r="106" spans="1:48" ht="12.75" customHeight="1" x14ac:dyDescent="0.25">
      <c r="A106" s="240"/>
      <c r="B106" s="240"/>
      <c r="C106" s="242"/>
      <c r="D106" s="247"/>
      <c r="E106" s="242"/>
      <c r="F106" s="243"/>
      <c r="G106" s="243"/>
      <c r="H106" s="243"/>
      <c r="I106" s="243"/>
      <c r="J106" s="243"/>
      <c r="K106" s="247"/>
      <c r="L106" s="243"/>
      <c r="M106" s="243"/>
      <c r="N106" s="244"/>
      <c r="O106" s="247"/>
      <c r="P106" s="244"/>
      <c r="Q106" s="247"/>
      <c r="R106" s="244"/>
      <c r="S106" s="247"/>
      <c r="T106" s="247"/>
      <c r="U106" s="247"/>
      <c r="V106" s="247"/>
      <c r="W106" s="244"/>
      <c r="X106" s="247"/>
      <c r="Y106" s="247"/>
      <c r="Z106" s="244"/>
      <c r="AA106" s="246"/>
      <c r="AB106" s="237"/>
      <c r="AC106" s="247"/>
      <c r="AD106" s="247"/>
      <c r="AE106" s="244"/>
      <c r="AF106" s="247"/>
      <c r="AG106" s="247"/>
      <c r="AH106" s="247"/>
      <c r="AI106" s="247"/>
      <c r="AJ106" s="244"/>
      <c r="AK106" s="247"/>
      <c r="AL106" s="247"/>
      <c r="AM106" s="247"/>
      <c r="AN106" s="247"/>
      <c r="AO106" s="247"/>
      <c r="AP106" s="244"/>
      <c r="AQ106" s="244"/>
      <c r="AR106" s="247"/>
      <c r="AS106" s="247"/>
      <c r="AT106" s="247"/>
      <c r="AU106" s="247"/>
      <c r="AV106" s="244"/>
    </row>
    <row r="107" spans="1:48" ht="12.75" customHeight="1" x14ac:dyDescent="0.25">
      <c r="A107" s="240"/>
      <c r="B107" s="240"/>
      <c r="C107" s="242"/>
      <c r="D107" s="247"/>
      <c r="E107" s="242"/>
      <c r="F107" s="243"/>
      <c r="G107" s="243"/>
      <c r="H107" s="243"/>
      <c r="I107" s="243"/>
      <c r="J107" s="243"/>
      <c r="K107" s="247"/>
      <c r="L107" s="243"/>
      <c r="M107" s="243"/>
      <c r="N107" s="244"/>
      <c r="O107" s="247"/>
      <c r="P107" s="244"/>
      <c r="Q107" s="247"/>
      <c r="R107" s="244"/>
      <c r="S107" s="247"/>
      <c r="T107" s="247"/>
      <c r="U107" s="247"/>
      <c r="V107" s="247"/>
      <c r="W107" s="244"/>
      <c r="X107" s="247"/>
      <c r="Y107" s="247"/>
      <c r="Z107" s="244"/>
      <c r="AA107" s="246"/>
      <c r="AB107" s="237"/>
      <c r="AC107" s="247"/>
      <c r="AD107" s="247"/>
      <c r="AE107" s="244"/>
      <c r="AF107" s="247"/>
      <c r="AG107" s="247"/>
      <c r="AH107" s="247"/>
      <c r="AI107" s="247"/>
      <c r="AJ107" s="244"/>
      <c r="AK107" s="247"/>
      <c r="AL107" s="247"/>
      <c r="AM107" s="247"/>
      <c r="AN107" s="247"/>
      <c r="AO107" s="247"/>
      <c r="AP107" s="244"/>
      <c r="AQ107" s="244"/>
      <c r="AR107" s="247"/>
      <c r="AS107" s="247"/>
      <c r="AT107" s="247"/>
      <c r="AU107" s="247"/>
      <c r="AV107" s="244"/>
    </row>
    <row r="108" spans="1:48" ht="12.75" customHeight="1" x14ac:dyDescent="0.25">
      <c r="A108" s="240"/>
      <c r="B108" s="240"/>
      <c r="C108" s="242"/>
      <c r="D108" s="247"/>
      <c r="E108" s="242"/>
      <c r="F108" s="243"/>
      <c r="G108" s="243"/>
      <c r="H108" s="243"/>
      <c r="I108" s="243"/>
      <c r="J108" s="243"/>
      <c r="K108" s="247"/>
      <c r="L108" s="243"/>
      <c r="M108" s="243"/>
      <c r="N108" s="244"/>
      <c r="O108" s="247"/>
      <c r="P108" s="244"/>
      <c r="Q108" s="247"/>
      <c r="R108" s="244"/>
      <c r="S108" s="247"/>
      <c r="T108" s="247"/>
      <c r="U108" s="247"/>
      <c r="V108" s="247"/>
      <c r="W108" s="244"/>
      <c r="X108" s="247"/>
      <c r="Y108" s="247"/>
      <c r="Z108" s="244"/>
      <c r="AA108" s="246"/>
      <c r="AB108" s="237"/>
      <c r="AC108" s="247"/>
      <c r="AD108" s="247"/>
      <c r="AE108" s="244"/>
      <c r="AF108" s="247"/>
      <c r="AG108" s="247"/>
      <c r="AH108" s="247"/>
      <c r="AI108" s="247"/>
      <c r="AJ108" s="244"/>
      <c r="AK108" s="247"/>
      <c r="AL108" s="247"/>
      <c r="AM108" s="247"/>
      <c r="AN108" s="247"/>
      <c r="AO108" s="247"/>
      <c r="AP108" s="244"/>
      <c r="AQ108" s="244"/>
      <c r="AR108" s="247"/>
      <c r="AS108" s="247"/>
      <c r="AT108" s="247"/>
      <c r="AU108" s="247"/>
      <c r="AV108" s="244"/>
    </row>
    <row r="109" spans="1:48" ht="12.75" customHeight="1" x14ac:dyDescent="0.25">
      <c r="A109" s="240"/>
      <c r="B109" s="240"/>
      <c r="C109" s="242"/>
      <c r="D109" s="247"/>
      <c r="E109" s="242"/>
      <c r="F109" s="243"/>
      <c r="G109" s="243"/>
      <c r="H109" s="243"/>
      <c r="I109" s="243"/>
      <c r="J109" s="243"/>
      <c r="K109" s="247"/>
      <c r="L109" s="243"/>
      <c r="M109" s="243"/>
      <c r="N109" s="244"/>
      <c r="O109" s="247"/>
      <c r="P109" s="244"/>
      <c r="Q109" s="247"/>
      <c r="R109" s="244"/>
      <c r="S109" s="247"/>
      <c r="T109" s="247"/>
      <c r="U109" s="247"/>
      <c r="V109" s="247"/>
      <c r="W109" s="244"/>
      <c r="X109" s="247"/>
      <c r="Y109" s="247"/>
      <c r="Z109" s="244"/>
      <c r="AA109" s="246"/>
      <c r="AB109" s="237"/>
      <c r="AC109" s="247"/>
      <c r="AD109" s="247"/>
      <c r="AE109" s="244"/>
      <c r="AF109" s="247"/>
      <c r="AG109" s="247"/>
      <c r="AH109" s="247"/>
      <c r="AI109" s="247"/>
      <c r="AJ109" s="244"/>
      <c r="AK109" s="247"/>
      <c r="AL109" s="247"/>
      <c r="AM109" s="247"/>
      <c r="AN109" s="247"/>
      <c r="AO109" s="247"/>
      <c r="AP109" s="244"/>
      <c r="AQ109" s="244"/>
      <c r="AR109" s="247"/>
      <c r="AS109" s="247"/>
      <c r="AT109" s="247"/>
      <c r="AU109" s="247"/>
      <c r="AV109" s="244"/>
    </row>
    <row r="110" spans="1:48" ht="12.75" customHeight="1" x14ac:dyDescent="0.25">
      <c r="A110" s="240"/>
      <c r="B110" s="240"/>
      <c r="C110" s="242"/>
      <c r="D110" s="247"/>
      <c r="E110" s="242"/>
      <c r="F110" s="243"/>
      <c r="G110" s="243"/>
      <c r="H110" s="243"/>
      <c r="I110" s="243"/>
      <c r="J110" s="243"/>
      <c r="K110" s="247"/>
      <c r="L110" s="243"/>
      <c r="M110" s="243"/>
      <c r="N110" s="244"/>
      <c r="O110" s="247"/>
      <c r="P110" s="244"/>
      <c r="Q110" s="247"/>
      <c r="R110" s="244"/>
      <c r="S110" s="247"/>
      <c r="T110" s="247"/>
      <c r="U110" s="247"/>
      <c r="V110" s="247"/>
      <c r="W110" s="244"/>
      <c r="X110" s="247"/>
      <c r="Y110" s="247"/>
      <c r="Z110" s="244"/>
      <c r="AA110" s="246"/>
      <c r="AB110" s="237"/>
      <c r="AC110" s="247"/>
      <c r="AD110" s="247"/>
      <c r="AE110" s="244"/>
      <c r="AF110" s="247"/>
      <c r="AG110" s="247"/>
      <c r="AH110" s="247"/>
      <c r="AI110" s="247"/>
      <c r="AJ110" s="244"/>
      <c r="AK110" s="247"/>
      <c r="AL110" s="247"/>
      <c r="AM110" s="247"/>
      <c r="AN110" s="247"/>
      <c r="AO110" s="247"/>
      <c r="AP110" s="244"/>
      <c r="AQ110" s="244"/>
      <c r="AR110" s="247"/>
      <c r="AS110" s="247"/>
      <c r="AT110" s="247"/>
      <c r="AU110" s="247"/>
      <c r="AV110" s="244"/>
    </row>
    <row r="111" spans="1:48" ht="12.75" customHeight="1" x14ac:dyDescent="0.25">
      <c r="A111" s="240"/>
      <c r="B111" s="240"/>
      <c r="C111" s="242"/>
      <c r="D111" s="247"/>
      <c r="E111" s="242"/>
      <c r="F111" s="243"/>
      <c r="G111" s="243"/>
      <c r="H111" s="243"/>
      <c r="I111" s="243"/>
      <c r="J111" s="243"/>
      <c r="K111" s="247"/>
      <c r="L111" s="243"/>
      <c r="M111" s="243"/>
      <c r="N111" s="244"/>
      <c r="O111" s="247"/>
      <c r="P111" s="244"/>
      <c r="Q111" s="247"/>
      <c r="R111" s="244"/>
      <c r="S111" s="247"/>
      <c r="T111" s="247"/>
      <c r="U111" s="247"/>
      <c r="V111" s="247"/>
      <c r="W111" s="244"/>
      <c r="X111" s="247"/>
      <c r="Y111" s="247"/>
      <c r="Z111" s="244"/>
      <c r="AA111" s="246"/>
      <c r="AB111" s="237"/>
      <c r="AC111" s="247"/>
      <c r="AD111" s="247"/>
      <c r="AE111" s="244"/>
      <c r="AF111" s="247"/>
      <c r="AG111" s="247"/>
      <c r="AH111" s="247"/>
      <c r="AI111" s="247"/>
      <c r="AJ111" s="244"/>
      <c r="AK111" s="247"/>
      <c r="AL111" s="247"/>
      <c r="AM111" s="247"/>
      <c r="AN111" s="247"/>
      <c r="AO111" s="247"/>
      <c r="AP111" s="244"/>
      <c r="AQ111" s="244"/>
      <c r="AR111" s="247"/>
      <c r="AS111" s="247"/>
      <c r="AT111" s="247"/>
      <c r="AU111" s="247"/>
      <c r="AV111" s="244"/>
    </row>
    <row r="112" spans="1:48" ht="12.75" customHeight="1" x14ac:dyDescent="0.25">
      <c r="A112" s="240"/>
      <c r="B112" s="240"/>
      <c r="C112" s="242"/>
      <c r="D112" s="247"/>
      <c r="E112" s="242"/>
      <c r="F112" s="243"/>
      <c r="G112" s="243"/>
      <c r="H112" s="243"/>
      <c r="I112" s="243"/>
      <c r="J112" s="243"/>
      <c r="K112" s="247"/>
      <c r="L112" s="243"/>
      <c r="M112" s="243"/>
      <c r="N112" s="244"/>
      <c r="O112" s="247"/>
      <c r="P112" s="244"/>
      <c r="Q112" s="247"/>
      <c r="R112" s="244"/>
      <c r="S112" s="247"/>
      <c r="T112" s="247"/>
      <c r="U112" s="247"/>
      <c r="V112" s="247"/>
      <c r="W112" s="244"/>
      <c r="X112" s="247"/>
      <c r="Y112" s="247"/>
      <c r="Z112" s="244"/>
      <c r="AA112" s="246"/>
      <c r="AB112" s="237"/>
      <c r="AC112" s="247"/>
      <c r="AD112" s="247"/>
      <c r="AE112" s="244"/>
      <c r="AF112" s="247"/>
      <c r="AG112" s="247"/>
      <c r="AH112" s="247"/>
      <c r="AI112" s="247"/>
      <c r="AJ112" s="244"/>
      <c r="AK112" s="247"/>
      <c r="AL112" s="247"/>
      <c r="AM112" s="247"/>
      <c r="AN112" s="247"/>
      <c r="AO112" s="247"/>
      <c r="AP112" s="244"/>
      <c r="AQ112" s="244"/>
      <c r="AR112" s="247"/>
      <c r="AS112" s="247"/>
      <c r="AT112" s="247"/>
      <c r="AU112" s="247"/>
      <c r="AV112" s="244"/>
    </row>
    <row r="113" spans="1:48" ht="12.75" customHeight="1" x14ac:dyDescent="0.25">
      <c r="A113" s="240"/>
      <c r="B113" s="240"/>
      <c r="C113" s="242"/>
      <c r="D113" s="247"/>
      <c r="E113" s="242"/>
      <c r="F113" s="243"/>
      <c r="G113" s="243"/>
      <c r="H113" s="243"/>
      <c r="I113" s="243"/>
      <c r="J113" s="243"/>
      <c r="K113" s="247"/>
      <c r="L113" s="243"/>
      <c r="M113" s="243"/>
      <c r="N113" s="244"/>
      <c r="O113" s="247"/>
      <c r="P113" s="244"/>
      <c r="Q113" s="247"/>
      <c r="R113" s="244"/>
      <c r="S113" s="247"/>
      <c r="T113" s="247"/>
      <c r="U113" s="247"/>
      <c r="V113" s="247"/>
      <c r="W113" s="244"/>
      <c r="X113" s="247"/>
      <c r="Y113" s="247"/>
      <c r="Z113" s="244"/>
      <c r="AA113" s="246"/>
      <c r="AB113" s="237"/>
      <c r="AC113" s="247"/>
      <c r="AD113" s="247"/>
      <c r="AE113" s="244"/>
      <c r="AF113" s="247"/>
      <c r="AG113" s="247"/>
      <c r="AH113" s="247"/>
      <c r="AI113" s="247"/>
      <c r="AJ113" s="244"/>
      <c r="AK113" s="247"/>
      <c r="AL113" s="247"/>
      <c r="AM113" s="247"/>
      <c r="AN113" s="247"/>
      <c r="AO113" s="247"/>
      <c r="AP113" s="244"/>
      <c r="AQ113" s="244"/>
      <c r="AR113" s="247"/>
      <c r="AS113" s="247"/>
      <c r="AT113" s="247"/>
      <c r="AU113" s="247"/>
      <c r="AV113" s="244"/>
    </row>
    <row r="114" spans="1:48" ht="12.75" customHeight="1" x14ac:dyDescent="0.25">
      <c r="A114" s="240"/>
      <c r="B114" s="240"/>
      <c r="C114" s="242"/>
      <c r="D114" s="247"/>
      <c r="E114" s="242"/>
      <c r="F114" s="243"/>
      <c r="G114" s="243"/>
      <c r="H114" s="243"/>
      <c r="I114" s="243"/>
      <c r="J114" s="243"/>
      <c r="K114" s="247"/>
      <c r="L114" s="243"/>
      <c r="M114" s="243"/>
      <c r="N114" s="244"/>
      <c r="O114" s="247"/>
      <c r="P114" s="244"/>
      <c r="Q114" s="247"/>
      <c r="R114" s="244"/>
      <c r="S114" s="247"/>
      <c r="T114" s="247"/>
      <c r="U114" s="247"/>
      <c r="V114" s="247"/>
      <c r="W114" s="244"/>
      <c r="X114" s="247"/>
      <c r="Y114" s="247"/>
      <c r="Z114" s="244"/>
      <c r="AA114" s="246"/>
      <c r="AB114" s="237"/>
      <c r="AC114" s="247"/>
      <c r="AD114" s="247"/>
      <c r="AE114" s="244"/>
      <c r="AF114" s="247"/>
      <c r="AG114" s="247"/>
      <c r="AH114" s="247"/>
      <c r="AI114" s="247"/>
      <c r="AJ114" s="244"/>
      <c r="AK114" s="247"/>
      <c r="AL114" s="247"/>
      <c r="AM114" s="247"/>
      <c r="AN114" s="247"/>
      <c r="AO114" s="247"/>
      <c r="AP114" s="244"/>
      <c r="AQ114" s="244"/>
      <c r="AR114" s="247"/>
      <c r="AS114" s="247"/>
      <c r="AT114" s="247"/>
      <c r="AU114" s="247"/>
      <c r="AV114" s="244"/>
    </row>
    <row r="115" spans="1:48" ht="12.75" customHeight="1" x14ac:dyDescent="0.25">
      <c r="A115" s="240"/>
      <c r="B115" s="240"/>
      <c r="C115" s="242"/>
      <c r="D115" s="247"/>
      <c r="E115" s="242"/>
      <c r="F115" s="243"/>
      <c r="G115" s="243"/>
      <c r="H115" s="243"/>
      <c r="I115" s="243"/>
      <c r="J115" s="243"/>
      <c r="K115" s="247"/>
      <c r="L115" s="243"/>
      <c r="M115" s="243"/>
      <c r="N115" s="244"/>
      <c r="O115" s="247"/>
      <c r="P115" s="244"/>
      <c r="Q115" s="247"/>
      <c r="R115" s="244"/>
      <c r="S115" s="247"/>
      <c r="T115" s="247"/>
      <c r="U115" s="247"/>
      <c r="V115" s="247"/>
      <c r="W115" s="244"/>
      <c r="X115" s="247"/>
      <c r="Y115" s="247"/>
      <c r="Z115" s="244"/>
      <c r="AA115" s="246"/>
      <c r="AB115" s="237"/>
      <c r="AC115" s="247"/>
      <c r="AD115" s="247"/>
      <c r="AE115" s="244"/>
      <c r="AF115" s="247"/>
      <c r="AG115" s="247"/>
      <c r="AH115" s="247"/>
      <c r="AI115" s="247"/>
      <c r="AJ115" s="244"/>
      <c r="AK115" s="247"/>
      <c r="AL115" s="247"/>
      <c r="AM115" s="247"/>
      <c r="AN115" s="247"/>
      <c r="AO115" s="247"/>
      <c r="AP115" s="244"/>
      <c r="AQ115" s="244"/>
      <c r="AR115" s="247"/>
      <c r="AS115" s="247"/>
      <c r="AT115" s="247"/>
      <c r="AU115" s="247"/>
      <c r="AV115" s="244"/>
    </row>
    <row r="116" spans="1:48" ht="12.75" customHeight="1" x14ac:dyDescent="0.25">
      <c r="A116" s="240"/>
      <c r="B116" s="240"/>
      <c r="C116" s="242"/>
      <c r="D116" s="247"/>
      <c r="E116" s="242"/>
      <c r="F116" s="243"/>
      <c r="G116" s="243"/>
      <c r="H116" s="243"/>
      <c r="I116" s="243"/>
      <c r="J116" s="243"/>
      <c r="K116" s="247"/>
      <c r="L116" s="243"/>
      <c r="M116" s="243"/>
      <c r="N116" s="244"/>
      <c r="O116" s="247"/>
      <c r="P116" s="244"/>
      <c r="Q116" s="247"/>
      <c r="R116" s="244"/>
      <c r="S116" s="247"/>
      <c r="T116" s="247"/>
      <c r="U116" s="247"/>
      <c r="V116" s="247"/>
      <c r="W116" s="244"/>
      <c r="X116" s="247"/>
      <c r="Y116" s="247"/>
      <c r="Z116" s="244"/>
      <c r="AA116" s="246"/>
      <c r="AB116" s="237"/>
      <c r="AC116" s="247"/>
      <c r="AD116" s="247"/>
      <c r="AE116" s="244"/>
      <c r="AF116" s="247"/>
      <c r="AG116" s="247"/>
      <c r="AH116" s="247"/>
      <c r="AI116" s="247"/>
      <c r="AJ116" s="244"/>
      <c r="AK116" s="247"/>
      <c r="AL116" s="247"/>
      <c r="AM116" s="247"/>
      <c r="AN116" s="247"/>
      <c r="AO116" s="247"/>
      <c r="AP116" s="244"/>
      <c r="AQ116" s="244"/>
      <c r="AR116" s="247"/>
      <c r="AS116" s="247"/>
      <c r="AT116" s="247"/>
      <c r="AU116" s="247"/>
      <c r="AV116" s="244"/>
    </row>
    <row r="117" spans="1:48" ht="12.75" customHeight="1" x14ac:dyDescent="0.25">
      <c r="A117" s="240"/>
      <c r="B117" s="240"/>
      <c r="C117" s="242"/>
      <c r="D117" s="247"/>
      <c r="E117" s="242"/>
      <c r="F117" s="243"/>
      <c r="G117" s="243"/>
      <c r="H117" s="243"/>
      <c r="I117" s="243"/>
      <c r="J117" s="243"/>
      <c r="K117" s="247"/>
      <c r="L117" s="243"/>
      <c r="M117" s="243"/>
      <c r="N117" s="244"/>
      <c r="O117" s="247"/>
      <c r="P117" s="244"/>
      <c r="Q117" s="247"/>
      <c r="R117" s="244"/>
      <c r="S117" s="247"/>
      <c r="T117" s="247"/>
      <c r="U117" s="247"/>
      <c r="V117" s="247"/>
      <c r="W117" s="244"/>
      <c r="X117" s="247"/>
      <c r="Y117" s="247"/>
      <c r="Z117" s="244"/>
      <c r="AA117" s="246"/>
      <c r="AB117" s="237"/>
      <c r="AC117" s="247"/>
      <c r="AD117" s="247"/>
      <c r="AE117" s="244"/>
      <c r="AF117" s="247"/>
      <c r="AG117" s="247"/>
      <c r="AH117" s="247"/>
      <c r="AI117" s="247"/>
      <c r="AJ117" s="244"/>
      <c r="AK117" s="247"/>
      <c r="AL117" s="247"/>
      <c r="AM117" s="247"/>
      <c r="AN117" s="247"/>
      <c r="AO117" s="247"/>
      <c r="AP117" s="244"/>
      <c r="AQ117" s="244"/>
      <c r="AR117" s="247"/>
      <c r="AS117" s="247"/>
      <c r="AT117" s="247"/>
      <c r="AU117" s="247"/>
      <c r="AV117" s="244"/>
    </row>
    <row r="118" spans="1:48" ht="12.75" customHeight="1" x14ac:dyDescent="0.25">
      <c r="A118" s="240"/>
      <c r="B118" s="240"/>
      <c r="C118" s="242"/>
      <c r="D118" s="247"/>
      <c r="E118" s="242"/>
      <c r="F118" s="243"/>
      <c r="G118" s="243"/>
      <c r="H118" s="243"/>
      <c r="I118" s="243"/>
      <c r="J118" s="243"/>
      <c r="K118" s="247"/>
      <c r="L118" s="243"/>
      <c r="M118" s="243"/>
      <c r="N118" s="244"/>
      <c r="O118" s="247"/>
      <c r="P118" s="244"/>
      <c r="Q118" s="247"/>
      <c r="R118" s="244"/>
      <c r="S118" s="247"/>
      <c r="T118" s="247"/>
      <c r="U118" s="247"/>
      <c r="V118" s="247"/>
      <c r="W118" s="244"/>
      <c r="X118" s="247"/>
      <c r="Y118" s="247"/>
      <c r="Z118" s="244"/>
      <c r="AA118" s="246"/>
      <c r="AB118" s="237"/>
      <c r="AC118" s="247"/>
      <c r="AD118" s="247"/>
      <c r="AE118" s="244"/>
      <c r="AF118" s="247"/>
      <c r="AG118" s="247"/>
      <c r="AH118" s="247"/>
      <c r="AI118" s="247"/>
      <c r="AJ118" s="244"/>
      <c r="AK118" s="247"/>
      <c r="AL118" s="247"/>
      <c r="AM118" s="247"/>
      <c r="AN118" s="247"/>
      <c r="AO118" s="247"/>
      <c r="AP118" s="244"/>
      <c r="AQ118" s="244"/>
      <c r="AR118" s="247"/>
      <c r="AS118" s="247"/>
      <c r="AT118" s="247"/>
      <c r="AU118" s="247"/>
      <c r="AV118" s="244"/>
    </row>
    <row r="119" spans="1:48" ht="12.75" customHeight="1" x14ac:dyDescent="0.25">
      <c r="A119" s="240"/>
      <c r="B119" s="240"/>
      <c r="C119" s="242"/>
      <c r="D119" s="247"/>
      <c r="E119" s="242"/>
      <c r="F119" s="243"/>
      <c r="G119" s="243"/>
      <c r="H119" s="243"/>
      <c r="I119" s="243"/>
      <c r="J119" s="243"/>
      <c r="K119" s="247"/>
      <c r="L119" s="243"/>
      <c r="M119" s="243"/>
      <c r="N119" s="244"/>
      <c r="O119" s="247"/>
      <c r="P119" s="244"/>
      <c r="Q119" s="247"/>
      <c r="R119" s="244"/>
      <c r="S119" s="247"/>
      <c r="T119" s="247"/>
      <c r="U119" s="247"/>
      <c r="V119" s="247"/>
      <c r="W119" s="244"/>
      <c r="X119" s="247"/>
      <c r="Y119" s="247"/>
      <c r="Z119" s="244"/>
      <c r="AA119" s="246"/>
      <c r="AB119" s="237"/>
      <c r="AC119" s="247"/>
      <c r="AD119" s="247"/>
      <c r="AE119" s="244"/>
      <c r="AF119" s="247"/>
      <c r="AG119" s="247"/>
      <c r="AH119" s="247"/>
      <c r="AI119" s="247"/>
      <c r="AJ119" s="244"/>
      <c r="AK119" s="247"/>
      <c r="AL119" s="247"/>
      <c r="AM119" s="247"/>
      <c r="AN119" s="247"/>
      <c r="AO119" s="247"/>
      <c r="AP119" s="244"/>
      <c r="AQ119" s="244"/>
      <c r="AR119" s="247"/>
      <c r="AS119" s="247"/>
      <c r="AT119" s="247"/>
      <c r="AU119" s="247"/>
      <c r="AV119" s="244"/>
    </row>
    <row r="120" spans="1:48" ht="12.75" customHeight="1" x14ac:dyDescent="0.25">
      <c r="A120" s="240"/>
      <c r="B120" s="240"/>
      <c r="C120" s="242"/>
      <c r="D120" s="247"/>
      <c r="E120" s="242"/>
      <c r="F120" s="243"/>
      <c r="G120" s="243"/>
      <c r="H120" s="243"/>
      <c r="I120" s="243"/>
      <c r="J120" s="243"/>
      <c r="K120" s="247"/>
      <c r="L120" s="243"/>
      <c r="M120" s="243"/>
      <c r="N120" s="244"/>
      <c r="O120" s="247"/>
      <c r="P120" s="244"/>
      <c r="Q120" s="247"/>
      <c r="R120" s="244"/>
      <c r="S120" s="247"/>
      <c r="T120" s="247"/>
      <c r="U120" s="247"/>
      <c r="V120" s="247"/>
      <c r="W120" s="244"/>
      <c r="X120" s="247"/>
      <c r="Y120" s="247"/>
      <c r="Z120" s="244"/>
      <c r="AA120" s="246"/>
      <c r="AB120" s="237"/>
      <c r="AC120" s="247"/>
      <c r="AD120" s="247"/>
      <c r="AE120" s="244"/>
      <c r="AF120" s="247"/>
      <c r="AG120" s="247"/>
      <c r="AH120" s="247"/>
      <c r="AI120" s="247"/>
      <c r="AJ120" s="244"/>
      <c r="AK120" s="247"/>
      <c r="AL120" s="247"/>
      <c r="AM120" s="247"/>
      <c r="AN120" s="247"/>
      <c r="AO120" s="247"/>
      <c r="AP120" s="244"/>
      <c r="AQ120" s="244"/>
      <c r="AR120" s="247"/>
      <c r="AS120" s="247"/>
      <c r="AT120" s="247"/>
      <c r="AU120" s="247"/>
      <c r="AV120" s="244"/>
    </row>
    <row r="121" spans="1:48" ht="12.75" customHeight="1" x14ac:dyDescent="0.25">
      <c r="A121" s="240"/>
      <c r="B121" s="240"/>
      <c r="C121" s="242"/>
      <c r="D121" s="247"/>
      <c r="E121" s="242"/>
      <c r="F121" s="243"/>
      <c r="G121" s="243"/>
      <c r="H121" s="243"/>
      <c r="I121" s="243"/>
      <c r="J121" s="243"/>
      <c r="K121" s="247"/>
      <c r="L121" s="243"/>
      <c r="M121" s="243"/>
      <c r="N121" s="244"/>
      <c r="O121" s="247"/>
      <c r="P121" s="244"/>
      <c r="Q121" s="247"/>
      <c r="R121" s="244"/>
      <c r="S121" s="247"/>
      <c r="T121" s="247"/>
      <c r="U121" s="247"/>
      <c r="V121" s="247"/>
      <c r="W121" s="244"/>
      <c r="X121" s="247"/>
      <c r="Y121" s="247"/>
      <c r="Z121" s="244"/>
      <c r="AA121" s="246"/>
      <c r="AB121" s="237"/>
      <c r="AC121" s="247"/>
      <c r="AD121" s="247"/>
      <c r="AE121" s="244"/>
      <c r="AF121" s="247"/>
      <c r="AG121" s="247"/>
      <c r="AH121" s="247"/>
      <c r="AI121" s="247"/>
      <c r="AJ121" s="244"/>
      <c r="AK121" s="247"/>
      <c r="AL121" s="247"/>
      <c r="AM121" s="247"/>
      <c r="AN121" s="247"/>
      <c r="AO121" s="247"/>
      <c r="AP121" s="244"/>
      <c r="AQ121" s="244"/>
      <c r="AR121" s="247"/>
      <c r="AS121" s="247"/>
      <c r="AT121" s="247"/>
      <c r="AU121" s="247"/>
      <c r="AV121" s="244"/>
    </row>
    <row r="122" spans="1:48" ht="12.75" customHeight="1" x14ac:dyDescent="0.25">
      <c r="A122" s="240"/>
      <c r="B122" s="240"/>
      <c r="C122" s="242"/>
      <c r="D122" s="247"/>
      <c r="E122" s="242"/>
      <c r="F122" s="243"/>
      <c r="G122" s="243"/>
      <c r="H122" s="243"/>
      <c r="I122" s="243"/>
      <c r="J122" s="243"/>
      <c r="K122" s="247"/>
      <c r="L122" s="243"/>
      <c r="M122" s="243"/>
      <c r="N122" s="244"/>
      <c r="O122" s="247"/>
      <c r="P122" s="244"/>
      <c r="Q122" s="247"/>
      <c r="R122" s="244"/>
      <c r="S122" s="247"/>
      <c r="T122" s="247"/>
      <c r="U122" s="247"/>
      <c r="V122" s="247"/>
      <c r="W122" s="244"/>
      <c r="X122" s="247"/>
      <c r="Y122" s="247"/>
      <c r="Z122" s="244"/>
      <c r="AA122" s="246"/>
      <c r="AB122" s="237"/>
      <c r="AC122" s="247"/>
      <c r="AD122" s="247"/>
      <c r="AE122" s="244"/>
      <c r="AF122" s="247"/>
      <c r="AG122" s="247"/>
      <c r="AH122" s="247"/>
      <c r="AI122" s="247"/>
      <c r="AJ122" s="244"/>
      <c r="AK122" s="247"/>
      <c r="AL122" s="247"/>
      <c r="AM122" s="247"/>
      <c r="AN122" s="247"/>
      <c r="AO122" s="247"/>
      <c r="AP122" s="244"/>
      <c r="AQ122" s="244"/>
      <c r="AR122" s="247"/>
      <c r="AS122" s="247"/>
      <c r="AT122" s="247"/>
      <c r="AU122" s="247"/>
      <c r="AV122" s="244"/>
    </row>
    <row r="123" spans="1:48" ht="12.75" customHeight="1" x14ac:dyDescent="0.25">
      <c r="A123" s="240"/>
      <c r="B123" s="240"/>
      <c r="C123" s="242"/>
      <c r="D123" s="247"/>
      <c r="E123" s="242"/>
      <c r="F123" s="243"/>
      <c r="G123" s="243"/>
      <c r="H123" s="243"/>
      <c r="I123" s="243"/>
      <c r="J123" s="243"/>
      <c r="K123" s="247"/>
      <c r="L123" s="243"/>
      <c r="M123" s="243"/>
      <c r="N123" s="244"/>
      <c r="O123" s="247"/>
      <c r="P123" s="244"/>
      <c r="Q123" s="247"/>
      <c r="R123" s="244"/>
      <c r="S123" s="247"/>
      <c r="T123" s="247"/>
      <c r="U123" s="247"/>
      <c r="V123" s="247"/>
      <c r="W123" s="244"/>
      <c r="X123" s="247"/>
      <c r="Y123" s="247"/>
      <c r="Z123" s="244"/>
      <c r="AA123" s="246"/>
      <c r="AB123" s="237"/>
      <c r="AC123" s="247"/>
      <c r="AD123" s="247"/>
      <c r="AE123" s="244"/>
      <c r="AF123" s="247"/>
      <c r="AG123" s="247"/>
      <c r="AH123" s="247"/>
      <c r="AI123" s="247"/>
      <c r="AJ123" s="244"/>
      <c r="AK123" s="247"/>
      <c r="AL123" s="247"/>
      <c r="AM123" s="247"/>
      <c r="AN123" s="247"/>
      <c r="AO123" s="247"/>
      <c r="AP123" s="244"/>
      <c r="AQ123" s="244"/>
      <c r="AR123" s="247"/>
      <c r="AS123" s="247"/>
      <c r="AT123" s="247"/>
      <c r="AU123" s="247"/>
      <c r="AV123" s="244"/>
    </row>
    <row r="124" spans="1:48" ht="12.75" customHeight="1" x14ac:dyDescent="0.25">
      <c r="A124" s="240"/>
      <c r="B124" s="240"/>
      <c r="C124" s="242"/>
      <c r="D124" s="247"/>
      <c r="E124" s="242"/>
      <c r="F124" s="243"/>
      <c r="G124" s="243"/>
      <c r="H124" s="243"/>
      <c r="I124" s="243"/>
      <c r="J124" s="243"/>
      <c r="K124" s="247"/>
      <c r="L124" s="243"/>
      <c r="M124" s="243"/>
      <c r="N124" s="244"/>
      <c r="O124" s="247"/>
      <c r="P124" s="244"/>
      <c r="Q124" s="247"/>
      <c r="R124" s="244"/>
      <c r="S124" s="247"/>
      <c r="T124" s="247"/>
      <c r="U124" s="247"/>
      <c r="V124" s="247"/>
      <c r="W124" s="244"/>
      <c r="X124" s="247"/>
      <c r="Y124" s="247"/>
      <c r="Z124" s="244"/>
      <c r="AA124" s="246"/>
      <c r="AB124" s="237"/>
      <c r="AC124" s="247"/>
      <c r="AD124" s="247"/>
      <c r="AE124" s="244"/>
      <c r="AF124" s="247"/>
      <c r="AG124" s="247"/>
      <c r="AH124" s="247"/>
      <c r="AI124" s="247"/>
      <c r="AJ124" s="244"/>
      <c r="AK124" s="247"/>
      <c r="AL124" s="247"/>
      <c r="AM124" s="247"/>
      <c r="AN124" s="247"/>
      <c r="AO124" s="247"/>
      <c r="AP124" s="244"/>
      <c r="AQ124" s="244"/>
      <c r="AR124" s="247"/>
      <c r="AS124" s="247"/>
      <c r="AT124" s="247"/>
      <c r="AU124" s="247"/>
      <c r="AV124" s="244"/>
    </row>
    <row r="125" spans="1:48" ht="12.75" customHeight="1" x14ac:dyDescent="0.25">
      <c r="A125" s="240"/>
      <c r="B125" s="240"/>
      <c r="C125" s="242"/>
      <c r="D125" s="247"/>
      <c r="E125" s="242"/>
      <c r="F125" s="243"/>
      <c r="G125" s="243"/>
      <c r="H125" s="243"/>
      <c r="I125" s="243"/>
      <c r="J125" s="243"/>
      <c r="K125" s="247"/>
      <c r="L125" s="243"/>
      <c r="M125" s="243"/>
      <c r="N125" s="244"/>
      <c r="O125" s="247"/>
      <c r="P125" s="244"/>
      <c r="Q125" s="247"/>
      <c r="R125" s="244"/>
      <c r="S125" s="247"/>
      <c r="T125" s="247"/>
      <c r="U125" s="247"/>
      <c r="V125" s="247"/>
      <c r="W125" s="244"/>
      <c r="X125" s="247"/>
      <c r="Y125" s="247"/>
      <c r="Z125" s="244"/>
      <c r="AA125" s="246"/>
      <c r="AB125" s="237"/>
      <c r="AC125" s="247"/>
      <c r="AD125" s="247"/>
      <c r="AE125" s="244"/>
      <c r="AF125" s="247"/>
      <c r="AG125" s="247"/>
      <c r="AH125" s="247"/>
      <c r="AI125" s="247"/>
      <c r="AJ125" s="244"/>
      <c r="AK125" s="247"/>
      <c r="AL125" s="247"/>
      <c r="AM125" s="247"/>
      <c r="AN125" s="247"/>
      <c r="AO125" s="247"/>
      <c r="AP125" s="244"/>
      <c r="AQ125" s="244"/>
      <c r="AR125" s="247"/>
      <c r="AS125" s="247"/>
      <c r="AT125" s="247"/>
      <c r="AU125" s="247"/>
      <c r="AV125" s="244"/>
    </row>
    <row r="126" spans="1:48" ht="12.75" customHeight="1" x14ac:dyDescent="0.25">
      <c r="A126" s="240"/>
      <c r="B126" s="240"/>
      <c r="C126" s="242"/>
      <c r="D126" s="247"/>
      <c r="E126" s="242"/>
      <c r="F126" s="243"/>
      <c r="G126" s="243"/>
      <c r="H126" s="243"/>
      <c r="I126" s="243"/>
      <c r="J126" s="243"/>
      <c r="K126" s="247"/>
      <c r="L126" s="243"/>
      <c r="M126" s="243"/>
      <c r="N126" s="244"/>
      <c r="O126" s="247"/>
      <c r="P126" s="244"/>
      <c r="Q126" s="247"/>
      <c r="R126" s="244"/>
      <c r="S126" s="247"/>
      <c r="T126" s="247"/>
      <c r="U126" s="247"/>
      <c r="V126" s="247"/>
      <c r="W126" s="244"/>
      <c r="X126" s="247"/>
      <c r="Y126" s="247"/>
      <c r="Z126" s="244"/>
      <c r="AA126" s="246"/>
      <c r="AB126" s="237"/>
      <c r="AC126" s="247"/>
      <c r="AD126" s="247"/>
      <c r="AE126" s="244"/>
      <c r="AF126" s="247"/>
      <c r="AG126" s="247"/>
      <c r="AH126" s="247"/>
      <c r="AI126" s="247"/>
      <c r="AJ126" s="244"/>
      <c r="AK126" s="247"/>
      <c r="AL126" s="247"/>
      <c r="AM126" s="247"/>
      <c r="AN126" s="247"/>
      <c r="AO126" s="247"/>
      <c r="AP126" s="244"/>
      <c r="AQ126" s="244"/>
      <c r="AR126" s="247"/>
      <c r="AS126" s="247"/>
      <c r="AT126" s="247"/>
      <c r="AU126" s="247"/>
      <c r="AV126" s="244"/>
    </row>
    <row r="127" spans="1:48" ht="12.75" customHeight="1" x14ac:dyDescent="0.25">
      <c r="A127" s="240"/>
      <c r="B127" s="240"/>
      <c r="C127" s="242"/>
      <c r="D127" s="247"/>
      <c r="E127" s="242"/>
      <c r="F127" s="243"/>
      <c r="G127" s="243"/>
      <c r="H127" s="243"/>
      <c r="I127" s="243"/>
      <c r="J127" s="243"/>
      <c r="K127" s="247"/>
      <c r="L127" s="243"/>
      <c r="M127" s="243"/>
      <c r="N127" s="244"/>
      <c r="O127" s="247"/>
      <c r="P127" s="244"/>
      <c r="Q127" s="247"/>
      <c r="R127" s="244"/>
      <c r="S127" s="247"/>
      <c r="T127" s="247"/>
      <c r="U127" s="247"/>
      <c r="V127" s="247"/>
      <c r="W127" s="244"/>
      <c r="X127" s="247"/>
      <c r="Y127" s="247"/>
      <c r="Z127" s="244"/>
      <c r="AA127" s="246"/>
      <c r="AB127" s="237"/>
      <c r="AC127" s="247"/>
      <c r="AD127" s="247"/>
      <c r="AE127" s="244"/>
      <c r="AF127" s="247"/>
      <c r="AG127" s="247"/>
      <c r="AH127" s="247"/>
      <c r="AI127" s="247"/>
      <c r="AJ127" s="244"/>
      <c r="AK127" s="247"/>
      <c r="AL127" s="247"/>
      <c r="AM127" s="247"/>
      <c r="AN127" s="247"/>
      <c r="AO127" s="247"/>
      <c r="AP127" s="244"/>
      <c r="AQ127" s="244"/>
      <c r="AR127" s="247"/>
      <c r="AS127" s="247"/>
      <c r="AT127" s="247"/>
      <c r="AU127" s="247"/>
      <c r="AV127" s="244"/>
    </row>
    <row r="128" spans="1:48" ht="12.75" customHeight="1" x14ac:dyDescent="0.25">
      <c r="A128" s="240"/>
      <c r="B128" s="240"/>
      <c r="C128" s="242"/>
      <c r="D128" s="247"/>
      <c r="E128" s="242"/>
      <c r="F128" s="243"/>
      <c r="G128" s="243"/>
      <c r="H128" s="243"/>
      <c r="I128" s="243"/>
      <c r="J128" s="243"/>
      <c r="K128" s="247"/>
      <c r="L128" s="243"/>
      <c r="M128" s="243"/>
      <c r="N128" s="244"/>
      <c r="O128" s="247"/>
      <c r="P128" s="244"/>
      <c r="Q128" s="247"/>
      <c r="R128" s="244"/>
      <c r="S128" s="247"/>
      <c r="T128" s="247"/>
      <c r="U128" s="247"/>
      <c r="V128" s="247"/>
      <c r="W128" s="244"/>
      <c r="X128" s="247"/>
      <c r="Y128" s="247"/>
      <c r="Z128" s="244"/>
      <c r="AA128" s="246"/>
      <c r="AB128" s="237"/>
      <c r="AC128" s="247"/>
      <c r="AD128" s="247"/>
      <c r="AE128" s="244"/>
      <c r="AF128" s="247"/>
      <c r="AG128" s="247"/>
      <c r="AH128" s="247"/>
      <c r="AI128" s="247"/>
      <c r="AJ128" s="244"/>
      <c r="AK128" s="247"/>
      <c r="AL128" s="247"/>
      <c r="AM128" s="247"/>
      <c r="AN128" s="247"/>
      <c r="AO128" s="247"/>
      <c r="AP128" s="244"/>
      <c r="AQ128" s="244"/>
      <c r="AR128" s="247"/>
      <c r="AS128" s="247"/>
      <c r="AT128" s="247"/>
      <c r="AU128" s="247"/>
      <c r="AV128" s="244"/>
    </row>
    <row r="129" spans="1:48" ht="12.75" customHeight="1" x14ac:dyDescent="0.25">
      <c r="A129" s="240"/>
      <c r="B129" s="240"/>
      <c r="C129" s="242"/>
      <c r="D129" s="247"/>
      <c r="E129" s="242"/>
      <c r="F129" s="243"/>
      <c r="G129" s="243"/>
      <c r="H129" s="243"/>
      <c r="I129" s="243"/>
      <c r="J129" s="243"/>
      <c r="K129" s="247"/>
      <c r="L129" s="243"/>
      <c r="M129" s="243"/>
      <c r="N129" s="244"/>
      <c r="O129" s="247"/>
      <c r="P129" s="244"/>
      <c r="Q129" s="247"/>
      <c r="R129" s="244"/>
      <c r="S129" s="247"/>
      <c r="T129" s="247"/>
      <c r="U129" s="247"/>
      <c r="V129" s="247"/>
      <c r="W129" s="244"/>
      <c r="X129" s="247"/>
      <c r="Y129" s="247"/>
      <c r="Z129" s="244"/>
      <c r="AA129" s="246"/>
      <c r="AB129" s="237"/>
      <c r="AC129" s="247"/>
      <c r="AD129" s="247"/>
      <c r="AE129" s="244"/>
      <c r="AF129" s="247"/>
      <c r="AG129" s="247"/>
      <c r="AH129" s="247"/>
      <c r="AI129" s="247"/>
      <c r="AJ129" s="244"/>
      <c r="AK129" s="247"/>
      <c r="AL129" s="247"/>
      <c r="AM129" s="247"/>
      <c r="AN129" s="247"/>
      <c r="AO129" s="247"/>
      <c r="AP129" s="244"/>
      <c r="AQ129" s="244"/>
      <c r="AR129" s="247"/>
      <c r="AS129" s="247"/>
      <c r="AT129" s="247"/>
      <c r="AU129" s="247"/>
      <c r="AV129" s="244"/>
    </row>
    <row r="130" spans="1:48" ht="12.75" customHeight="1" x14ac:dyDescent="0.25">
      <c r="A130" s="240"/>
      <c r="B130" s="240"/>
      <c r="C130" s="242"/>
      <c r="D130" s="247"/>
      <c r="E130" s="242"/>
      <c r="F130" s="243"/>
      <c r="G130" s="243"/>
      <c r="H130" s="243"/>
      <c r="I130" s="243"/>
      <c r="J130" s="243"/>
      <c r="K130" s="247"/>
      <c r="L130" s="243"/>
      <c r="M130" s="243"/>
      <c r="N130" s="244"/>
      <c r="O130" s="247"/>
      <c r="P130" s="244"/>
      <c r="Q130" s="247"/>
      <c r="R130" s="244"/>
      <c r="S130" s="247"/>
      <c r="T130" s="247"/>
      <c r="U130" s="247"/>
      <c r="V130" s="247"/>
      <c r="W130" s="244"/>
      <c r="X130" s="247"/>
      <c r="Y130" s="247"/>
      <c r="Z130" s="244"/>
      <c r="AA130" s="246"/>
      <c r="AB130" s="237"/>
      <c r="AC130" s="247"/>
      <c r="AD130" s="247"/>
      <c r="AE130" s="244"/>
      <c r="AF130" s="247"/>
      <c r="AG130" s="247"/>
      <c r="AH130" s="247"/>
      <c r="AI130" s="247"/>
      <c r="AJ130" s="244"/>
      <c r="AK130" s="247"/>
      <c r="AL130" s="247"/>
      <c r="AM130" s="247"/>
      <c r="AN130" s="247"/>
      <c r="AO130" s="247"/>
      <c r="AP130" s="244"/>
      <c r="AQ130" s="244"/>
      <c r="AR130" s="247"/>
      <c r="AS130" s="247"/>
      <c r="AT130" s="247"/>
      <c r="AU130" s="247"/>
      <c r="AV130" s="244"/>
    </row>
    <row r="131" spans="1:48" ht="12.75" customHeight="1" x14ac:dyDescent="0.25">
      <c r="A131" s="240"/>
      <c r="B131" s="240"/>
      <c r="C131" s="242"/>
      <c r="D131" s="247"/>
      <c r="E131" s="242"/>
      <c r="F131" s="243"/>
      <c r="G131" s="243"/>
      <c r="H131" s="243"/>
      <c r="I131" s="243"/>
      <c r="J131" s="243"/>
      <c r="K131" s="247"/>
      <c r="L131" s="243"/>
      <c r="M131" s="243"/>
      <c r="N131" s="244"/>
      <c r="O131" s="247"/>
      <c r="P131" s="244"/>
      <c r="Q131" s="247"/>
      <c r="R131" s="244"/>
      <c r="S131" s="247"/>
      <c r="T131" s="247"/>
      <c r="U131" s="247"/>
      <c r="V131" s="247"/>
      <c r="W131" s="244"/>
      <c r="X131" s="247"/>
      <c r="Y131" s="247"/>
      <c r="Z131" s="244"/>
      <c r="AA131" s="246"/>
      <c r="AB131" s="237"/>
      <c r="AC131" s="247"/>
      <c r="AD131" s="247"/>
      <c r="AE131" s="244"/>
      <c r="AF131" s="247"/>
      <c r="AG131" s="247"/>
      <c r="AH131" s="247"/>
      <c r="AI131" s="247"/>
      <c r="AJ131" s="244"/>
      <c r="AK131" s="247"/>
      <c r="AL131" s="247"/>
      <c r="AM131" s="247"/>
      <c r="AN131" s="247"/>
      <c r="AO131" s="247"/>
      <c r="AP131" s="244"/>
      <c r="AQ131" s="244"/>
      <c r="AR131" s="247"/>
      <c r="AS131" s="247"/>
      <c r="AT131" s="247"/>
      <c r="AU131" s="247"/>
      <c r="AV131" s="244"/>
    </row>
    <row r="132" spans="1:48" ht="12.75" customHeight="1" x14ac:dyDescent="0.25">
      <c r="A132" s="240"/>
      <c r="B132" s="240"/>
      <c r="C132" s="242"/>
      <c r="D132" s="247"/>
      <c r="E132" s="242"/>
      <c r="F132" s="243"/>
      <c r="G132" s="243"/>
      <c r="H132" s="243"/>
      <c r="I132" s="243"/>
      <c r="J132" s="243"/>
      <c r="K132" s="247"/>
      <c r="L132" s="243"/>
      <c r="M132" s="243"/>
      <c r="N132" s="244"/>
      <c r="O132" s="247"/>
      <c r="P132" s="244"/>
      <c r="Q132" s="247"/>
      <c r="R132" s="244"/>
      <c r="S132" s="247"/>
      <c r="T132" s="247"/>
      <c r="U132" s="247"/>
      <c r="V132" s="247"/>
      <c r="W132" s="244"/>
      <c r="X132" s="247"/>
      <c r="Y132" s="247"/>
      <c r="Z132" s="244"/>
      <c r="AA132" s="246"/>
      <c r="AB132" s="237"/>
      <c r="AC132" s="247"/>
      <c r="AD132" s="247"/>
      <c r="AE132" s="244"/>
      <c r="AF132" s="247"/>
      <c r="AG132" s="247"/>
      <c r="AH132" s="247"/>
      <c r="AI132" s="247"/>
      <c r="AJ132" s="244"/>
      <c r="AK132" s="247"/>
      <c r="AL132" s="247"/>
      <c r="AM132" s="247"/>
      <c r="AN132" s="247"/>
      <c r="AO132" s="247"/>
      <c r="AP132" s="244"/>
      <c r="AQ132" s="244"/>
      <c r="AR132" s="247"/>
      <c r="AS132" s="247"/>
      <c r="AT132" s="247"/>
      <c r="AU132" s="247"/>
      <c r="AV132" s="244"/>
    </row>
    <row r="133" spans="1:48" ht="12.75" customHeight="1" x14ac:dyDescent="0.25">
      <c r="A133" s="240"/>
      <c r="B133" s="240"/>
      <c r="C133" s="242"/>
      <c r="D133" s="247"/>
      <c r="E133" s="242"/>
      <c r="F133" s="243"/>
      <c r="G133" s="243"/>
      <c r="H133" s="243"/>
      <c r="I133" s="243"/>
      <c r="J133" s="243"/>
      <c r="K133" s="247"/>
      <c r="L133" s="243"/>
      <c r="M133" s="243"/>
      <c r="N133" s="244"/>
      <c r="O133" s="247"/>
      <c r="P133" s="244"/>
      <c r="Q133" s="247"/>
      <c r="R133" s="244"/>
      <c r="S133" s="247"/>
      <c r="T133" s="247"/>
      <c r="U133" s="247"/>
      <c r="V133" s="247"/>
      <c r="W133" s="244"/>
      <c r="X133" s="247"/>
      <c r="Y133" s="247"/>
      <c r="Z133" s="244"/>
      <c r="AA133" s="246"/>
      <c r="AB133" s="237"/>
      <c r="AC133" s="247"/>
      <c r="AD133" s="247"/>
      <c r="AE133" s="244"/>
      <c r="AF133" s="247"/>
      <c r="AG133" s="247"/>
      <c r="AH133" s="247"/>
      <c r="AI133" s="247"/>
      <c r="AJ133" s="244"/>
      <c r="AK133" s="247"/>
      <c r="AL133" s="247"/>
      <c r="AM133" s="247"/>
      <c r="AN133" s="247"/>
      <c r="AO133" s="247"/>
      <c r="AP133" s="244"/>
      <c r="AQ133" s="244"/>
      <c r="AR133" s="247"/>
      <c r="AS133" s="247"/>
      <c r="AT133" s="247"/>
      <c r="AU133" s="247"/>
      <c r="AV133" s="244"/>
    </row>
    <row r="134" spans="1:48" ht="12.75" customHeight="1" x14ac:dyDescent="0.25">
      <c r="A134" s="240"/>
      <c r="B134" s="240"/>
      <c r="C134" s="242"/>
      <c r="D134" s="247"/>
      <c r="E134" s="242"/>
      <c r="F134" s="243"/>
      <c r="G134" s="243"/>
      <c r="H134" s="243"/>
      <c r="I134" s="243"/>
      <c r="J134" s="243"/>
      <c r="K134" s="247"/>
      <c r="L134" s="243"/>
      <c r="M134" s="243"/>
      <c r="N134" s="244"/>
      <c r="O134" s="247"/>
      <c r="P134" s="244"/>
      <c r="Q134" s="247"/>
      <c r="R134" s="244"/>
      <c r="S134" s="247"/>
      <c r="T134" s="247"/>
      <c r="U134" s="247"/>
      <c r="V134" s="247"/>
      <c r="W134" s="244"/>
      <c r="X134" s="247"/>
      <c r="Y134" s="247"/>
      <c r="Z134" s="244"/>
      <c r="AA134" s="246"/>
      <c r="AB134" s="237"/>
      <c r="AC134" s="247"/>
      <c r="AD134" s="247"/>
      <c r="AE134" s="244"/>
      <c r="AF134" s="247"/>
      <c r="AG134" s="247"/>
      <c r="AH134" s="247"/>
      <c r="AI134" s="247"/>
      <c r="AJ134" s="244"/>
      <c r="AK134" s="247"/>
      <c r="AL134" s="247"/>
      <c r="AM134" s="247"/>
      <c r="AN134" s="247"/>
      <c r="AO134" s="247"/>
      <c r="AP134" s="244"/>
      <c r="AQ134" s="244"/>
      <c r="AR134" s="247"/>
      <c r="AS134" s="247"/>
      <c r="AT134" s="247"/>
      <c r="AU134" s="247"/>
      <c r="AV134" s="244"/>
    </row>
    <row r="135" spans="1:48" ht="12.75" customHeight="1" x14ac:dyDescent="0.25">
      <c r="A135" s="240"/>
      <c r="B135" s="240"/>
      <c r="C135" s="242"/>
      <c r="D135" s="247"/>
      <c r="E135" s="242"/>
      <c r="F135" s="243"/>
      <c r="G135" s="243"/>
      <c r="H135" s="243"/>
      <c r="I135" s="243"/>
      <c r="J135" s="243"/>
      <c r="K135" s="247"/>
      <c r="L135" s="243"/>
      <c r="M135" s="243"/>
      <c r="N135" s="244"/>
      <c r="O135" s="247"/>
      <c r="P135" s="244"/>
      <c r="Q135" s="247"/>
      <c r="R135" s="244"/>
      <c r="S135" s="247"/>
      <c r="T135" s="247"/>
      <c r="U135" s="247"/>
      <c r="V135" s="247"/>
      <c r="W135" s="244"/>
      <c r="X135" s="247"/>
      <c r="Y135" s="247"/>
      <c r="Z135" s="244"/>
      <c r="AA135" s="246"/>
      <c r="AB135" s="237"/>
      <c r="AC135" s="247"/>
      <c r="AD135" s="247"/>
      <c r="AE135" s="244"/>
      <c r="AF135" s="247"/>
      <c r="AG135" s="247"/>
      <c r="AH135" s="247"/>
      <c r="AI135" s="247"/>
      <c r="AJ135" s="244"/>
      <c r="AK135" s="247"/>
      <c r="AL135" s="247"/>
      <c r="AM135" s="247"/>
      <c r="AN135" s="247"/>
      <c r="AO135" s="247"/>
      <c r="AP135" s="244"/>
      <c r="AQ135" s="244"/>
      <c r="AR135" s="247"/>
      <c r="AS135" s="247"/>
      <c r="AT135" s="247"/>
      <c r="AU135" s="247"/>
      <c r="AV135" s="244"/>
    </row>
    <row r="136" spans="1:48" ht="12.75" customHeight="1" x14ac:dyDescent="0.25">
      <c r="A136" s="240"/>
      <c r="B136" s="240"/>
      <c r="C136" s="242"/>
      <c r="D136" s="247"/>
      <c r="E136" s="242"/>
      <c r="F136" s="243"/>
      <c r="G136" s="243"/>
      <c r="H136" s="243"/>
      <c r="I136" s="243"/>
      <c r="J136" s="243"/>
      <c r="K136" s="247"/>
      <c r="L136" s="243"/>
      <c r="M136" s="243"/>
      <c r="N136" s="244"/>
      <c r="O136" s="247"/>
      <c r="P136" s="244"/>
      <c r="Q136" s="247"/>
      <c r="R136" s="244"/>
      <c r="S136" s="247"/>
      <c r="T136" s="247"/>
      <c r="U136" s="247"/>
      <c r="V136" s="247"/>
      <c r="W136" s="244"/>
      <c r="X136" s="247"/>
      <c r="Y136" s="247"/>
      <c r="Z136" s="244"/>
      <c r="AA136" s="246"/>
      <c r="AB136" s="237"/>
      <c r="AC136" s="247"/>
      <c r="AD136" s="247"/>
      <c r="AE136" s="244"/>
      <c r="AF136" s="247"/>
      <c r="AG136" s="247"/>
      <c r="AH136" s="247"/>
      <c r="AI136" s="247"/>
      <c r="AJ136" s="244"/>
      <c r="AK136" s="247"/>
      <c r="AL136" s="247"/>
      <c r="AM136" s="247"/>
      <c r="AN136" s="247"/>
      <c r="AO136" s="247"/>
      <c r="AP136" s="244"/>
      <c r="AQ136" s="244"/>
      <c r="AR136" s="247"/>
      <c r="AS136" s="247"/>
      <c r="AT136" s="247"/>
      <c r="AU136" s="247"/>
      <c r="AV136" s="244"/>
    </row>
    <row r="137" spans="1:48" ht="12.75" customHeight="1" x14ac:dyDescent="0.25">
      <c r="A137" s="240"/>
      <c r="B137" s="240"/>
      <c r="C137" s="242"/>
      <c r="D137" s="247"/>
      <c r="E137" s="242"/>
      <c r="F137" s="243"/>
      <c r="G137" s="243"/>
      <c r="H137" s="243"/>
      <c r="I137" s="243"/>
      <c r="J137" s="243"/>
      <c r="K137" s="247"/>
      <c r="L137" s="243"/>
      <c r="M137" s="243"/>
      <c r="N137" s="244"/>
      <c r="O137" s="247"/>
      <c r="P137" s="244"/>
      <c r="Q137" s="247"/>
      <c r="R137" s="244"/>
      <c r="S137" s="247"/>
      <c r="T137" s="247"/>
      <c r="U137" s="247"/>
      <c r="V137" s="247"/>
      <c r="W137" s="244"/>
      <c r="X137" s="247"/>
      <c r="Y137" s="247"/>
      <c r="Z137" s="244"/>
      <c r="AA137" s="246"/>
      <c r="AB137" s="237"/>
      <c r="AC137" s="247"/>
      <c r="AD137" s="247"/>
      <c r="AE137" s="244"/>
      <c r="AF137" s="247"/>
      <c r="AG137" s="247"/>
      <c r="AH137" s="247"/>
      <c r="AI137" s="247"/>
      <c r="AJ137" s="244"/>
      <c r="AK137" s="247"/>
      <c r="AL137" s="247"/>
      <c r="AM137" s="247"/>
      <c r="AN137" s="247"/>
      <c r="AO137" s="247"/>
      <c r="AP137" s="244"/>
      <c r="AQ137" s="244"/>
      <c r="AR137" s="247"/>
      <c r="AS137" s="247"/>
      <c r="AT137" s="247"/>
      <c r="AU137" s="247"/>
      <c r="AV137" s="244"/>
    </row>
    <row r="138" spans="1:48" ht="12.75" customHeight="1" x14ac:dyDescent="0.25">
      <c r="A138" s="240"/>
      <c r="B138" s="240"/>
      <c r="C138" s="242"/>
      <c r="D138" s="247"/>
      <c r="E138" s="242"/>
      <c r="F138" s="243"/>
      <c r="G138" s="243"/>
      <c r="H138" s="243"/>
      <c r="I138" s="243"/>
      <c r="J138" s="243"/>
      <c r="K138" s="247"/>
      <c r="L138" s="243"/>
      <c r="M138" s="243"/>
      <c r="N138" s="244"/>
      <c r="O138" s="247"/>
      <c r="P138" s="244"/>
      <c r="Q138" s="247"/>
      <c r="R138" s="244"/>
      <c r="S138" s="247"/>
      <c r="T138" s="247"/>
      <c r="U138" s="247"/>
      <c r="V138" s="247"/>
      <c r="W138" s="244"/>
      <c r="X138" s="247"/>
      <c r="Y138" s="247"/>
      <c r="Z138" s="244"/>
      <c r="AA138" s="246"/>
      <c r="AB138" s="237"/>
      <c r="AC138" s="247"/>
      <c r="AD138" s="247"/>
      <c r="AE138" s="244"/>
      <c r="AF138" s="247"/>
      <c r="AG138" s="247"/>
      <c r="AH138" s="247"/>
      <c r="AI138" s="247"/>
      <c r="AJ138" s="244"/>
      <c r="AK138" s="247"/>
      <c r="AL138" s="247"/>
      <c r="AM138" s="247"/>
      <c r="AN138" s="247"/>
      <c r="AO138" s="247"/>
      <c r="AP138" s="244"/>
      <c r="AQ138" s="244"/>
      <c r="AR138" s="247"/>
      <c r="AS138" s="247"/>
      <c r="AT138" s="247"/>
      <c r="AU138" s="247"/>
      <c r="AV138" s="244"/>
    </row>
    <row r="139" spans="1:48" ht="12.75" customHeight="1" x14ac:dyDescent="0.25">
      <c r="A139" s="240"/>
      <c r="B139" s="240"/>
      <c r="C139" s="242"/>
      <c r="D139" s="247"/>
      <c r="E139" s="242"/>
      <c r="F139" s="243"/>
      <c r="G139" s="243"/>
      <c r="H139" s="243"/>
      <c r="I139" s="243"/>
      <c r="J139" s="243"/>
      <c r="K139" s="247"/>
      <c r="L139" s="243"/>
      <c r="M139" s="243"/>
      <c r="N139" s="244"/>
      <c r="O139" s="247"/>
      <c r="P139" s="244"/>
      <c r="Q139" s="247"/>
      <c r="R139" s="244"/>
      <c r="S139" s="247"/>
      <c r="T139" s="247"/>
      <c r="U139" s="247"/>
      <c r="V139" s="247"/>
      <c r="W139" s="244"/>
      <c r="X139" s="247"/>
      <c r="Y139" s="247"/>
      <c r="Z139" s="244"/>
      <c r="AA139" s="246"/>
      <c r="AB139" s="237"/>
      <c r="AC139" s="247"/>
      <c r="AD139" s="247"/>
      <c r="AE139" s="244"/>
      <c r="AF139" s="247"/>
      <c r="AG139" s="247"/>
      <c r="AH139" s="247"/>
      <c r="AI139" s="247"/>
      <c r="AJ139" s="244"/>
      <c r="AK139" s="247"/>
      <c r="AL139" s="247"/>
      <c r="AM139" s="247"/>
      <c r="AN139" s="247"/>
      <c r="AO139" s="247"/>
      <c r="AP139" s="244"/>
      <c r="AQ139" s="244"/>
      <c r="AR139" s="247"/>
      <c r="AS139" s="247"/>
      <c r="AT139" s="247"/>
      <c r="AU139" s="247"/>
      <c r="AV139" s="244"/>
    </row>
    <row r="140" spans="1:48" ht="12.75" customHeight="1" x14ac:dyDescent="0.25">
      <c r="A140" s="240"/>
      <c r="B140" s="240"/>
      <c r="C140" s="242"/>
      <c r="D140" s="247"/>
      <c r="E140" s="242"/>
      <c r="F140" s="243"/>
      <c r="G140" s="243"/>
      <c r="H140" s="243"/>
      <c r="I140" s="243"/>
      <c r="J140" s="243"/>
      <c r="K140" s="247"/>
      <c r="L140" s="243"/>
      <c r="M140" s="243"/>
      <c r="N140" s="244"/>
      <c r="O140" s="247"/>
      <c r="P140" s="244"/>
      <c r="Q140" s="247"/>
      <c r="R140" s="244"/>
      <c r="S140" s="247"/>
      <c r="T140" s="247"/>
      <c r="U140" s="247"/>
      <c r="V140" s="247"/>
      <c r="W140" s="244"/>
      <c r="X140" s="247"/>
      <c r="Y140" s="247"/>
      <c r="Z140" s="244"/>
      <c r="AA140" s="246"/>
      <c r="AB140" s="237"/>
      <c r="AC140" s="247"/>
      <c r="AD140" s="247"/>
      <c r="AE140" s="244"/>
      <c r="AF140" s="247"/>
      <c r="AG140" s="247"/>
      <c r="AH140" s="247"/>
      <c r="AI140" s="247"/>
      <c r="AJ140" s="244"/>
      <c r="AK140" s="247"/>
      <c r="AL140" s="247"/>
      <c r="AM140" s="247"/>
      <c r="AN140" s="247"/>
      <c r="AO140" s="247"/>
      <c r="AP140" s="244"/>
      <c r="AQ140" s="244"/>
      <c r="AR140" s="247"/>
      <c r="AS140" s="247"/>
      <c r="AT140" s="247"/>
      <c r="AU140" s="247"/>
      <c r="AV140" s="244"/>
    </row>
    <row r="141" spans="1:48" ht="12.75" customHeight="1" x14ac:dyDescent="0.25">
      <c r="A141" s="240"/>
      <c r="B141" s="240"/>
      <c r="C141" s="242"/>
      <c r="D141" s="247"/>
      <c r="E141" s="242"/>
      <c r="F141" s="243"/>
      <c r="G141" s="243"/>
      <c r="H141" s="243"/>
      <c r="I141" s="243"/>
      <c r="J141" s="243"/>
      <c r="K141" s="247"/>
      <c r="L141" s="243"/>
      <c r="M141" s="243"/>
      <c r="N141" s="244"/>
      <c r="O141" s="247"/>
      <c r="P141" s="244"/>
      <c r="Q141" s="247"/>
      <c r="R141" s="244"/>
      <c r="S141" s="247"/>
      <c r="T141" s="247"/>
      <c r="U141" s="247"/>
      <c r="V141" s="247"/>
      <c r="W141" s="244"/>
      <c r="X141" s="247"/>
      <c r="Y141" s="247"/>
      <c r="Z141" s="244"/>
      <c r="AA141" s="246"/>
      <c r="AB141" s="237"/>
      <c r="AC141" s="247"/>
      <c r="AD141" s="247"/>
      <c r="AE141" s="244"/>
      <c r="AF141" s="247"/>
      <c r="AG141" s="247"/>
      <c r="AH141" s="247"/>
      <c r="AI141" s="247"/>
      <c r="AJ141" s="244"/>
      <c r="AK141" s="247"/>
      <c r="AL141" s="247"/>
      <c r="AM141" s="247"/>
      <c r="AN141" s="247"/>
      <c r="AO141" s="247"/>
      <c r="AP141" s="244"/>
      <c r="AQ141" s="244"/>
      <c r="AR141" s="247"/>
      <c r="AS141" s="247"/>
      <c r="AT141" s="247"/>
      <c r="AU141" s="247"/>
      <c r="AV141" s="244"/>
    </row>
    <row r="142" spans="1:48" ht="12.75" customHeight="1" x14ac:dyDescent="0.25">
      <c r="A142" s="240"/>
      <c r="B142" s="240"/>
      <c r="C142" s="242"/>
      <c r="D142" s="247"/>
      <c r="E142" s="242"/>
      <c r="F142" s="243"/>
      <c r="G142" s="243"/>
      <c r="H142" s="243"/>
      <c r="I142" s="243"/>
      <c r="J142" s="243"/>
      <c r="K142" s="247"/>
      <c r="L142" s="243"/>
      <c r="M142" s="243"/>
      <c r="N142" s="244"/>
      <c r="O142" s="247"/>
      <c r="P142" s="244"/>
      <c r="Q142" s="247"/>
      <c r="R142" s="244"/>
      <c r="S142" s="247"/>
      <c r="T142" s="247"/>
      <c r="U142" s="247"/>
      <c r="V142" s="247"/>
      <c r="W142" s="244"/>
      <c r="X142" s="247"/>
      <c r="Y142" s="247"/>
      <c r="Z142" s="244"/>
      <c r="AA142" s="246"/>
      <c r="AB142" s="237"/>
      <c r="AC142" s="247"/>
      <c r="AD142" s="247"/>
      <c r="AE142" s="244"/>
      <c r="AF142" s="247"/>
      <c r="AG142" s="247"/>
      <c r="AH142" s="247"/>
      <c r="AI142" s="247"/>
      <c r="AJ142" s="244"/>
      <c r="AK142" s="247"/>
      <c r="AL142" s="247"/>
      <c r="AM142" s="247"/>
      <c r="AN142" s="247"/>
      <c r="AO142" s="247"/>
      <c r="AP142" s="244"/>
      <c r="AQ142" s="244"/>
      <c r="AR142" s="247"/>
      <c r="AS142" s="247"/>
      <c r="AT142" s="247"/>
      <c r="AU142" s="247"/>
      <c r="AV142" s="244"/>
    </row>
    <row r="143" spans="1:48" ht="12.75" customHeight="1" x14ac:dyDescent="0.25">
      <c r="A143" s="240"/>
      <c r="B143" s="240"/>
      <c r="C143" s="242"/>
      <c r="D143" s="247"/>
      <c r="E143" s="242"/>
      <c r="F143" s="243"/>
      <c r="G143" s="243"/>
      <c r="H143" s="243"/>
      <c r="I143" s="243"/>
      <c r="J143" s="243"/>
      <c r="K143" s="247"/>
      <c r="L143" s="243"/>
      <c r="M143" s="243"/>
      <c r="N143" s="244"/>
      <c r="O143" s="247"/>
      <c r="P143" s="244"/>
      <c r="Q143" s="247"/>
      <c r="R143" s="244"/>
      <c r="S143" s="247"/>
      <c r="T143" s="247"/>
      <c r="U143" s="247"/>
      <c r="V143" s="247"/>
      <c r="W143" s="244"/>
      <c r="X143" s="247"/>
      <c r="Y143" s="247"/>
      <c r="Z143" s="244"/>
      <c r="AA143" s="246"/>
      <c r="AB143" s="237"/>
      <c r="AC143" s="247"/>
      <c r="AD143" s="247"/>
      <c r="AE143" s="244"/>
      <c r="AF143" s="247"/>
      <c r="AG143" s="247"/>
      <c r="AH143" s="247"/>
      <c r="AI143" s="247"/>
      <c r="AJ143" s="244"/>
      <c r="AK143" s="247"/>
      <c r="AL143" s="247"/>
      <c r="AM143" s="247"/>
      <c r="AN143" s="247"/>
      <c r="AO143" s="247"/>
      <c r="AP143" s="244"/>
      <c r="AQ143" s="244"/>
      <c r="AR143" s="247"/>
      <c r="AS143" s="247"/>
      <c r="AT143" s="247"/>
      <c r="AU143" s="247"/>
      <c r="AV143" s="244"/>
    </row>
    <row r="144" spans="1:48" ht="12.75" customHeight="1" x14ac:dyDescent="0.25">
      <c r="A144" s="240"/>
      <c r="B144" s="240"/>
      <c r="C144" s="242"/>
      <c r="D144" s="247"/>
      <c r="E144" s="242"/>
      <c r="F144" s="243"/>
      <c r="G144" s="243"/>
      <c r="H144" s="243"/>
      <c r="I144" s="243"/>
      <c r="J144" s="243"/>
      <c r="K144" s="247"/>
      <c r="L144" s="243"/>
      <c r="M144" s="243"/>
      <c r="N144" s="244"/>
      <c r="O144" s="247"/>
      <c r="P144" s="244"/>
      <c r="Q144" s="247"/>
      <c r="R144" s="244"/>
      <c r="S144" s="247"/>
      <c r="T144" s="247"/>
      <c r="U144" s="247"/>
      <c r="V144" s="247"/>
      <c r="W144" s="244"/>
      <c r="X144" s="247"/>
      <c r="Y144" s="247"/>
      <c r="Z144" s="244"/>
      <c r="AA144" s="246"/>
      <c r="AB144" s="237"/>
      <c r="AC144" s="247"/>
      <c r="AD144" s="247"/>
      <c r="AE144" s="244"/>
      <c r="AF144" s="247"/>
      <c r="AG144" s="247"/>
      <c r="AH144" s="247"/>
      <c r="AI144" s="247"/>
      <c r="AJ144" s="244"/>
      <c r="AK144" s="247"/>
      <c r="AL144" s="247"/>
      <c r="AM144" s="247"/>
      <c r="AN144" s="247"/>
      <c r="AO144" s="247"/>
      <c r="AP144" s="244"/>
      <c r="AQ144" s="244"/>
      <c r="AR144" s="247"/>
      <c r="AS144" s="247"/>
      <c r="AT144" s="247"/>
      <c r="AU144" s="247"/>
      <c r="AV144" s="244"/>
    </row>
    <row r="145" spans="1:48" ht="12.75" customHeight="1" x14ac:dyDescent="0.25">
      <c r="A145" s="240"/>
      <c r="B145" s="240"/>
      <c r="C145" s="242"/>
      <c r="D145" s="247"/>
      <c r="E145" s="242"/>
      <c r="F145" s="243"/>
      <c r="G145" s="243"/>
      <c r="H145" s="243"/>
      <c r="I145" s="243"/>
      <c r="J145" s="243"/>
      <c r="K145" s="247"/>
      <c r="L145" s="243"/>
      <c r="M145" s="243"/>
      <c r="N145" s="244"/>
      <c r="O145" s="247"/>
      <c r="P145" s="244"/>
      <c r="Q145" s="247"/>
      <c r="R145" s="244"/>
      <c r="S145" s="247"/>
      <c r="T145" s="247"/>
      <c r="U145" s="247"/>
      <c r="V145" s="247"/>
      <c r="W145" s="244"/>
      <c r="X145" s="247"/>
      <c r="Y145" s="247"/>
      <c r="Z145" s="244"/>
      <c r="AA145" s="246"/>
      <c r="AB145" s="237"/>
      <c r="AC145" s="247"/>
      <c r="AD145" s="247"/>
      <c r="AE145" s="244"/>
      <c r="AF145" s="247"/>
      <c r="AG145" s="247"/>
      <c r="AH145" s="247"/>
      <c r="AI145" s="247"/>
      <c r="AJ145" s="244"/>
      <c r="AK145" s="247"/>
      <c r="AL145" s="247"/>
      <c r="AM145" s="247"/>
      <c r="AN145" s="247"/>
      <c r="AO145" s="247"/>
      <c r="AP145" s="244"/>
      <c r="AQ145" s="244"/>
      <c r="AR145" s="247"/>
      <c r="AS145" s="247"/>
      <c r="AT145" s="247"/>
      <c r="AU145" s="247"/>
      <c r="AV145" s="244"/>
    </row>
    <row r="146" spans="1:48" ht="12.75" customHeight="1" x14ac:dyDescent="0.25">
      <c r="A146" s="240"/>
      <c r="B146" s="240"/>
      <c r="C146" s="242"/>
      <c r="D146" s="247"/>
      <c r="E146" s="242"/>
      <c r="F146" s="243"/>
      <c r="G146" s="243"/>
      <c r="H146" s="243"/>
      <c r="I146" s="243"/>
      <c r="J146" s="243"/>
      <c r="K146" s="247"/>
      <c r="L146" s="243"/>
      <c r="M146" s="243"/>
      <c r="N146" s="244"/>
      <c r="O146" s="247"/>
      <c r="P146" s="244"/>
      <c r="Q146" s="247"/>
      <c r="R146" s="244"/>
      <c r="S146" s="247"/>
      <c r="T146" s="247"/>
      <c r="U146" s="247"/>
      <c r="V146" s="247"/>
      <c r="W146" s="244"/>
      <c r="X146" s="247"/>
      <c r="Y146" s="247"/>
      <c r="Z146" s="244"/>
      <c r="AA146" s="246"/>
      <c r="AB146" s="237"/>
      <c r="AC146" s="247"/>
      <c r="AD146" s="247"/>
      <c r="AE146" s="244"/>
      <c r="AF146" s="247"/>
      <c r="AG146" s="247"/>
      <c r="AH146" s="247"/>
      <c r="AI146" s="247"/>
      <c r="AJ146" s="244"/>
      <c r="AK146" s="247"/>
      <c r="AL146" s="247"/>
      <c r="AM146" s="247"/>
      <c r="AN146" s="247"/>
      <c r="AO146" s="247"/>
      <c r="AP146" s="244"/>
      <c r="AQ146" s="244"/>
      <c r="AR146" s="247"/>
      <c r="AS146" s="247"/>
      <c r="AT146" s="247"/>
      <c r="AU146" s="247"/>
      <c r="AV146" s="244"/>
    </row>
    <row r="147" spans="1:48" ht="12.75" customHeight="1" x14ac:dyDescent="0.25">
      <c r="A147" s="240"/>
      <c r="B147" s="240"/>
      <c r="C147" s="242"/>
      <c r="D147" s="247"/>
      <c r="E147" s="242"/>
      <c r="F147" s="243"/>
      <c r="G147" s="243"/>
      <c r="H147" s="243"/>
      <c r="I147" s="243"/>
      <c r="J147" s="243"/>
      <c r="K147" s="247"/>
      <c r="L147" s="243"/>
      <c r="M147" s="243"/>
      <c r="N147" s="244"/>
      <c r="O147" s="247"/>
      <c r="P147" s="244"/>
      <c r="Q147" s="247"/>
      <c r="R147" s="244"/>
      <c r="S147" s="247"/>
      <c r="T147" s="247"/>
      <c r="U147" s="247"/>
      <c r="V147" s="247"/>
      <c r="W147" s="244"/>
      <c r="X147" s="247"/>
      <c r="Y147" s="247"/>
      <c r="Z147" s="244"/>
      <c r="AA147" s="246"/>
      <c r="AB147" s="237"/>
      <c r="AC147" s="247"/>
      <c r="AD147" s="247"/>
      <c r="AE147" s="244"/>
      <c r="AF147" s="247"/>
      <c r="AG147" s="247"/>
      <c r="AH147" s="247"/>
      <c r="AI147" s="247"/>
      <c r="AJ147" s="244"/>
      <c r="AK147" s="247"/>
      <c r="AL147" s="247"/>
      <c r="AM147" s="247"/>
      <c r="AN147" s="247"/>
      <c r="AO147" s="247"/>
      <c r="AP147" s="244"/>
      <c r="AQ147" s="244"/>
      <c r="AR147" s="247"/>
      <c r="AS147" s="247"/>
      <c r="AT147" s="247"/>
      <c r="AU147" s="247"/>
      <c r="AV147" s="244"/>
    </row>
    <row r="148" spans="1:48" ht="12.75" customHeight="1" x14ac:dyDescent="0.25">
      <c r="A148" s="240"/>
      <c r="B148" s="240"/>
      <c r="C148" s="242"/>
      <c r="D148" s="247"/>
      <c r="E148" s="242"/>
      <c r="F148" s="243"/>
      <c r="G148" s="243"/>
      <c r="H148" s="243"/>
      <c r="I148" s="243"/>
      <c r="J148" s="243"/>
      <c r="K148" s="247"/>
      <c r="L148" s="243"/>
      <c r="M148" s="243"/>
      <c r="N148" s="244"/>
      <c r="O148" s="247"/>
      <c r="P148" s="244"/>
      <c r="Q148" s="247"/>
      <c r="R148" s="244"/>
      <c r="S148" s="247"/>
      <c r="T148" s="247"/>
      <c r="U148" s="247"/>
      <c r="V148" s="247"/>
      <c r="W148" s="244"/>
      <c r="X148" s="247"/>
      <c r="Y148" s="247"/>
      <c r="Z148" s="244"/>
      <c r="AA148" s="246"/>
      <c r="AB148" s="237"/>
      <c r="AC148" s="247"/>
      <c r="AD148" s="247"/>
      <c r="AE148" s="244"/>
      <c r="AF148" s="247"/>
      <c r="AG148" s="247"/>
      <c r="AH148" s="247"/>
      <c r="AI148" s="247"/>
      <c r="AJ148" s="244"/>
      <c r="AK148" s="247"/>
      <c r="AL148" s="247"/>
      <c r="AM148" s="247"/>
      <c r="AN148" s="247"/>
      <c r="AO148" s="247"/>
      <c r="AP148" s="244"/>
      <c r="AQ148" s="244"/>
      <c r="AR148" s="247"/>
      <c r="AS148" s="247"/>
      <c r="AT148" s="247"/>
      <c r="AU148" s="247"/>
      <c r="AV148" s="244"/>
    </row>
    <row r="149" spans="1:48" ht="12.75" customHeight="1" x14ac:dyDescent="0.25">
      <c r="A149" s="240"/>
      <c r="B149" s="240"/>
      <c r="C149" s="242"/>
      <c r="D149" s="247"/>
      <c r="E149" s="242"/>
      <c r="F149" s="243"/>
      <c r="G149" s="243"/>
      <c r="H149" s="243"/>
      <c r="I149" s="243"/>
      <c r="J149" s="243"/>
      <c r="K149" s="247"/>
      <c r="L149" s="243"/>
      <c r="M149" s="243"/>
      <c r="N149" s="244"/>
      <c r="O149" s="247"/>
      <c r="P149" s="244"/>
      <c r="Q149" s="247"/>
      <c r="R149" s="244"/>
      <c r="S149" s="247"/>
      <c r="T149" s="247"/>
      <c r="U149" s="247"/>
      <c r="V149" s="247"/>
      <c r="W149" s="244"/>
      <c r="X149" s="247"/>
      <c r="Y149" s="247"/>
      <c r="Z149" s="244"/>
      <c r="AA149" s="246"/>
      <c r="AB149" s="237"/>
      <c r="AC149" s="247"/>
      <c r="AD149" s="247"/>
      <c r="AE149" s="244"/>
      <c r="AF149" s="247"/>
      <c r="AG149" s="247"/>
      <c r="AH149" s="247"/>
      <c r="AI149" s="247"/>
      <c r="AJ149" s="244"/>
      <c r="AK149" s="247"/>
      <c r="AL149" s="247"/>
      <c r="AM149" s="247"/>
      <c r="AN149" s="247"/>
      <c r="AO149" s="247"/>
      <c r="AP149" s="244"/>
      <c r="AQ149" s="244"/>
      <c r="AR149" s="247"/>
      <c r="AS149" s="247"/>
      <c r="AT149" s="247"/>
      <c r="AU149" s="247"/>
      <c r="AV149" s="244"/>
    </row>
    <row r="150" spans="1:48" ht="12.75" customHeight="1" x14ac:dyDescent="0.25">
      <c r="A150" s="240"/>
      <c r="B150" s="240"/>
      <c r="C150" s="242"/>
      <c r="D150" s="247"/>
      <c r="E150" s="242"/>
      <c r="F150" s="243"/>
      <c r="G150" s="243"/>
      <c r="H150" s="243"/>
      <c r="I150" s="243"/>
      <c r="J150" s="243"/>
      <c r="K150" s="247"/>
      <c r="L150" s="243"/>
      <c r="M150" s="243"/>
      <c r="N150" s="244"/>
      <c r="O150" s="247"/>
      <c r="P150" s="244"/>
      <c r="Q150" s="247"/>
      <c r="R150" s="244"/>
      <c r="S150" s="247"/>
      <c r="T150" s="247"/>
      <c r="U150" s="247"/>
      <c r="V150" s="247"/>
      <c r="W150" s="244"/>
      <c r="X150" s="247"/>
      <c r="Y150" s="247"/>
      <c r="Z150" s="244"/>
      <c r="AA150" s="246"/>
      <c r="AB150" s="237"/>
      <c r="AC150" s="247"/>
      <c r="AD150" s="247"/>
      <c r="AE150" s="244"/>
      <c r="AF150" s="247"/>
      <c r="AG150" s="247"/>
      <c r="AH150" s="247"/>
      <c r="AI150" s="247"/>
      <c r="AJ150" s="244"/>
      <c r="AK150" s="247"/>
      <c r="AL150" s="247"/>
      <c r="AM150" s="247"/>
      <c r="AN150" s="247"/>
      <c r="AO150" s="247"/>
      <c r="AP150" s="244"/>
      <c r="AQ150" s="244"/>
      <c r="AR150" s="247"/>
      <c r="AS150" s="247"/>
      <c r="AT150" s="247"/>
      <c r="AU150" s="247"/>
      <c r="AV150" s="244"/>
    </row>
    <row r="151" spans="1:48" ht="12.75" customHeight="1" x14ac:dyDescent="0.25">
      <c r="A151" s="240"/>
      <c r="B151" s="240"/>
      <c r="C151" s="242"/>
      <c r="D151" s="247"/>
      <c r="E151" s="242"/>
      <c r="F151" s="243"/>
      <c r="G151" s="243"/>
      <c r="H151" s="243"/>
      <c r="I151" s="243"/>
      <c r="J151" s="243"/>
      <c r="K151" s="247"/>
      <c r="L151" s="243"/>
      <c r="M151" s="243"/>
      <c r="N151" s="244"/>
      <c r="O151" s="247"/>
      <c r="P151" s="244"/>
      <c r="Q151" s="247"/>
      <c r="R151" s="244"/>
      <c r="S151" s="247"/>
      <c r="T151" s="247"/>
      <c r="U151" s="247"/>
      <c r="V151" s="247"/>
      <c r="W151" s="244"/>
      <c r="X151" s="247"/>
      <c r="Y151" s="247"/>
      <c r="Z151" s="244"/>
      <c r="AA151" s="246"/>
      <c r="AB151" s="237"/>
      <c r="AC151" s="247"/>
      <c r="AD151" s="247"/>
      <c r="AE151" s="244"/>
      <c r="AF151" s="247"/>
      <c r="AG151" s="247"/>
      <c r="AH151" s="247"/>
      <c r="AI151" s="247"/>
      <c r="AJ151" s="244"/>
      <c r="AK151" s="247"/>
      <c r="AL151" s="247"/>
      <c r="AM151" s="247"/>
      <c r="AN151" s="247"/>
      <c r="AO151" s="247"/>
      <c r="AP151" s="244"/>
      <c r="AQ151" s="244"/>
      <c r="AR151" s="247"/>
      <c r="AS151" s="247"/>
      <c r="AT151" s="247"/>
      <c r="AU151" s="247"/>
      <c r="AV151" s="244"/>
    </row>
    <row r="152" spans="1:48" ht="12.75" customHeight="1" x14ac:dyDescent="0.25">
      <c r="A152" s="240"/>
      <c r="B152" s="240"/>
      <c r="C152" s="242"/>
      <c r="D152" s="247"/>
      <c r="E152" s="242"/>
      <c r="F152" s="243"/>
      <c r="G152" s="243"/>
      <c r="H152" s="243"/>
      <c r="I152" s="243"/>
      <c r="J152" s="243"/>
      <c r="K152" s="247"/>
      <c r="L152" s="243"/>
      <c r="M152" s="243"/>
      <c r="N152" s="244"/>
      <c r="O152" s="247"/>
      <c r="P152" s="244"/>
      <c r="Q152" s="247"/>
      <c r="R152" s="244"/>
      <c r="S152" s="247"/>
      <c r="T152" s="247"/>
      <c r="U152" s="247"/>
      <c r="V152" s="247"/>
      <c r="W152" s="244"/>
      <c r="X152" s="247"/>
      <c r="Y152" s="247"/>
      <c r="Z152" s="244"/>
      <c r="AA152" s="246"/>
      <c r="AB152" s="237"/>
      <c r="AC152" s="247"/>
      <c r="AD152" s="247"/>
      <c r="AE152" s="244"/>
      <c r="AF152" s="247"/>
      <c r="AG152" s="247"/>
      <c r="AH152" s="247"/>
      <c r="AI152" s="247"/>
      <c r="AJ152" s="244"/>
      <c r="AK152" s="247"/>
      <c r="AL152" s="247"/>
      <c r="AM152" s="247"/>
      <c r="AN152" s="247"/>
      <c r="AO152" s="247"/>
      <c r="AP152" s="244"/>
      <c r="AQ152" s="244"/>
      <c r="AR152" s="247"/>
      <c r="AS152" s="247"/>
      <c r="AT152" s="247"/>
      <c r="AU152" s="247"/>
      <c r="AV152" s="244"/>
    </row>
    <row r="153" spans="1:48" ht="12.75" customHeight="1" x14ac:dyDescent="0.25">
      <c r="A153" s="240"/>
      <c r="B153" s="240"/>
      <c r="C153" s="242"/>
      <c r="D153" s="247"/>
      <c r="E153" s="242"/>
      <c r="F153" s="243"/>
      <c r="G153" s="243"/>
      <c r="H153" s="243"/>
      <c r="I153" s="243"/>
      <c r="J153" s="243"/>
      <c r="K153" s="247"/>
      <c r="L153" s="243"/>
      <c r="M153" s="243"/>
      <c r="N153" s="244"/>
      <c r="O153" s="247"/>
      <c r="P153" s="244"/>
      <c r="Q153" s="247"/>
      <c r="R153" s="244"/>
      <c r="S153" s="247"/>
      <c r="T153" s="247"/>
      <c r="U153" s="247"/>
      <c r="V153" s="247"/>
      <c r="W153" s="244"/>
      <c r="X153" s="247"/>
      <c r="Y153" s="247"/>
      <c r="Z153" s="244"/>
      <c r="AA153" s="246"/>
      <c r="AB153" s="237"/>
      <c r="AC153" s="247"/>
      <c r="AD153" s="247"/>
      <c r="AE153" s="244"/>
      <c r="AF153" s="247"/>
      <c r="AG153" s="247"/>
      <c r="AH153" s="247"/>
      <c r="AI153" s="247"/>
      <c r="AJ153" s="244"/>
      <c r="AK153" s="247"/>
      <c r="AL153" s="247"/>
      <c r="AM153" s="247"/>
      <c r="AN153" s="247"/>
      <c r="AO153" s="247"/>
      <c r="AP153" s="244"/>
      <c r="AQ153" s="244"/>
      <c r="AR153" s="247"/>
      <c r="AS153" s="247"/>
      <c r="AT153" s="247"/>
      <c r="AU153" s="247"/>
      <c r="AV153" s="244"/>
    </row>
    <row r="154" spans="1:48" ht="12.75" customHeight="1" x14ac:dyDescent="0.25">
      <c r="A154" s="240"/>
      <c r="B154" s="240"/>
      <c r="C154" s="242"/>
      <c r="D154" s="247"/>
      <c r="E154" s="242"/>
      <c r="F154" s="243"/>
      <c r="G154" s="243"/>
      <c r="H154" s="243"/>
      <c r="I154" s="243"/>
      <c r="J154" s="243"/>
      <c r="K154" s="247"/>
      <c r="L154" s="243"/>
      <c r="M154" s="243"/>
      <c r="N154" s="244"/>
      <c r="O154" s="247"/>
      <c r="P154" s="244"/>
      <c r="Q154" s="247"/>
      <c r="R154" s="244"/>
      <c r="S154" s="247"/>
      <c r="T154" s="247"/>
      <c r="U154" s="247"/>
      <c r="V154" s="247"/>
      <c r="W154" s="244"/>
      <c r="X154" s="247"/>
      <c r="Y154" s="247"/>
      <c r="Z154" s="244"/>
      <c r="AA154" s="246"/>
      <c r="AB154" s="237"/>
      <c r="AC154" s="247"/>
      <c r="AD154" s="247"/>
      <c r="AE154" s="244"/>
      <c r="AF154" s="247"/>
      <c r="AG154" s="247"/>
      <c r="AH154" s="247"/>
      <c r="AI154" s="247"/>
      <c r="AJ154" s="244"/>
      <c r="AK154" s="247"/>
      <c r="AL154" s="247"/>
      <c r="AM154" s="247"/>
      <c r="AN154" s="247"/>
      <c r="AO154" s="247"/>
      <c r="AP154" s="244"/>
      <c r="AQ154" s="244"/>
      <c r="AR154" s="247"/>
      <c r="AS154" s="247"/>
      <c r="AT154" s="247"/>
      <c r="AU154" s="247"/>
      <c r="AV154" s="244"/>
    </row>
    <row r="155" spans="1:48" ht="12.75" customHeight="1" x14ac:dyDescent="0.25">
      <c r="A155" s="240"/>
      <c r="B155" s="240"/>
      <c r="C155" s="242"/>
      <c r="D155" s="247"/>
      <c r="E155" s="242"/>
      <c r="F155" s="243"/>
      <c r="G155" s="243"/>
      <c r="H155" s="243"/>
      <c r="I155" s="243"/>
      <c r="J155" s="243"/>
      <c r="K155" s="247"/>
      <c r="L155" s="243"/>
      <c r="M155" s="243"/>
      <c r="N155" s="244"/>
      <c r="O155" s="247"/>
      <c r="P155" s="244"/>
      <c r="Q155" s="247"/>
      <c r="R155" s="244"/>
      <c r="S155" s="247"/>
      <c r="T155" s="247"/>
      <c r="U155" s="247"/>
      <c r="V155" s="247"/>
      <c r="W155" s="244"/>
      <c r="X155" s="247"/>
      <c r="Y155" s="247"/>
      <c r="Z155" s="244"/>
      <c r="AA155" s="246"/>
      <c r="AB155" s="237"/>
      <c r="AC155" s="247"/>
      <c r="AD155" s="247"/>
      <c r="AE155" s="244"/>
      <c r="AF155" s="247"/>
      <c r="AG155" s="247"/>
      <c r="AH155" s="247"/>
      <c r="AI155" s="247"/>
      <c r="AJ155" s="244"/>
      <c r="AK155" s="247"/>
      <c r="AL155" s="247"/>
      <c r="AM155" s="247"/>
      <c r="AN155" s="247"/>
      <c r="AO155" s="247"/>
      <c r="AP155" s="244"/>
      <c r="AQ155" s="244"/>
      <c r="AR155" s="247"/>
      <c r="AS155" s="247"/>
      <c r="AT155" s="247"/>
      <c r="AU155" s="247"/>
      <c r="AV155" s="244"/>
    </row>
    <row r="156" spans="1:48" ht="12.75" customHeight="1" x14ac:dyDescent="0.25">
      <c r="A156" s="240"/>
      <c r="B156" s="240"/>
      <c r="C156" s="242"/>
      <c r="D156" s="247"/>
      <c r="E156" s="242"/>
      <c r="F156" s="243"/>
      <c r="G156" s="243"/>
      <c r="H156" s="243"/>
      <c r="I156" s="243"/>
      <c r="J156" s="243"/>
      <c r="K156" s="247"/>
      <c r="L156" s="243"/>
      <c r="M156" s="243"/>
      <c r="N156" s="244"/>
      <c r="O156" s="247"/>
      <c r="P156" s="244"/>
      <c r="Q156" s="247"/>
      <c r="R156" s="244"/>
      <c r="S156" s="247"/>
      <c r="T156" s="247"/>
      <c r="U156" s="247"/>
      <c r="V156" s="247"/>
      <c r="W156" s="244"/>
      <c r="X156" s="247"/>
      <c r="Y156" s="247"/>
      <c r="Z156" s="244"/>
      <c r="AA156" s="246"/>
      <c r="AB156" s="237"/>
      <c r="AC156" s="247"/>
      <c r="AD156" s="247"/>
      <c r="AE156" s="244"/>
      <c r="AF156" s="247"/>
      <c r="AG156" s="247"/>
      <c r="AH156" s="247"/>
      <c r="AI156" s="247"/>
      <c r="AJ156" s="244"/>
      <c r="AK156" s="247"/>
      <c r="AL156" s="247"/>
      <c r="AM156" s="247"/>
      <c r="AN156" s="247"/>
      <c r="AO156" s="247"/>
      <c r="AP156" s="244"/>
      <c r="AQ156" s="244"/>
      <c r="AR156" s="247"/>
      <c r="AS156" s="247"/>
      <c r="AT156" s="247"/>
      <c r="AU156" s="247"/>
      <c r="AV156" s="244"/>
    </row>
    <row r="157" spans="1:48" ht="12.75" customHeight="1" x14ac:dyDescent="0.25">
      <c r="A157" s="240"/>
      <c r="B157" s="240"/>
      <c r="C157" s="242"/>
      <c r="D157" s="247"/>
      <c r="E157" s="242"/>
      <c r="F157" s="243"/>
      <c r="G157" s="243"/>
      <c r="H157" s="243"/>
      <c r="I157" s="243"/>
      <c r="J157" s="243"/>
      <c r="K157" s="247"/>
      <c r="L157" s="243"/>
      <c r="M157" s="243"/>
      <c r="N157" s="244"/>
      <c r="O157" s="247"/>
      <c r="P157" s="244"/>
      <c r="Q157" s="247"/>
      <c r="R157" s="244"/>
      <c r="S157" s="247"/>
      <c r="T157" s="247"/>
      <c r="U157" s="247"/>
      <c r="V157" s="247"/>
      <c r="W157" s="244"/>
      <c r="X157" s="247"/>
      <c r="Y157" s="247"/>
      <c r="Z157" s="244"/>
      <c r="AA157" s="246"/>
      <c r="AB157" s="237"/>
      <c r="AC157" s="247"/>
      <c r="AD157" s="247"/>
      <c r="AE157" s="244"/>
      <c r="AF157" s="247"/>
      <c r="AG157" s="247"/>
      <c r="AH157" s="247"/>
      <c r="AI157" s="247"/>
      <c r="AJ157" s="244"/>
      <c r="AK157" s="247"/>
      <c r="AL157" s="247"/>
      <c r="AM157" s="247"/>
      <c r="AN157" s="247"/>
      <c r="AO157" s="247"/>
      <c r="AP157" s="244"/>
      <c r="AQ157" s="244"/>
      <c r="AR157" s="247"/>
      <c r="AS157" s="247"/>
      <c r="AT157" s="247"/>
      <c r="AU157" s="247"/>
      <c r="AV157" s="244"/>
    </row>
    <row r="158" spans="1:48" ht="12.75" customHeight="1" x14ac:dyDescent="0.25">
      <c r="A158" s="240"/>
      <c r="B158" s="240"/>
      <c r="C158" s="242"/>
      <c r="D158" s="247"/>
      <c r="E158" s="242"/>
      <c r="F158" s="243"/>
      <c r="G158" s="243"/>
      <c r="H158" s="243"/>
      <c r="I158" s="243"/>
      <c r="J158" s="243"/>
      <c r="K158" s="247"/>
      <c r="L158" s="243"/>
      <c r="M158" s="243"/>
      <c r="N158" s="244"/>
      <c r="O158" s="247"/>
      <c r="P158" s="244"/>
      <c r="Q158" s="247"/>
      <c r="R158" s="244"/>
      <c r="S158" s="247"/>
      <c r="T158" s="247"/>
      <c r="U158" s="247"/>
      <c r="V158" s="247"/>
      <c r="W158" s="244"/>
      <c r="X158" s="247"/>
      <c r="Y158" s="247"/>
      <c r="Z158" s="244"/>
      <c r="AA158" s="246"/>
      <c r="AB158" s="237"/>
      <c r="AC158" s="247"/>
      <c r="AD158" s="247"/>
      <c r="AE158" s="244"/>
      <c r="AF158" s="247"/>
      <c r="AG158" s="247"/>
      <c r="AH158" s="247"/>
      <c r="AI158" s="247"/>
      <c r="AJ158" s="244"/>
      <c r="AK158" s="247"/>
      <c r="AL158" s="247"/>
      <c r="AM158" s="247"/>
      <c r="AN158" s="247"/>
      <c r="AO158" s="247"/>
      <c r="AP158" s="244"/>
      <c r="AQ158" s="244"/>
      <c r="AR158" s="247"/>
      <c r="AS158" s="247"/>
      <c r="AT158" s="247"/>
      <c r="AU158" s="247"/>
      <c r="AV158" s="244"/>
    </row>
    <row r="159" spans="1:48" ht="12.75" customHeight="1" x14ac:dyDescent="0.25">
      <c r="A159" s="240"/>
      <c r="B159" s="240"/>
      <c r="C159" s="242"/>
      <c r="D159" s="247"/>
      <c r="E159" s="242"/>
      <c r="F159" s="243"/>
      <c r="G159" s="243"/>
      <c r="H159" s="243"/>
      <c r="I159" s="243"/>
      <c r="J159" s="243"/>
      <c r="K159" s="247"/>
      <c r="L159" s="243"/>
      <c r="M159" s="243"/>
      <c r="N159" s="244"/>
      <c r="O159" s="247"/>
      <c r="P159" s="244"/>
      <c r="Q159" s="247"/>
      <c r="R159" s="244"/>
      <c r="S159" s="247"/>
      <c r="T159" s="247"/>
      <c r="U159" s="247"/>
      <c r="V159" s="247"/>
      <c r="W159" s="244"/>
      <c r="X159" s="247"/>
      <c r="Y159" s="247"/>
      <c r="Z159" s="244"/>
      <c r="AA159" s="246"/>
      <c r="AB159" s="237"/>
      <c r="AC159" s="247"/>
      <c r="AD159" s="247"/>
      <c r="AE159" s="244"/>
      <c r="AF159" s="247"/>
      <c r="AG159" s="247"/>
      <c r="AH159" s="247"/>
      <c r="AI159" s="247"/>
      <c r="AJ159" s="244"/>
      <c r="AK159" s="247"/>
      <c r="AL159" s="247"/>
      <c r="AM159" s="247"/>
      <c r="AN159" s="247"/>
      <c r="AO159" s="247"/>
      <c r="AP159" s="244"/>
      <c r="AQ159" s="244"/>
      <c r="AR159" s="247"/>
      <c r="AS159" s="247"/>
      <c r="AT159" s="247"/>
      <c r="AU159" s="247"/>
      <c r="AV159" s="244"/>
    </row>
    <row r="160" spans="1:48" ht="12.75" customHeight="1" x14ac:dyDescent="0.25">
      <c r="A160" s="240"/>
      <c r="B160" s="240"/>
      <c r="C160" s="242"/>
      <c r="D160" s="247"/>
      <c r="E160" s="242"/>
      <c r="F160" s="243"/>
      <c r="G160" s="243"/>
      <c r="H160" s="243"/>
      <c r="I160" s="243"/>
      <c r="J160" s="243"/>
      <c r="K160" s="247"/>
      <c r="L160" s="243"/>
      <c r="M160" s="243"/>
      <c r="N160" s="244"/>
      <c r="O160" s="247"/>
      <c r="P160" s="244"/>
      <c r="Q160" s="247"/>
      <c r="R160" s="244"/>
      <c r="S160" s="247"/>
      <c r="T160" s="247"/>
      <c r="U160" s="247"/>
      <c r="V160" s="247"/>
      <c r="W160" s="244"/>
      <c r="X160" s="247"/>
      <c r="Y160" s="247"/>
      <c r="Z160" s="244"/>
      <c r="AA160" s="246"/>
      <c r="AB160" s="237"/>
      <c r="AC160" s="247"/>
      <c r="AD160" s="247"/>
      <c r="AE160" s="244"/>
      <c r="AF160" s="247"/>
      <c r="AG160" s="247"/>
      <c r="AH160" s="247"/>
      <c r="AI160" s="247"/>
      <c r="AJ160" s="244"/>
      <c r="AK160" s="247"/>
      <c r="AL160" s="247"/>
      <c r="AM160" s="247"/>
      <c r="AN160" s="247"/>
      <c r="AO160" s="247"/>
      <c r="AP160" s="244"/>
      <c r="AQ160" s="244"/>
      <c r="AR160" s="247"/>
      <c r="AS160" s="247"/>
      <c r="AT160" s="247"/>
      <c r="AU160" s="247"/>
      <c r="AV160" s="244"/>
    </row>
    <row r="161" spans="1:48" ht="12.75" customHeight="1" x14ac:dyDescent="0.25">
      <c r="A161" s="240"/>
      <c r="B161" s="240"/>
      <c r="C161" s="242"/>
      <c r="D161" s="247"/>
      <c r="E161" s="242"/>
      <c r="F161" s="243"/>
      <c r="G161" s="243"/>
      <c r="H161" s="243"/>
      <c r="I161" s="243"/>
      <c r="J161" s="243"/>
      <c r="K161" s="247"/>
      <c r="L161" s="243"/>
      <c r="M161" s="243"/>
      <c r="N161" s="244"/>
      <c r="O161" s="247"/>
      <c r="P161" s="244"/>
      <c r="Q161" s="247"/>
      <c r="R161" s="244"/>
      <c r="S161" s="247"/>
      <c r="T161" s="247"/>
      <c r="U161" s="247"/>
      <c r="V161" s="247"/>
      <c r="W161" s="244"/>
      <c r="X161" s="247"/>
      <c r="Y161" s="247"/>
      <c r="Z161" s="244"/>
      <c r="AA161" s="246"/>
      <c r="AB161" s="237"/>
      <c r="AC161" s="247"/>
      <c r="AD161" s="247"/>
      <c r="AE161" s="244"/>
      <c r="AF161" s="247"/>
      <c r="AG161" s="247"/>
      <c r="AH161" s="247"/>
      <c r="AI161" s="247"/>
      <c r="AJ161" s="244"/>
      <c r="AK161" s="247"/>
      <c r="AL161" s="247"/>
      <c r="AM161" s="247"/>
      <c r="AN161" s="247"/>
      <c r="AO161" s="247"/>
      <c r="AP161" s="244"/>
      <c r="AQ161" s="244"/>
      <c r="AR161" s="247"/>
      <c r="AS161" s="247"/>
      <c r="AT161" s="247"/>
      <c r="AU161" s="247"/>
      <c r="AV161" s="244"/>
    </row>
    <row r="162" spans="1:48" ht="12.75" customHeight="1" x14ac:dyDescent="0.25">
      <c r="A162" s="240"/>
      <c r="B162" s="240"/>
      <c r="C162" s="242"/>
      <c r="D162" s="247"/>
      <c r="E162" s="242"/>
      <c r="F162" s="243"/>
      <c r="G162" s="243"/>
      <c r="H162" s="243"/>
      <c r="I162" s="243"/>
      <c r="J162" s="243"/>
      <c r="K162" s="247"/>
      <c r="L162" s="243"/>
      <c r="M162" s="243"/>
      <c r="N162" s="244"/>
      <c r="O162" s="247"/>
      <c r="P162" s="244"/>
      <c r="Q162" s="247"/>
      <c r="R162" s="244"/>
      <c r="S162" s="247"/>
      <c r="T162" s="247"/>
      <c r="U162" s="247"/>
      <c r="V162" s="247"/>
      <c r="W162" s="244"/>
      <c r="X162" s="247"/>
      <c r="Y162" s="247"/>
      <c r="Z162" s="244"/>
      <c r="AA162" s="246"/>
      <c r="AB162" s="237"/>
      <c r="AC162" s="247"/>
      <c r="AD162" s="247"/>
      <c r="AE162" s="244"/>
      <c r="AF162" s="247"/>
      <c r="AG162" s="247"/>
      <c r="AH162" s="247"/>
      <c r="AI162" s="247"/>
      <c r="AJ162" s="244"/>
      <c r="AK162" s="247"/>
      <c r="AL162" s="247"/>
      <c r="AM162" s="247"/>
      <c r="AN162" s="247"/>
      <c r="AO162" s="247"/>
      <c r="AP162" s="244"/>
      <c r="AQ162" s="244"/>
      <c r="AR162" s="247"/>
      <c r="AS162" s="247"/>
      <c r="AT162" s="247"/>
      <c r="AU162" s="247"/>
      <c r="AV162" s="244"/>
    </row>
    <row r="163" spans="1:48" ht="12.75" customHeight="1" x14ac:dyDescent="0.25">
      <c r="A163" s="240"/>
      <c r="B163" s="240"/>
      <c r="C163" s="242"/>
      <c r="D163" s="247"/>
      <c r="E163" s="242"/>
      <c r="F163" s="243"/>
      <c r="G163" s="243"/>
      <c r="H163" s="243"/>
      <c r="I163" s="243"/>
      <c r="J163" s="243"/>
      <c r="K163" s="247"/>
      <c r="L163" s="243"/>
      <c r="M163" s="243"/>
      <c r="N163" s="244"/>
      <c r="O163" s="247"/>
      <c r="P163" s="244"/>
      <c r="Q163" s="247"/>
      <c r="R163" s="244"/>
      <c r="S163" s="247"/>
      <c r="T163" s="247"/>
      <c r="U163" s="247"/>
      <c r="V163" s="247"/>
      <c r="W163" s="244"/>
      <c r="X163" s="247"/>
      <c r="Y163" s="247"/>
      <c r="Z163" s="244"/>
      <c r="AA163" s="246"/>
      <c r="AB163" s="237"/>
      <c r="AC163" s="247"/>
      <c r="AD163" s="247"/>
      <c r="AE163" s="244"/>
      <c r="AF163" s="247"/>
      <c r="AG163" s="247"/>
      <c r="AH163" s="247"/>
      <c r="AI163" s="247"/>
      <c r="AJ163" s="244"/>
      <c r="AK163" s="247"/>
      <c r="AL163" s="247"/>
      <c r="AM163" s="247"/>
      <c r="AN163" s="247"/>
      <c r="AO163" s="247"/>
      <c r="AP163" s="244"/>
      <c r="AQ163" s="244"/>
      <c r="AR163" s="247"/>
      <c r="AS163" s="247"/>
      <c r="AT163" s="247"/>
      <c r="AU163" s="247"/>
      <c r="AV163" s="244"/>
    </row>
    <row r="164" spans="1:48" ht="12.75" customHeight="1" x14ac:dyDescent="0.25">
      <c r="A164" s="240"/>
      <c r="B164" s="240"/>
      <c r="C164" s="242"/>
      <c r="D164" s="247"/>
      <c r="E164" s="242"/>
      <c r="F164" s="243"/>
      <c r="G164" s="243"/>
      <c r="H164" s="243"/>
      <c r="I164" s="243"/>
      <c r="J164" s="243"/>
      <c r="K164" s="247"/>
      <c r="L164" s="243"/>
      <c r="M164" s="243"/>
      <c r="N164" s="244"/>
      <c r="O164" s="247"/>
      <c r="P164" s="244"/>
      <c r="Q164" s="247"/>
      <c r="R164" s="244"/>
      <c r="S164" s="247"/>
      <c r="T164" s="247"/>
      <c r="U164" s="247"/>
      <c r="V164" s="247"/>
      <c r="W164" s="244"/>
      <c r="X164" s="247"/>
      <c r="Y164" s="247"/>
      <c r="Z164" s="244"/>
      <c r="AA164" s="246"/>
      <c r="AB164" s="237"/>
      <c r="AC164" s="247"/>
      <c r="AD164" s="247"/>
      <c r="AE164" s="244"/>
      <c r="AF164" s="247"/>
      <c r="AG164" s="247"/>
      <c r="AH164" s="247"/>
      <c r="AI164" s="247"/>
      <c r="AJ164" s="244"/>
      <c r="AK164" s="247"/>
      <c r="AL164" s="247"/>
      <c r="AM164" s="247"/>
      <c r="AN164" s="247"/>
      <c r="AO164" s="247"/>
      <c r="AP164" s="244"/>
      <c r="AQ164" s="244"/>
      <c r="AR164" s="247"/>
      <c r="AS164" s="247"/>
      <c r="AT164" s="247"/>
      <c r="AU164" s="247"/>
      <c r="AV164" s="244"/>
    </row>
    <row r="165" spans="1:48" ht="12.75" customHeight="1" x14ac:dyDescent="0.25">
      <c r="A165" s="240"/>
      <c r="B165" s="240"/>
      <c r="C165" s="242"/>
      <c r="D165" s="247"/>
      <c r="E165" s="242"/>
      <c r="F165" s="243"/>
      <c r="G165" s="243"/>
      <c r="H165" s="243"/>
      <c r="I165" s="243"/>
      <c r="J165" s="243"/>
      <c r="K165" s="247"/>
      <c r="L165" s="243"/>
      <c r="M165" s="243"/>
      <c r="N165" s="244"/>
      <c r="O165" s="247"/>
      <c r="P165" s="244"/>
      <c r="Q165" s="247"/>
      <c r="R165" s="244"/>
      <c r="S165" s="247"/>
      <c r="T165" s="247"/>
      <c r="U165" s="247"/>
      <c r="V165" s="247"/>
      <c r="W165" s="244"/>
      <c r="X165" s="247"/>
      <c r="Y165" s="247"/>
      <c r="Z165" s="244"/>
      <c r="AA165" s="246"/>
      <c r="AB165" s="237"/>
      <c r="AC165" s="247"/>
      <c r="AD165" s="247"/>
      <c r="AE165" s="244"/>
      <c r="AF165" s="247"/>
      <c r="AG165" s="247"/>
      <c r="AH165" s="247"/>
      <c r="AI165" s="247"/>
      <c r="AJ165" s="244"/>
      <c r="AK165" s="247"/>
      <c r="AL165" s="247"/>
      <c r="AM165" s="247"/>
      <c r="AN165" s="247"/>
      <c r="AO165" s="247"/>
      <c r="AP165" s="244"/>
      <c r="AQ165" s="244"/>
      <c r="AR165" s="247"/>
      <c r="AS165" s="247"/>
      <c r="AT165" s="247"/>
      <c r="AU165" s="247"/>
      <c r="AV165" s="244"/>
    </row>
    <row r="166" spans="1:48" ht="12.75" customHeight="1" x14ac:dyDescent="0.25">
      <c r="A166" s="240"/>
      <c r="B166" s="240"/>
      <c r="C166" s="242"/>
      <c r="D166" s="247"/>
      <c r="E166" s="242"/>
      <c r="F166" s="243"/>
      <c r="G166" s="243"/>
      <c r="H166" s="243"/>
      <c r="I166" s="243"/>
      <c r="J166" s="243"/>
      <c r="K166" s="247"/>
      <c r="L166" s="243"/>
      <c r="M166" s="243"/>
      <c r="N166" s="244"/>
      <c r="O166" s="247"/>
      <c r="P166" s="244"/>
      <c r="Q166" s="247"/>
      <c r="R166" s="244"/>
      <c r="S166" s="247"/>
      <c r="T166" s="247"/>
      <c r="U166" s="247"/>
      <c r="V166" s="247"/>
      <c r="W166" s="244"/>
      <c r="X166" s="247"/>
      <c r="Y166" s="247"/>
      <c r="Z166" s="244"/>
      <c r="AA166" s="246"/>
      <c r="AB166" s="237"/>
      <c r="AC166" s="247"/>
      <c r="AD166" s="247"/>
      <c r="AE166" s="244"/>
      <c r="AF166" s="247"/>
      <c r="AG166" s="247"/>
      <c r="AH166" s="247"/>
      <c r="AI166" s="247"/>
      <c r="AJ166" s="244"/>
      <c r="AK166" s="247"/>
      <c r="AL166" s="247"/>
      <c r="AM166" s="247"/>
      <c r="AN166" s="247"/>
      <c r="AO166" s="247"/>
      <c r="AP166" s="244"/>
      <c r="AQ166" s="244"/>
      <c r="AR166" s="247"/>
      <c r="AS166" s="247"/>
      <c r="AT166" s="247"/>
      <c r="AU166" s="247"/>
      <c r="AV166" s="244"/>
    </row>
    <row r="167" spans="1:48" ht="12.75" customHeight="1" x14ac:dyDescent="0.25">
      <c r="A167" s="240"/>
      <c r="B167" s="240"/>
      <c r="C167" s="242"/>
      <c r="D167" s="247"/>
      <c r="E167" s="242"/>
      <c r="F167" s="243"/>
      <c r="G167" s="243"/>
      <c r="H167" s="243"/>
      <c r="I167" s="243"/>
      <c r="J167" s="243"/>
      <c r="K167" s="247"/>
      <c r="L167" s="243"/>
      <c r="M167" s="243"/>
      <c r="N167" s="244"/>
      <c r="O167" s="247"/>
      <c r="P167" s="244"/>
      <c r="Q167" s="247"/>
      <c r="R167" s="244"/>
      <c r="S167" s="247"/>
      <c r="T167" s="247"/>
      <c r="U167" s="247"/>
      <c r="V167" s="247"/>
      <c r="W167" s="244"/>
      <c r="X167" s="247"/>
      <c r="Y167" s="247"/>
      <c r="Z167" s="244"/>
      <c r="AA167" s="246"/>
      <c r="AB167" s="237"/>
      <c r="AC167" s="247"/>
      <c r="AD167" s="247"/>
      <c r="AE167" s="244"/>
      <c r="AF167" s="247"/>
      <c r="AG167" s="247"/>
      <c r="AH167" s="247"/>
      <c r="AI167" s="247"/>
      <c r="AJ167" s="244"/>
      <c r="AK167" s="247"/>
      <c r="AL167" s="247"/>
      <c r="AM167" s="247"/>
      <c r="AN167" s="247"/>
      <c r="AO167" s="247"/>
      <c r="AP167" s="244"/>
      <c r="AQ167" s="244"/>
      <c r="AR167" s="247"/>
      <c r="AS167" s="247"/>
      <c r="AT167" s="247"/>
      <c r="AU167" s="247"/>
      <c r="AV167" s="244"/>
    </row>
    <row r="168" spans="1:48" ht="12.75" customHeight="1" x14ac:dyDescent="0.25">
      <c r="A168" s="240"/>
      <c r="B168" s="240"/>
      <c r="C168" s="242"/>
      <c r="D168" s="247"/>
      <c r="E168" s="242"/>
      <c r="F168" s="243"/>
      <c r="G168" s="243"/>
      <c r="H168" s="243"/>
      <c r="I168" s="243"/>
      <c r="J168" s="243"/>
      <c r="K168" s="247"/>
      <c r="L168" s="243"/>
      <c r="M168" s="243"/>
      <c r="N168" s="244"/>
      <c r="O168" s="247"/>
      <c r="P168" s="244"/>
      <c r="Q168" s="247"/>
      <c r="R168" s="244"/>
      <c r="S168" s="247"/>
      <c r="T168" s="247"/>
      <c r="U168" s="247"/>
      <c r="V168" s="247"/>
      <c r="W168" s="244"/>
      <c r="X168" s="247"/>
      <c r="Y168" s="247"/>
      <c r="Z168" s="244"/>
      <c r="AA168" s="246"/>
      <c r="AB168" s="237"/>
      <c r="AC168" s="247"/>
      <c r="AD168" s="247"/>
      <c r="AE168" s="244"/>
      <c r="AF168" s="247"/>
      <c r="AG168" s="247"/>
      <c r="AH168" s="247"/>
      <c r="AI168" s="247"/>
      <c r="AJ168" s="244"/>
      <c r="AK168" s="247"/>
      <c r="AL168" s="247"/>
      <c r="AM168" s="247"/>
      <c r="AN168" s="247"/>
      <c r="AO168" s="247"/>
      <c r="AP168" s="244"/>
      <c r="AQ168" s="244"/>
      <c r="AR168" s="247"/>
      <c r="AS168" s="247"/>
      <c r="AT168" s="247"/>
      <c r="AU168" s="247"/>
      <c r="AV168" s="244"/>
    </row>
    <row r="169" spans="1:48" ht="12.75" customHeight="1" x14ac:dyDescent="0.25">
      <c r="A169" s="240"/>
      <c r="B169" s="240"/>
      <c r="C169" s="242"/>
      <c r="D169" s="247"/>
      <c r="E169" s="242"/>
      <c r="F169" s="243"/>
      <c r="G169" s="243"/>
      <c r="H169" s="243"/>
      <c r="I169" s="243"/>
      <c r="J169" s="243"/>
      <c r="K169" s="247"/>
      <c r="L169" s="243"/>
      <c r="M169" s="243"/>
      <c r="N169" s="244"/>
      <c r="O169" s="247"/>
      <c r="P169" s="244"/>
      <c r="Q169" s="247"/>
      <c r="R169" s="244"/>
      <c r="S169" s="247"/>
      <c r="T169" s="247"/>
      <c r="U169" s="247"/>
      <c r="V169" s="247"/>
      <c r="W169" s="244"/>
      <c r="X169" s="247"/>
      <c r="Y169" s="247"/>
      <c r="Z169" s="244"/>
      <c r="AA169" s="246"/>
      <c r="AB169" s="237"/>
      <c r="AC169" s="247"/>
      <c r="AD169" s="247"/>
      <c r="AE169" s="244"/>
      <c r="AF169" s="247"/>
      <c r="AG169" s="247"/>
      <c r="AH169" s="247"/>
      <c r="AI169" s="247"/>
      <c r="AJ169" s="244"/>
      <c r="AK169" s="247"/>
      <c r="AL169" s="247"/>
      <c r="AM169" s="247"/>
      <c r="AN169" s="247"/>
      <c r="AO169" s="247"/>
      <c r="AP169" s="244"/>
      <c r="AQ169" s="244"/>
      <c r="AR169" s="247"/>
      <c r="AS169" s="247"/>
      <c r="AT169" s="247"/>
      <c r="AU169" s="247"/>
      <c r="AV169" s="244"/>
    </row>
    <row r="170" spans="1:48" ht="12.75" customHeight="1" x14ac:dyDescent="0.25">
      <c r="A170" s="240"/>
      <c r="B170" s="240"/>
      <c r="C170" s="242"/>
      <c r="D170" s="247"/>
      <c r="E170" s="242"/>
      <c r="F170" s="243"/>
      <c r="G170" s="243"/>
      <c r="H170" s="243"/>
      <c r="I170" s="243"/>
      <c r="J170" s="243"/>
      <c r="K170" s="247"/>
      <c r="L170" s="243"/>
      <c r="M170" s="243"/>
      <c r="N170" s="244"/>
      <c r="O170" s="247"/>
      <c r="P170" s="244"/>
      <c r="Q170" s="247"/>
      <c r="R170" s="244"/>
      <c r="S170" s="247"/>
      <c r="T170" s="247"/>
      <c r="U170" s="247"/>
      <c r="V170" s="247"/>
      <c r="W170" s="244"/>
      <c r="X170" s="247"/>
      <c r="Y170" s="247"/>
      <c r="Z170" s="244"/>
      <c r="AA170" s="246"/>
      <c r="AB170" s="237"/>
      <c r="AC170" s="247"/>
      <c r="AD170" s="247"/>
      <c r="AE170" s="244"/>
      <c r="AF170" s="247"/>
      <c r="AG170" s="247"/>
      <c r="AH170" s="247"/>
      <c r="AI170" s="247"/>
      <c r="AJ170" s="244"/>
      <c r="AK170" s="247"/>
      <c r="AL170" s="247"/>
      <c r="AM170" s="247"/>
      <c r="AN170" s="247"/>
      <c r="AO170" s="247"/>
      <c r="AP170" s="244"/>
      <c r="AQ170" s="244"/>
      <c r="AR170" s="247"/>
      <c r="AS170" s="247"/>
      <c r="AT170" s="247"/>
      <c r="AU170" s="247"/>
      <c r="AV170" s="244"/>
    </row>
    <row r="171" spans="1:48" ht="12.75" customHeight="1" x14ac:dyDescent="0.25">
      <c r="A171" s="240"/>
      <c r="B171" s="240"/>
      <c r="C171" s="242"/>
      <c r="D171" s="247"/>
      <c r="E171" s="242"/>
      <c r="F171" s="243"/>
      <c r="G171" s="243"/>
      <c r="H171" s="243"/>
      <c r="I171" s="243"/>
      <c r="J171" s="243"/>
      <c r="K171" s="247"/>
      <c r="L171" s="243"/>
      <c r="M171" s="243"/>
      <c r="N171" s="244"/>
      <c r="O171" s="247"/>
      <c r="P171" s="244"/>
      <c r="Q171" s="247"/>
      <c r="R171" s="244"/>
      <c r="S171" s="247"/>
      <c r="T171" s="247"/>
      <c r="U171" s="247"/>
      <c r="V171" s="247"/>
      <c r="W171" s="244"/>
      <c r="X171" s="247"/>
      <c r="Y171" s="247"/>
      <c r="Z171" s="244"/>
      <c r="AA171" s="246"/>
      <c r="AB171" s="237"/>
      <c r="AC171" s="247"/>
      <c r="AD171" s="247"/>
      <c r="AE171" s="244"/>
      <c r="AF171" s="247"/>
      <c r="AG171" s="247"/>
      <c r="AH171" s="247"/>
      <c r="AI171" s="247"/>
      <c r="AJ171" s="244"/>
      <c r="AK171" s="247"/>
      <c r="AL171" s="247"/>
      <c r="AM171" s="247"/>
      <c r="AN171" s="247"/>
      <c r="AO171" s="247"/>
      <c r="AP171" s="244"/>
      <c r="AQ171" s="244"/>
      <c r="AR171" s="247"/>
      <c r="AS171" s="247"/>
      <c r="AT171" s="247"/>
      <c r="AU171" s="247"/>
      <c r="AV171" s="244"/>
    </row>
    <row r="172" spans="1:48" ht="12.75" customHeight="1" x14ac:dyDescent="0.25">
      <c r="A172" s="240"/>
      <c r="B172" s="240"/>
      <c r="C172" s="242"/>
      <c r="D172" s="247"/>
      <c r="E172" s="242"/>
      <c r="F172" s="243"/>
      <c r="G172" s="243"/>
      <c r="H172" s="243"/>
      <c r="I172" s="243"/>
      <c r="J172" s="243"/>
      <c r="K172" s="247"/>
      <c r="L172" s="243"/>
      <c r="M172" s="243"/>
      <c r="N172" s="244"/>
      <c r="O172" s="247"/>
      <c r="P172" s="244"/>
      <c r="Q172" s="247"/>
      <c r="R172" s="244"/>
      <c r="S172" s="247"/>
      <c r="T172" s="247"/>
      <c r="U172" s="247"/>
      <c r="V172" s="247"/>
      <c r="W172" s="244"/>
      <c r="X172" s="247"/>
      <c r="Y172" s="247"/>
      <c r="Z172" s="244"/>
      <c r="AA172" s="246"/>
      <c r="AB172" s="237"/>
      <c r="AC172" s="247"/>
      <c r="AD172" s="247"/>
      <c r="AE172" s="244"/>
      <c r="AF172" s="247"/>
      <c r="AG172" s="247"/>
      <c r="AH172" s="247"/>
      <c r="AI172" s="247"/>
      <c r="AJ172" s="244"/>
      <c r="AK172" s="247"/>
      <c r="AL172" s="247"/>
      <c r="AM172" s="247"/>
      <c r="AN172" s="247"/>
      <c r="AO172" s="247"/>
      <c r="AP172" s="244"/>
      <c r="AQ172" s="244"/>
      <c r="AR172" s="247"/>
      <c r="AS172" s="247"/>
      <c r="AT172" s="247"/>
      <c r="AU172" s="247"/>
      <c r="AV172" s="244"/>
    </row>
    <row r="173" spans="1:48" ht="12.75" customHeight="1" x14ac:dyDescent="0.25">
      <c r="A173" s="240"/>
      <c r="B173" s="240"/>
      <c r="C173" s="242"/>
      <c r="D173" s="247"/>
      <c r="E173" s="242"/>
      <c r="F173" s="243"/>
      <c r="G173" s="243"/>
      <c r="H173" s="243"/>
      <c r="I173" s="243"/>
      <c r="J173" s="243"/>
      <c r="K173" s="247"/>
      <c r="L173" s="243"/>
      <c r="M173" s="243"/>
      <c r="N173" s="244"/>
      <c r="O173" s="247"/>
      <c r="P173" s="244"/>
      <c r="Q173" s="247"/>
      <c r="R173" s="244"/>
      <c r="S173" s="247"/>
      <c r="T173" s="247"/>
      <c r="U173" s="247"/>
      <c r="V173" s="247"/>
      <c r="W173" s="244"/>
      <c r="X173" s="247"/>
      <c r="Y173" s="247"/>
      <c r="Z173" s="244"/>
      <c r="AA173" s="246"/>
      <c r="AB173" s="237"/>
      <c r="AC173" s="247"/>
      <c r="AD173" s="247"/>
      <c r="AE173" s="244"/>
      <c r="AF173" s="247"/>
      <c r="AG173" s="247"/>
      <c r="AH173" s="247"/>
      <c r="AI173" s="247"/>
      <c r="AJ173" s="244"/>
      <c r="AK173" s="247"/>
      <c r="AL173" s="247"/>
      <c r="AM173" s="247"/>
      <c r="AN173" s="247"/>
      <c r="AO173" s="247"/>
      <c r="AP173" s="244"/>
      <c r="AQ173" s="244"/>
      <c r="AR173" s="247"/>
      <c r="AS173" s="247"/>
      <c r="AT173" s="247"/>
      <c r="AU173" s="247"/>
      <c r="AV173" s="244"/>
    </row>
    <row r="174" spans="1:48" ht="12.75" customHeight="1" x14ac:dyDescent="0.25">
      <c r="A174" s="240"/>
      <c r="B174" s="240"/>
      <c r="C174" s="242"/>
      <c r="D174" s="247"/>
      <c r="E174" s="242"/>
      <c r="F174" s="243"/>
      <c r="G174" s="243"/>
      <c r="H174" s="243"/>
      <c r="I174" s="243"/>
      <c r="J174" s="243"/>
      <c r="K174" s="247"/>
      <c r="L174" s="243"/>
      <c r="M174" s="243"/>
      <c r="N174" s="244"/>
      <c r="O174" s="247"/>
      <c r="P174" s="244"/>
      <c r="Q174" s="247"/>
      <c r="R174" s="244"/>
      <c r="S174" s="247"/>
      <c r="T174" s="247"/>
      <c r="U174" s="247"/>
      <c r="V174" s="247"/>
      <c r="W174" s="244"/>
      <c r="X174" s="247"/>
      <c r="Y174" s="247"/>
      <c r="Z174" s="244"/>
      <c r="AA174" s="246"/>
      <c r="AB174" s="237"/>
      <c r="AC174" s="247"/>
      <c r="AD174" s="247"/>
      <c r="AE174" s="244"/>
      <c r="AF174" s="247"/>
      <c r="AG174" s="247"/>
      <c r="AH174" s="247"/>
      <c r="AI174" s="247"/>
      <c r="AJ174" s="244"/>
      <c r="AK174" s="247"/>
      <c r="AL174" s="247"/>
      <c r="AM174" s="247"/>
      <c r="AN174" s="247"/>
      <c r="AO174" s="247"/>
      <c r="AP174" s="244"/>
      <c r="AQ174" s="244"/>
      <c r="AR174" s="247"/>
      <c r="AS174" s="247"/>
      <c r="AT174" s="247"/>
      <c r="AU174" s="247"/>
      <c r="AV174" s="244"/>
    </row>
    <row r="175" spans="1:48" ht="12.75" customHeight="1" x14ac:dyDescent="0.25">
      <c r="A175" s="240"/>
      <c r="B175" s="240"/>
      <c r="C175" s="242"/>
      <c r="D175" s="247"/>
      <c r="E175" s="242"/>
      <c r="F175" s="243"/>
      <c r="G175" s="243"/>
      <c r="H175" s="243"/>
      <c r="I175" s="243"/>
      <c r="J175" s="243"/>
      <c r="K175" s="247"/>
      <c r="L175" s="243"/>
      <c r="M175" s="243"/>
      <c r="N175" s="244"/>
      <c r="O175" s="247"/>
      <c r="P175" s="244"/>
      <c r="Q175" s="247"/>
      <c r="R175" s="244"/>
      <c r="S175" s="247"/>
      <c r="T175" s="247"/>
      <c r="U175" s="247"/>
      <c r="V175" s="247"/>
      <c r="W175" s="244"/>
      <c r="X175" s="247"/>
      <c r="Y175" s="247"/>
      <c r="Z175" s="244"/>
      <c r="AA175" s="246"/>
      <c r="AB175" s="237"/>
      <c r="AC175" s="247"/>
      <c r="AD175" s="247"/>
      <c r="AE175" s="244"/>
      <c r="AF175" s="247"/>
      <c r="AG175" s="247"/>
      <c r="AH175" s="247"/>
      <c r="AI175" s="247"/>
      <c r="AJ175" s="244"/>
      <c r="AK175" s="247"/>
      <c r="AL175" s="247"/>
      <c r="AM175" s="247"/>
      <c r="AN175" s="247"/>
      <c r="AO175" s="247"/>
      <c r="AP175" s="244"/>
      <c r="AQ175" s="244"/>
      <c r="AR175" s="247"/>
      <c r="AS175" s="247"/>
      <c r="AT175" s="247"/>
      <c r="AU175" s="247"/>
      <c r="AV175" s="244"/>
    </row>
    <row r="176" spans="1:48" ht="12.75" customHeight="1" x14ac:dyDescent="0.25">
      <c r="A176" s="240"/>
      <c r="B176" s="240"/>
      <c r="C176" s="242"/>
      <c r="D176" s="247"/>
      <c r="E176" s="242"/>
      <c r="F176" s="243"/>
      <c r="G176" s="243"/>
      <c r="H176" s="243"/>
      <c r="I176" s="243"/>
      <c r="J176" s="243"/>
      <c r="K176" s="247"/>
      <c r="L176" s="243"/>
      <c r="M176" s="243"/>
      <c r="N176" s="244"/>
      <c r="O176" s="247"/>
      <c r="P176" s="244"/>
      <c r="Q176" s="247"/>
      <c r="R176" s="244"/>
      <c r="S176" s="247"/>
      <c r="T176" s="247"/>
      <c r="U176" s="247"/>
      <c r="V176" s="247"/>
      <c r="W176" s="244"/>
      <c r="X176" s="247"/>
      <c r="Y176" s="247"/>
      <c r="Z176" s="244"/>
      <c r="AA176" s="246"/>
      <c r="AB176" s="237"/>
      <c r="AC176" s="247"/>
      <c r="AD176" s="247"/>
      <c r="AE176" s="244"/>
      <c r="AF176" s="247"/>
      <c r="AG176" s="247"/>
      <c r="AH176" s="247"/>
      <c r="AI176" s="247"/>
      <c r="AJ176" s="244"/>
      <c r="AK176" s="247"/>
      <c r="AL176" s="247"/>
      <c r="AM176" s="247"/>
      <c r="AN176" s="247"/>
      <c r="AO176" s="247"/>
      <c r="AP176" s="244"/>
      <c r="AQ176" s="244"/>
      <c r="AR176" s="247"/>
      <c r="AS176" s="247"/>
      <c r="AT176" s="247"/>
      <c r="AU176" s="247"/>
      <c r="AV176" s="244"/>
    </row>
    <row r="177" spans="1:48" ht="12.75" customHeight="1" x14ac:dyDescent="0.25">
      <c r="A177" s="240"/>
      <c r="B177" s="240"/>
      <c r="C177" s="242"/>
      <c r="D177" s="247"/>
      <c r="E177" s="242"/>
      <c r="F177" s="243"/>
      <c r="G177" s="243"/>
      <c r="H177" s="243"/>
      <c r="I177" s="243"/>
      <c r="J177" s="243"/>
      <c r="K177" s="247"/>
      <c r="L177" s="243"/>
      <c r="M177" s="243"/>
      <c r="N177" s="244"/>
      <c r="O177" s="247"/>
      <c r="P177" s="244"/>
      <c r="Q177" s="247"/>
      <c r="R177" s="244"/>
      <c r="S177" s="247"/>
      <c r="T177" s="247"/>
      <c r="U177" s="247"/>
      <c r="V177" s="247"/>
      <c r="W177" s="244"/>
      <c r="X177" s="247"/>
      <c r="Y177" s="247"/>
      <c r="Z177" s="244"/>
      <c r="AA177" s="246"/>
      <c r="AB177" s="237"/>
      <c r="AC177" s="247"/>
      <c r="AD177" s="247"/>
      <c r="AE177" s="244"/>
      <c r="AF177" s="247"/>
      <c r="AG177" s="247"/>
      <c r="AH177" s="247"/>
      <c r="AI177" s="247"/>
      <c r="AJ177" s="244"/>
      <c r="AK177" s="247"/>
      <c r="AL177" s="247"/>
      <c r="AM177" s="247"/>
      <c r="AN177" s="247"/>
      <c r="AO177" s="247"/>
      <c r="AP177" s="244"/>
      <c r="AQ177" s="244"/>
      <c r="AR177" s="247"/>
      <c r="AS177" s="247"/>
      <c r="AT177" s="247"/>
      <c r="AU177" s="247"/>
      <c r="AV177" s="244"/>
    </row>
    <row r="178" spans="1:48" ht="12.75" customHeight="1" x14ac:dyDescent="0.25">
      <c r="A178" s="240"/>
      <c r="B178" s="240"/>
      <c r="C178" s="242"/>
      <c r="D178" s="247"/>
      <c r="E178" s="242"/>
      <c r="F178" s="243"/>
      <c r="G178" s="243"/>
      <c r="H178" s="243"/>
      <c r="I178" s="243"/>
      <c r="J178" s="243"/>
      <c r="K178" s="247"/>
      <c r="L178" s="243"/>
      <c r="M178" s="243"/>
      <c r="N178" s="244"/>
      <c r="O178" s="247"/>
      <c r="P178" s="244"/>
      <c r="Q178" s="247"/>
      <c r="R178" s="244"/>
      <c r="S178" s="247"/>
      <c r="T178" s="247"/>
      <c r="U178" s="247"/>
      <c r="V178" s="247"/>
      <c r="W178" s="244"/>
      <c r="X178" s="247"/>
      <c r="Y178" s="247"/>
      <c r="Z178" s="244"/>
      <c r="AA178" s="246"/>
      <c r="AB178" s="237"/>
      <c r="AC178" s="247"/>
      <c r="AD178" s="247"/>
      <c r="AE178" s="244"/>
      <c r="AF178" s="247"/>
      <c r="AG178" s="247"/>
      <c r="AH178" s="247"/>
      <c r="AI178" s="247"/>
      <c r="AJ178" s="244"/>
      <c r="AK178" s="247"/>
      <c r="AL178" s="247"/>
      <c r="AM178" s="247"/>
      <c r="AN178" s="247"/>
      <c r="AO178" s="247"/>
      <c r="AP178" s="244"/>
      <c r="AQ178" s="244"/>
      <c r="AR178" s="247"/>
      <c r="AS178" s="247"/>
      <c r="AT178" s="247"/>
      <c r="AU178" s="247"/>
      <c r="AV178" s="244"/>
    </row>
    <row r="179" spans="1:48" ht="12.75" customHeight="1" x14ac:dyDescent="0.25">
      <c r="A179" s="240"/>
      <c r="B179" s="240"/>
      <c r="C179" s="242"/>
      <c r="D179" s="247"/>
      <c r="E179" s="242"/>
      <c r="F179" s="243"/>
      <c r="G179" s="243"/>
      <c r="H179" s="243"/>
      <c r="I179" s="243"/>
      <c r="J179" s="243"/>
      <c r="K179" s="247"/>
      <c r="L179" s="243"/>
      <c r="M179" s="243"/>
      <c r="N179" s="244"/>
      <c r="O179" s="247"/>
      <c r="P179" s="244"/>
      <c r="Q179" s="247"/>
      <c r="R179" s="244"/>
      <c r="S179" s="247"/>
      <c r="T179" s="247"/>
      <c r="U179" s="247"/>
      <c r="V179" s="247"/>
      <c r="W179" s="244"/>
      <c r="X179" s="247"/>
      <c r="Y179" s="247"/>
      <c r="Z179" s="244"/>
      <c r="AA179" s="246"/>
      <c r="AB179" s="237"/>
      <c r="AC179" s="247"/>
      <c r="AD179" s="247"/>
      <c r="AE179" s="244"/>
      <c r="AF179" s="247"/>
      <c r="AG179" s="247"/>
      <c r="AH179" s="247"/>
      <c r="AI179" s="247"/>
      <c r="AJ179" s="244"/>
      <c r="AK179" s="247"/>
      <c r="AL179" s="247"/>
      <c r="AM179" s="247"/>
      <c r="AN179" s="247"/>
      <c r="AO179" s="247"/>
      <c r="AP179" s="244"/>
      <c r="AQ179" s="244"/>
      <c r="AR179" s="247"/>
      <c r="AS179" s="247"/>
      <c r="AT179" s="247"/>
      <c r="AU179" s="247"/>
      <c r="AV179" s="244"/>
    </row>
    <row r="180" spans="1:48" ht="12.75" customHeight="1" x14ac:dyDescent="0.25">
      <c r="A180" s="240"/>
      <c r="B180" s="240"/>
      <c r="C180" s="242"/>
      <c r="D180" s="247"/>
      <c r="E180" s="242"/>
      <c r="F180" s="243"/>
      <c r="G180" s="243"/>
      <c r="H180" s="243"/>
      <c r="I180" s="243"/>
      <c r="J180" s="243"/>
      <c r="K180" s="247"/>
      <c r="L180" s="243"/>
      <c r="M180" s="243"/>
      <c r="N180" s="244"/>
      <c r="O180" s="247"/>
      <c r="P180" s="244"/>
      <c r="Q180" s="247"/>
      <c r="R180" s="244"/>
      <c r="S180" s="247"/>
      <c r="T180" s="247"/>
      <c r="U180" s="247"/>
      <c r="V180" s="247"/>
      <c r="W180" s="244"/>
      <c r="X180" s="247"/>
      <c r="Y180" s="247"/>
      <c r="Z180" s="244"/>
      <c r="AA180" s="246"/>
      <c r="AB180" s="237"/>
      <c r="AC180" s="247"/>
      <c r="AD180" s="247"/>
      <c r="AE180" s="244"/>
      <c r="AF180" s="247"/>
      <c r="AG180" s="247"/>
      <c r="AH180" s="247"/>
      <c r="AI180" s="247"/>
      <c r="AJ180" s="244"/>
      <c r="AK180" s="247"/>
      <c r="AL180" s="247"/>
      <c r="AM180" s="247"/>
      <c r="AN180" s="247"/>
      <c r="AO180" s="247"/>
      <c r="AP180" s="244"/>
      <c r="AQ180" s="244"/>
      <c r="AR180" s="247"/>
      <c r="AS180" s="247"/>
      <c r="AT180" s="247"/>
      <c r="AU180" s="247"/>
      <c r="AV180" s="244"/>
    </row>
    <row r="181" spans="1:48" ht="12.75" customHeight="1" x14ac:dyDescent="0.25">
      <c r="A181" s="240"/>
      <c r="B181" s="240"/>
      <c r="C181" s="242"/>
      <c r="D181" s="247"/>
      <c r="E181" s="242"/>
      <c r="F181" s="243"/>
      <c r="G181" s="243"/>
      <c r="H181" s="243"/>
      <c r="I181" s="243"/>
      <c r="J181" s="243"/>
      <c r="K181" s="247"/>
      <c r="L181" s="243"/>
      <c r="M181" s="243"/>
      <c r="N181" s="244"/>
      <c r="O181" s="247"/>
      <c r="P181" s="244"/>
      <c r="Q181" s="247"/>
      <c r="R181" s="244"/>
      <c r="S181" s="247"/>
      <c r="T181" s="247"/>
      <c r="U181" s="247"/>
      <c r="V181" s="247"/>
      <c r="W181" s="244"/>
      <c r="X181" s="247"/>
      <c r="Y181" s="247"/>
      <c r="Z181" s="244"/>
      <c r="AA181" s="246"/>
      <c r="AB181" s="237"/>
      <c r="AC181" s="247"/>
      <c r="AD181" s="247"/>
      <c r="AE181" s="244"/>
      <c r="AF181" s="247"/>
      <c r="AG181" s="247"/>
      <c r="AH181" s="247"/>
      <c r="AI181" s="247"/>
      <c r="AJ181" s="244"/>
      <c r="AK181" s="247"/>
      <c r="AL181" s="247"/>
      <c r="AM181" s="247"/>
      <c r="AN181" s="247"/>
      <c r="AO181" s="247"/>
      <c r="AP181" s="244"/>
      <c r="AQ181" s="244"/>
      <c r="AR181" s="247"/>
      <c r="AS181" s="247"/>
      <c r="AT181" s="247"/>
      <c r="AU181" s="247"/>
      <c r="AV181" s="244"/>
    </row>
    <row r="182" spans="1:48" ht="12.75" customHeight="1" x14ac:dyDescent="0.25">
      <c r="A182" s="240"/>
      <c r="B182" s="240"/>
      <c r="C182" s="242"/>
      <c r="D182" s="247"/>
      <c r="E182" s="242"/>
      <c r="F182" s="243"/>
      <c r="G182" s="243"/>
      <c r="H182" s="243"/>
      <c r="I182" s="243"/>
      <c r="J182" s="243"/>
      <c r="K182" s="247"/>
      <c r="L182" s="243"/>
      <c r="M182" s="243"/>
      <c r="N182" s="244"/>
      <c r="O182" s="247"/>
      <c r="P182" s="244"/>
      <c r="Q182" s="247"/>
      <c r="R182" s="244"/>
      <c r="S182" s="247"/>
      <c r="T182" s="247"/>
      <c r="U182" s="247"/>
      <c r="V182" s="247"/>
      <c r="W182" s="244"/>
      <c r="X182" s="247"/>
      <c r="Y182" s="247"/>
      <c r="Z182" s="244"/>
      <c r="AA182" s="246"/>
      <c r="AB182" s="237"/>
      <c r="AC182" s="247"/>
      <c r="AD182" s="247"/>
      <c r="AE182" s="244"/>
      <c r="AF182" s="247"/>
      <c r="AG182" s="247"/>
      <c r="AH182" s="247"/>
      <c r="AI182" s="247"/>
      <c r="AJ182" s="244"/>
      <c r="AK182" s="247"/>
      <c r="AL182" s="247"/>
      <c r="AM182" s="247"/>
      <c r="AN182" s="247"/>
      <c r="AO182" s="247"/>
      <c r="AP182" s="244"/>
      <c r="AQ182" s="244"/>
      <c r="AR182" s="247"/>
      <c r="AS182" s="247"/>
      <c r="AT182" s="247"/>
      <c r="AU182" s="247"/>
      <c r="AV182" s="244"/>
    </row>
    <row r="183" spans="1:48" ht="12.75" customHeight="1" x14ac:dyDescent="0.25">
      <c r="A183" s="240"/>
      <c r="B183" s="240"/>
      <c r="C183" s="242"/>
      <c r="D183" s="247"/>
      <c r="E183" s="242"/>
      <c r="F183" s="243"/>
      <c r="G183" s="243"/>
      <c r="H183" s="243"/>
      <c r="I183" s="243"/>
      <c r="J183" s="243"/>
      <c r="K183" s="247"/>
      <c r="L183" s="243"/>
      <c r="M183" s="243"/>
      <c r="N183" s="244"/>
      <c r="O183" s="247"/>
      <c r="P183" s="244"/>
      <c r="Q183" s="247"/>
      <c r="R183" s="244"/>
      <c r="S183" s="247"/>
      <c r="T183" s="247"/>
      <c r="U183" s="247"/>
      <c r="V183" s="247"/>
      <c r="W183" s="244"/>
      <c r="X183" s="247"/>
      <c r="Y183" s="247"/>
      <c r="Z183" s="244"/>
      <c r="AA183" s="246"/>
      <c r="AB183" s="237"/>
      <c r="AC183" s="247"/>
      <c r="AD183" s="247"/>
      <c r="AE183" s="244"/>
      <c r="AF183" s="247"/>
      <c r="AG183" s="247"/>
      <c r="AH183" s="247"/>
      <c r="AI183" s="247"/>
      <c r="AJ183" s="244"/>
      <c r="AK183" s="247"/>
      <c r="AL183" s="247"/>
      <c r="AM183" s="247"/>
      <c r="AN183" s="247"/>
      <c r="AO183" s="247"/>
      <c r="AP183" s="244"/>
      <c r="AQ183" s="244"/>
      <c r="AR183" s="247"/>
      <c r="AS183" s="247"/>
      <c r="AT183" s="247"/>
      <c r="AU183" s="247"/>
      <c r="AV183" s="244"/>
    </row>
    <row r="184" spans="1:48" ht="12.75" customHeight="1" x14ac:dyDescent="0.25">
      <c r="A184" s="240"/>
      <c r="B184" s="240"/>
      <c r="C184" s="242"/>
      <c r="D184" s="247"/>
      <c r="E184" s="242"/>
      <c r="F184" s="243"/>
      <c r="G184" s="243"/>
      <c r="H184" s="243"/>
      <c r="I184" s="243"/>
      <c r="J184" s="243"/>
      <c r="K184" s="247"/>
      <c r="L184" s="243"/>
      <c r="M184" s="243"/>
      <c r="N184" s="244"/>
      <c r="O184" s="247"/>
      <c r="P184" s="244"/>
      <c r="Q184" s="247"/>
      <c r="R184" s="244"/>
      <c r="S184" s="247"/>
      <c r="T184" s="247"/>
      <c r="U184" s="247"/>
      <c r="V184" s="247"/>
      <c r="W184" s="244"/>
      <c r="X184" s="247"/>
      <c r="Y184" s="247"/>
      <c r="Z184" s="244"/>
      <c r="AA184" s="246"/>
      <c r="AB184" s="237"/>
      <c r="AC184" s="247"/>
      <c r="AD184" s="247"/>
      <c r="AE184" s="244"/>
      <c r="AF184" s="247"/>
      <c r="AG184" s="247"/>
      <c r="AH184" s="247"/>
      <c r="AI184" s="247"/>
      <c r="AJ184" s="244"/>
      <c r="AK184" s="247"/>
      <c r="AL184" s="247"/>
      <c r="AM184" s="247"/>
      <c r="AN184" s="247"/>
      <c r="AO184" s="247"/>
      <c r="AP184" s="244"/>
      <c r="AQ184" s="244"/>
      <c r="AR184" s="247"/>
      <c r="AS184" s="247"/>
      <c r="AT184" s="247"/>
      <c r="AU184" s="247"/>
      <c r="AV184" s="244"/>
    </row>
    <row r="185" spans="1:48" ht="12.75" customHeight="1" x14ac:dyDescent="0.25">
      <c r="A185" s="240"/>
      <c r="B185" s="240"/>
      <c r="C185" s="242"/>
      <c r="D185" s="247"/>
      <c r="E185" s="242"/>
      <c r="F185" s="243"/>
      <c r="G185" s="243"/>
      <c r="H185" s="243"/>
      <c r="I185" s="243"/>
      <c r="J185" s="243"/>
      <c r="K185" s="247"/>
      <c r="L185" s="243"/>
      <c r="M185" s="243"/>
      <c r="N185" s="244"/>
      <c r="O185" s="247"/>
      <c r="P185" s="244"/>
      <c r="Q185" s="247"/>
      <c r="R185" s="244"/>
      <c r="S185" s="247"/>
      <c r="T185" s="247"/>
      <c r="U185" s="247"/>
      <c r="V185" s="247"/>
      <c r="W185" s="244"/>
      <c r="X185" s="247"/>
      <c r="Y185" s="247"/>
      <c r="Z185" s="244"/>
      <c r="AA185" s="246"/>
      <c r="AB185" s="237"/>
      <c r="AC185" s="247"/>
      <c r="AD185" s="247"/>
      <c r="AE185" s="244"/>
      <c r="AF185" s="247"/>
      <c r="AG185" s="247"/>
      <c r="AH185" s="247"/>
      <c r="AI185" s="247"/>
      <c r="AJ185" s="244"/>
      <c r="AK185" s="247"/>
      <c r="AL185" s="247"/>
      <c r="AM185" s="247"/>
      <c r="AN185" s="247"/>
      <c r="AO185" s="247"/>
      <c r="AP185" s="244"/>
      <c r="AQ185" s="244"/>
      <c r="AR185" s="247"/>
      <c r="AS185" s="247"/>
      <c r="AT185" s="247"/>
      <c r="AU185" s="247"/>
      <c r="AV185" s="244"/>
    </row>
    <row r="186" spans="1:48" ht="12.75" customHeight="1" x14ac:dyDescent="0.25">
      <c r="A186" s="240"/>
      <c r="B186" s="240"/>
      <c r="C186" s="242"/>
      <c r="D186" s="247"/>
      <c r="E186" s="242"/>
      <c r="F186" s="243"/>
      <c r="G186" s="243"/>
      <c r="H186" s="243"/>
      <c r="I186" s="243"/>
      <c r="J186" s="243"/>
      <c r="K186" s="247"/>
      <c r="L186" s="243"/>
      <c r="M186" s="243"/>
      <c r="N186" s="244"/>
      <c r="O186" s="247"/>
      <c r="P186" s="244"/>
      <c r="Q186" s="247"/>
      <c r="R186" s="244"/>
      <c r="S186" s="247"/>
      <c r="T186" s="247"/>
      <c r="U186" s="247"/>
      <c r="V186" s="247"/>
      <c r="W186" s="244"/>
      <c r="X186" s="247"/>
      <c r="Y186" s="247"/>
      <c r="Z186" s="244"/>
      <c r="AA186" s="246"/>
      <c r="AB186" s="237"/>
      <c r="AC186" s="247"/>
      <c r="AD186" s="247"/>
      <c r="AE186" s="244"/>
      <c r="AF186" s="247"/>
      <c r="AG186" s="247"/>
      <c r="AH186" s="247"/>
      <c r="AI186" s="247"/>
      <c r="AJ186" s="244"/>
      <c r="AK186" s="247"/>
      <c r="AL186" s="247"/>
      <c r="AM186" s="247"/>
      <c r="AN186" s="247"/>
      <c r="AO186" s="247"/>
      <c r="AP186" s="244"/>
      <c r="AQ186" s="244"/>
      <c r="AR186" s="247"/>
      <c r="AS186" s="247"/>
      <c r="AT186" s="247"/>
      <c r="AU186" s="247"/>
      <c r="AV186" s="244"/>
    </row>
    <row r="187" spans="1:48" ht="12.75" customHeight="1" x14ac:dyDescent="0.25">
      <c r="A187" s="240"/>
      <c r="B187" s="240"/>
      <c r="C187" s="242"/>
      <c r="D187" s="247"/>
      <c r="E187" s="242"/>
      <c r="F187" s="243"/>
      <c r="G187" s="243"/>
      <c r="H187" s="243"/>
      <c r="I187" s="243"/>
      <c r="J187" s="243"/>
      <c r="K187" s="247"/>
      <c r="L187" s="243"/>
      <c r="M187" s="243"/>
      <c r="N187" s="244"/>
      <c r="O187" s="247"/>
      <c r="P187" s="244"/>
      <c r="Q187" s="247"/>
      <c r="R187" s="244"/>
      <c r="S187" s="247"/>
      <c r="T187" s="247"/>
      <c r="U187" s="247"/>
      <c r="V187" s="247"/>
      <c r="W187" s="244"/>
      <c r="X187" s="247"/>
      <c r="Y187" s="247"/>
      <c r="Z187" s="244"/>
      <c r="AA187" s="246"/>
      <c r="AB187" s="237"/>
      <c r="AC187" s="247"/>
      <c r="AD187" s="247"/>
      <c r="AE187" s="244"/>
      <c r="AF187" s="247"/>
      <c r="AG187" s="247"/>
      <c r="AH187" s="247"/>
      <c r="AI187" s="247"/>
      <c r="AJ187" s="244"/>
      <c r="AK187" s="247"/>
      <c r="AL187" s="247"/>
      <c r="AM187" s="247"/>
      <c r="AN187" s="247"/>
      <c r="AO187" s="247"/>
      <c r="AP187" s="244"/>
      <c r="AQ187" s="244"/>
      <c r="AR187" s="247"/>
      <c r="AS187" s="247"/>
      <c r="AT187" s="247"/>
      <c r="AU187" s="247"/>
      <c r="AV187" s="244"/>
    </row>
    <row r="188" spans="1:48" ht="12.75" customHeight="1" x14ac:dyDescent="0.25">
      <c r="A188" s="240"/>
      <c r="B188" s="240"/>
      <c r="C188" s="242"/>
      <c r="D188" s="247"/>
      <c r="E188" s="242"/>
      <c r="F188" s="243"/>
      <c r="G188" s="243"/>
      <c r="H188" s="243"/>
      <c r="I188" s="243"/>
      <c r="J188" s="243"/>
      <c r="K188" s="247"/>
      <c r="L188" s="243"/>
      <c r="M188" s="243"/>
      <c r="N188" s="244"/>
      <c r="O188" s="247"/>
      <c r="P188" s="244"/>
      <c r="Q188" s="247"/>
      <c r="R188" s="244"/>
      <c r="S188" s="247"/>
      <c r="T188" s="247"/>
      <c r="U188" s="247"/>
      <c r="V188" s="247"/>
      <c r="W188" s="244"/>
      <c r="X188" s="247"/>
      <c r="Y188" s="247"/>
      <c r="Z188" s="244"/>
      <c r="AA188" s="246"/>
      <c r="AB188" s="237"/>
      <c r="AC188" s="247"/>
      <c r="AD188" s="247"/>
      <c r="AE188" s="244"/>
      <c r="AF188" s="247"/>
      <c r="AG188" s="247"/>
      <c r="AH188" s="247"/>
      <c r="AI188" s="247"/>
      <c r="AJ188" s="244"/>
      <c r="AK188" s="247"/>
      <c r="AL188" s="247"/>
      <c r="AM188" s="247"/>
      <c r="AN188" s="247"/>
      <c r="AO188" s="247"/>
      <c r="AP188" s="244"/>
      <c r="AQ188" s="244"/>
      <c r="AR188" s="247"/>
      <c r="AS188" s="247"/>
      <c r="AT188" s="247"/>
      <c r="AU188" s="247"/>
      <c r="AV188" s="244"/>
    </row>
    <row r="189" spans="1:48" ht="12.75" customHeight="1" x14ac:dyDescent="0.25">
      <c r="A189" s="240"/>
      <c r="B189" s="240"/>
      <c r="C189" s="242"/>
      <c r="D189" s="247"/>
      <c r="E189" s="242"/>
      <c r="F189" s="243"/>
      <c r="G189" s="243"/>
      <c r="H189" s="243"/>
      <c r="I189" s="243"/>
      <c r="J189" s="243"/>
      <c r="K189" s="247"/>
      <c r="L189" s="243"/>
      <c r="M189" s="243"/>
      <c r="N189" s="244"/>
      <c r="O189" s="247"/>
      <c r="P189" s="244"/>
      <c r="Q189" s="247"/>
      <c r="R189" s="244"/>
      <c r="S189" s="247"/>
      <c r="T189" s="247"/>
      <c r="U189" s="247"/>
      <c r="V189" s="247"/>
      <c r="W189" s="244"/>
      <c r="X189" s="247"/>
      <c r="Y189" s="247"/>
      <c r="Z189" s="244"/>
      <c r="AA189" s="246"/>
      <c r="AB189" s="237"/>
      <c r="AC189" s="247"/>
      <c r="AD189" s="247"/>
      <c r="AE189" s="244"/>
      <c r="AF189" s="247"/>
      <c r="AG189" s="247"/>
      <c r="AH189" s="247"/>
      <c r="AI189" s="247"/>
      <c r="AJ189" s="244"/>
      <c r="AK189" s="247"/>
      <c r="AL189" s="247"/>
      <c r="AM189" s="247"/>
      <c r="AN189" s="247"/>
      <c r="AO189" s="247"/>
      <c r="AP189" s="244"/>
      <c r="AQ189" s="244"/>
      <c r="AR189" s="247"/>
      <c r="AS189" s="247"/>
      <c r="AT189" s="247"/>
      <c r="AU189" s="247"/>
      <c r="AV189" s="244"/>
    </row>
    <row r="190" spans="1:48" ht="12.75" customHeight="1" x14ac:dyDescent="0.25">
      <c r="A190" s="240"/>
      <c r="B190" s="240"/>
      <c r="C190" s="242"/>
      <c r="D190" s="247"/>
      <c r="E190" s="242"/>
      <c r="F190" s="243"/>
      <c r="G190" s="243"/>
      <c r="H190" s="243"/>
      <c r="I190" s="243"/>
      <c r="J190" s="243"/>
      <c r="K190" s="247"/>
      <c r="L190" s="243"/>
      <c r="M190" s="243"/>
      <c r="N190" s="244"/>
      <c r="O190" s="247"/>
      <c r="P190" s="244"/>
      <c r="Q190" s="247"/>
      <c r="R190" s="244"/>
      <c r="S190" s="247"/>
      <c r="T190" s="247"/>
      <c r="U190" s="247"/>
      <c r="V190" s="247"/>
      <c r="W190" s="244"/>
      <c r="X190" s="247"/>
      <c r="Y190" s="247"/>
      <c r="Z190" s="244"/>
      <c r="AA190" s="246"/>
      <c r="AB190" s="237"/>
      <c r="AC190" s="247"/>
      <c r="AD190" s="247"/>
      <c r="AE190" s="244"/>
      <c r="AF190" s="247"/>
      <c r="AG190" s="247"/>
      <c r="AH190" s="247"/>
      <c r="AI190" s="247"/>
      <c r="AJ190" s="244"/>
      <c r="AK190" s="247"/>
      <c r="AL190" s="247"/>
      <c r="AM190" s="247"/>
      <c r="AN190" s="247"/>
      <c r="AO190" s="247"/>
      <c r="AP190" s="244"/>
      <c r="AQ190" s="244"/>
      <c r="AR190" s="247"/>
      <c r="AS190" s="247"/>
      <c r="AT190" s="247"/>
      <c r="AU190" s="247"/>
      <c r="AV190" s="244"/>
    </row>
    <row r="191" spans="1:48" ht="12.75" customHeight="1" x14ac:dyDescent="0.25">
      <c r="A191" s="240"/>
      <c r="B191" s="240"/>
      <c r="C191" s="242"/>
      <c r="D191" s="247"/>
      <c r="E191" s="242"/>
      <c r="F191" s="243"/>
      <c r="G191" s="243"/>
      <c r="H191" s="243"/>
      <c r="I191" s="243"/>
      <c r="J191" s="243"/>
      <c r="K191" s="247"/>
      <c r="L191" s="243"/>
      <c r="M191" s="243"/>
      <c r="N191" s="244"/>
      <c r="O191" s="247"/>
      <c r="P191" s="244"/>
      <c r="Q191" s="247"/>
      <c r="R191" s="244"/>
      <c r="S191" s="247"/>
      <c r="T191" s="247"/>
      <c r="U191" s="247"/>
      <c r="V191" s="247"/>
      <c r="W191" s="244"/>
      <c r="X191" s="247"/>
      <c r="Y191" s="247"/>
      <c r="Z191" s="244"/>
      <c r="AA191" s="246"/>
      <c r="AB191" s="237"/>
      <c r="AC191" s="247"/>
      <c r="AD191" s="247"/>
      <c r="AE191" s="244"/>
      <c r="AF191" s="247"/>
      <c r="AG191" s="247"/>
      <c r="AH191" s="247"/>
      <c r="AI191" s="247"/>
      <c r="AJ191" s="244"/>
      <c r="AK191" s="247"/>
      <c r="AL191" s="247"/>
      <c r="AM191" s="247"/>
      <c r="AN191" s="247"/>
      <c r="AO191" s="247"/>
      <c r="AP191" s="244"/>
      <c r="AQ191" s="244"/>
      <c r="AR191" s="247"/>
      <c r="AS191" s="247"/>
      <c r="AT191" s="247"/>
      <c r="AU191" s="247"/>
      <c r="AV191" s="244"/>
    </row>
    <row r="192" spans="1:48" ht="12.75" customHeight="1" x14ac:dyDescent="0.25">
      <c r="A192" s="240"/>
      <c r="B192" s="240"/>
      <c r="C192" s="242"/>
      <c r="D192" s="247"/>
      <c r="E192" s="242"/>
      <c r="F192" s="243"/>
      <c r="G192" s="243"/>
      <c r="H192" s="243"/>
      <c r="I192" s="243"/>
      <c r="J192" s="243"/>
      <c r="K192" s="247"/>
      <c r="L192" s="243"/>
      <c r="M192" s="243"/>
      <c r="N192" s="244"/>
      <c r="O192" s="247"/>
      <c r="P192" s="244"/>
      <c r="Q192" s="247"/>
      <c r="R192" s="244"/>
      <c r="S192" s="247"/>
      <c r="T192" s="247"/>
      <c r="U192" s="247"/>
      <c r="V192" s="247"/>
      <c r="W192" s="244"/>
      <c r="X192" s="247"/>
      <c r="Y192" s="247"/>
      <c r="Z192" s="244"/>
      <c r="AA192" s="246"/>
      <c r="AB192" s="237"/>
      <c r="AC192" s="247"/>
      <c r="AD192" s="247"/>
      <c r="AE192" s="244"/>
      <c r="AF192" s="247"/>
      <c r="AG192" s="247"/>
      <c r="AH192" s="247"/>
      <c r="AI192" s="247"/>
      <c r="AJ192" s="244"/>
      <c r="AK192" s="247"/>
      <c r="AL192" s="247"/>
      <c r="AM192" s="247"/>
      <c r="AN192" s="247"/>
      <c r="AO192" s="247"/>
      <c r="AP192" s="244"/>
      <c r="AQ192" s="244"/>
      <c r="AR192" s="247"/>
      <c r="AS192" s="247"/>
      <c r="AT192" s="247"/>
      <c r="AU192" s="247"/>
      <c r="AV192" s="244"/>
    </row>
    <row r="193" spans="1:48" ht="12.75" customHeight="1" x14ac:dyDescent="0.25">
      <c r="A193" s="240"/>
      <c r="B193" s="240"/>
      <c r="C193" s="242"/>
      <c r="D193" s="247"/>
      <c r="E193" s="242"/>
      <c r="F193" s="243"/>
      <c r="G193" s="243"/>
      <c r="H193" s="243"/>
      <c r="I193" s="243"/>
      <c r="J193" s="243"/>
      <c r="K193" s="247"/>
      <c r="L193" s="243"/>
      <c r="M193" s="243"/>
      <c r="N193" s="244"/>
      <c r="O193" s="247"/>
      <c r="P193" s="244"/>
      <c r="Q193" s="247"/>
      <c r="R193" s="244"/>
      <c r="S193" s="247"/>
      <c r="T193" s="247"/>
      <c r="U193" s="247"/>
      <c r="V193" s="247"/>
      <c r="W193" s="244"/>
      <c r="X193" s="247"/>
      <c r="Y193" s="247"/>
      <c r="Z193" s="244"/>
      <c r="AA193" s="246"/>
      <c r="AB193" s="237"/>
      <c r="AC193" s="247"/>
      <c r="AD193" s="247"/>
      <c r="AE193" s="244"/>
      <c r="AF193" s="247"/>
      <c r="AG193" s="247"/>
      <c r="AH193" s="247"/>
      <c r="AI193" s="247"/>
      <c r="AJ193" s="244"/>
      <c r="AK193" s="247"/>
      <c r="AL193" s="247"/>
      <c r="AM193" s="247"/>
      <c r="AN193" s="247"/>
      <c r="AO193" s="247"/>
      <c r="AP193" s="244"/>
      <c r="AQ193" s="244"/>
      <c r="AR193" s="247"/>
      <c r="AS193" s="247"/>
      <c r="AT193" s="247"/>
      <c r="AU193" s="247"/>
      <c r="AV193" s="244"/>
    </row>
    <row r="194" spans="1:48" ht="12.75" customHeight="1" x14ac:dyDescent="0.25">
      <c r="A194" s="240"/>
      <c r="B194" s="240"/>
      <c r="C194" s="242"/>
      <c r="D194" s="247"/>
      <c r="E194" s="242"/>
      <c r="F194" s="243"/>
      <c r="G194" s="243"/>
      <c r="H194" s="243"/>
      <c r="I194" s="243"/>
      <c r="J194" s="243"/>
      <c r="K194" s="247"/>
      <c r="L194" s="243"/>
      <c r="M194" s="243"/>
      <c r="N194" s="244"/>
      <c r="O194" s="247"/>
      <c r="P194" s="244"/>
      <c r="Q194" s="247"/>
      <c r="R194" s="244"/>
      <c r="S194" s="247"/>
      <c r="T194" s="247"/>
      <c r="U194" s="247"/>
      <c r="V194" s="247"/>
      <c r="W194" s="244"/>
      <c r="X194" s="247"/>
      <c r="Y194" s="247"/>
      <c r="Z194" s="244"/>
      <c r="AA194" s="246"/>
      <c r="AB194" s="237"/>
      <c r="AC194" s="247"/>
      <c r="AD194" s="247"/>
      <c r="AE194" s="244"/>
      <c r="AF194" s="247"/>
      <c r="AG194" s="247"/>
      <c r="AH194" s="247"/>
      <c r="AI194" s="247"/>
      <c r="AJ194" s="244"/>
      <c r="AK194" s="247"/>
      <c r="AL194" s="247"/>
      <c r="AM194" s="247"/>
      <c r="AN194" s="247"/>
      <c r="AO194" s="247"/>
      <c r="AP194" s="244"/>
      <c r="AQ194" s="244"/>
      <c r="AR194" s="247"/>
      <c r="AS194" s="247"/>
      <c r="AT194" s="247"/>
      <c r="AU194" s="247"/>
      <c r="AV194" s="244"/>
    </row>
    <row r="195" spans="1:48" ht="12.75" customHeight="1" x14ac:dyDescent="0.25">
      <c r="A195" s="240"/>
      <c r="B195" s="240"/>
      <c r="C195" s="242"/>
      <c r="D195" s="247"/>
      <c r="E195" s="242"/>
      <c r="F195" s="243"/>
      <c r="G195" s="243"/>
      <c r="H195" s="243"/>
      <c r="I195" s="243"/>
      <c r="J195" s="243"/>
      <c r="K195" s="247"/>
      <c r="L195" s="243"/>
      <c r="M195" s="243"/>
      <c r="N195" s="244"/>
      <c r="O195" s="247"/>
      <c r="P195" s="244"/>
      <c r="Q195" s="247"/>
      <c r="R195" s="244"/>
      <c r="S195" s="247"/>
      <c r="T195" s="247"/>
      <c r="U195" s="247"/>
      <c r="V195" s="247"/>
      <c r="W195" s="244"/>
      <c r="X195" s="247"/>
      <c r="Y195" s="247"/>
      <c r="Z195" s="244"/>
      <c r="AA195" s="246"/>
      <c r="AB195" s="237"/>
      <c r="AC195" s="247"/>
      <c r="AD195" s="247"/>
      <c r="AE195" s="244"/>
      <c r="AF195" s="247"/>
      <c r="AG195" s="247"/>
      <c r="AH195" s="247"/>
      <c r="AI195" s="247"/>
      <c r="AJ195" s="244"/>
      <c r="AK195" s="247"/>
      <c r="AL195" s="247"/>
      <c r="AM195" s="247"/>
      <c r="AN195" s="247"/>
      <c r="AO195" s="247"/>
      <c r="AP195" s="244"/>
      <c r="AQ195" s="244"/>
      <c r="AR195" s="247"/>
      <c r="AS195" s="247"/>
      <c r="AT195" s="247"/>
      <c r="AU195" s="247"/>
      <c r="AV195" s="244"/>
    </row>
    <row r="196" spans="1:48" ht="12.75" customHeight="1" x14ac:dyDescent="0.25">
      <c r="A196" s="240"/>
      <c r="B196" s="240"/>
      <c r="C196" s="242"/>
      <c r="D196" s="247"/>
      <c r="E196" s="242"/>
      <c r="F196" s="243"/>
      <c r="G196" s="243"/>
      <c r="H196" s="243"/>
      <c r="I196" s="243"/>
      <c r="J196" s="243"/>
      <c r="K196" s="247"/>
      <c r="L196" s="243"/>
      <c r="M196" s="243"/>
      <c r="N196" s="244"/>
      <c r="O196" s="247"/>
      <c r="P196" s="244"/>
      <c r="Q196" s="247"/>
      <c r="R196" s="244"/>
      <c r="S196" s="247"/>
      <c r="T196" s="247"/>
      <c r="U196" s="247"/>
      <c r="V196" s="247"/>
      <c r="W196" s="244"/>
      <c r="X196" s="247"/>
      <c r="Y196" s="247"/>
      <c r="Z196" s="244"/>
      <c r="AA196" s="246"/>
      <c r="AB196" s="237"/>
      <c r="AC196" s="247"/>
      <c r="AD196" s="247"/>
      <c r="AE196" s="244"/>
      <c r="AF196" s="247"/>
      <c r="AG196" s="247"/>
      <c r="AH196" s="247"/>
      <c r="AI196" s="247"/>
      <c r="AJ196" s="244"/>
      <c r="AK196" s="247"/>
      <c r="AL196" s="247"/>
      <c r="AM196" s="247"/>
      <c r="AN196" s="247"/>
      <c r="AO196" s="247"/>
      <c r="AP196" s="244"/>
      <c r="AQ196" s="244"/>
      <c r="AR196" s="247"/>
      <c r="AS196" s="247"/>
      <c r="AT196" s="247"/>
      <c r="AU196" s="247"/>
      <c r="AV196" s="244"/>
    </row>
    <row r="197" spans="1:48" ht="12.75" customHeight="1" x14ac:dyDescent="0.25">
      <c r="A197" s="240"/>
      <c r="B197" s="240"/>
      <c r="C197" s="242"/>
      <c r="D197" s="247"/>
      <c r="E197" s="242"/>
      <c r="F197" s="243"/>
      <c r="G197" s="243"/>
      <c r="H197" s="243"/>
      <c r="I197" s="243"/>
      <c r="J197" s="243"/>
      <c r="K197" s="247"/>
      <c r="L197" s="243"/>
      <c r="M197" s="243"/>
      <c r="N197" s="244"/>
      <c r="O197" s="247"/>
      <c r="P197" s="244"/>
      <c r="Q197" s="247"/>
      <c r="R197" s="244"/>
      <c r="S197" s="247"/>
      <c r="T197" s="247"/>
      <c r="U197" s="247"/>
      <c r="V197" s="247"/>
      <c r="W197" s="244"/>
      <c r="X197" s="247"/>
      <c r="Y197" s="247"/>
      <c r="Z197" s="244"/>
      <c r="AA197" s="246"/>
      <c r="AB197" s="237"/>
      <c r="AC197" s="247"/>
      <c r="AD197" s="247"/>
      <c r="AE197" s="244"/>
      <c r="AF197" s="247"/>
      <c r="AG197" s="247"/>
      <c r="AH197" s="247"/>
      <c r="AI197" s="247"/>
      <c r="AJ197" s="244"/>
      <c r="AK197" s="247"/>
      <c r="AL197" s="247"/>
      <c r="AM197" s="247"/>
      <c r="AN197" s="247"/>
      <c r="AO197" s="247"/>
      <c r="AP197" s="244"/>
      <c r="AQ197" s="244"/>
      <c r="AR197" s="247"/>
      <c r="AS197" s="247"/>
      <c r="AT197" s="247"/>
      <c r="AU197" s="247"/>
      <c r="AV197" s="244"/>
    </row>
    <row r="198" spans="1:48" ht="12.75" customHeight="1" x14ac:dyDescent="0.25">
      <c r="A198" s="240"/>
      <c r="B198" s="240"/>
      <c r="C198" s="242"/>
      <c r="D198" s="247"/>
      <c r="E198" s="242"/>
      <c r="F198" s="243"/>
      <c r="G198" s="243"/>
      <c r="H198" s="243"/>
      <c r="I198" s="243"/>
      <c r="J198" s="243"/>
      <c r="K198" s="247"/>
      <c r="L198" s="243"/>
      <c r="M198" s="243"/>
      <c r="N198" s="244"/>
      <c r="O198" s="247"/>
      <c r="P198" s="244"/>
      <c r="Q198" s="247"/>
      <c r="R198" s="244"/>
      <c r="S198" s="247"/>
      <c r="T198" s="247"/>
      <c r="U198" s="247"/>
      <c r="V198" s="247"/>
      <c r="W198" s="244"/>
      <c r="X198" s="247"/>
      <c r="Y198" s="247"/>
      <c r="Z198" s="244"/>
      <c r="AA198" s="246"/>
      <c r="AB198" s="237"/>
      <c r="AC198" s="247"/>
      <c r="AD198" s="247"/>
      <c r="AE198" s="244"/>
      <c r="AF198" s="247"/>
      <c r="AG198" s="247"/>
      <c r="AH198" s="247"/>
      <c r="AI198" s="247"/>
      <c r="AJ198" s="244"/>
      <c r="AK198" s="247"/>
      <c r="AL198" s="247"/>
      <c r="AM198" s="247"/>
      <c r="AN198" s="247"/>
      <c r="AO198" s="247"/>
      <c r="AP198" s="244"/>
      <c r="AQ198" s="244"/>
      <c r="AR198" s="247"/>
      <c r="AS198" s="247"/>
      <c r="AT198" s="247"/>
      <c r="AU198" s="247"/>
      <c r="AV198" s="244"/>
    </row>
    <row r="199" spans="1:48" ht="12.75" customHeight="1" x14ac:dyDescent="0.25">
      <c r="A199" s="240"/>
      <c r="B199" s="240"/>
      <c r="C199" s="242"/>
      <c r="D199" s="247"/>
      <c r="E199" s="242"/>
      <c r="F199" s="243"/>
      <c r="G199" s="243"/>
      <c r="H199" s="243"/>
      <c r="I199" s="243"/>
      <c r="J199" s="243"/>
      <c r="K199" s="247"/>
      <c r="L199" s="243"/>
      <c r="M199" s="243"/>
      <c r="N199" s="244"/>
      <c r="O199" s="247"/>
      <c r="P199" s="244"/>
      <c r="Q199" s="247"/>
      <c r="R199" s="244"/>
      <c r="S199" s="247"/>
      <c r="T199" s="247"/>
      <c r="U199" s="247"/>
      <c r="V199" s="247"/>
      <c r="W199" s="244"/>
      <c r="X199" s="247"/>
      <c r="Y199" s="247"/>
      <c r="Z199" s="244"/>
      <c r="AA199" s="246"/>
      <c r="AB199" s="237"/>
      <c r="AC199" s="247"/>
      <c r="AD199" s="247"/>
      <c r="AE199" s="244"/>
      <c r="AF199" s="247"/>
      <c r="AG199" s="247"/>
      <c r="AH199" s="247"/>
      <c r="AI199" s="247"/>
      <c r="AJ199" s="244"/>
      <c r="AK199" s="247"/>
      <c r="AL199" s="247"/>
      <c r="AM199" s="247"/>
      <c r="AN199" s="247"/>
      <c r="AO199" s="247"/>
      <c r="AP199" s="244"/>
      <c r="AQ199" s="244"/>
      <c r="AR199" s="247"/>
      <c r="AS199" s="247"/>
      <c r="AT199" s="247"/>
      <c r="AU199" s="247"/>
      <c r="AV199" s="244"/>
    </row>
    <row r="200" spans="1:48" ht="12.75" customHeight="1" x14ac:dyDescent="0.25">
      <c r="A200" s="240"/>
      <c r="B200" s="240"/>
      <c r="C200" s="242"/>
      <c r="D200" s="247"/>
      <c r="E200" s="242"/>
      <c r="F200" s="243"/>
      <c r="G200" s="243"/>
      <c r="H200" s="243"/>
      <c r="I200" s="243"/>
      <c r="J200" s="243"/>
      <c r="K200" s="247"/>
      <c r="L200" s="243"/>
      <c r="M200" s="243"/>
      <c r="N200" s="244"/>
      <c r="O200" s="247"/>
      <c r="P200" s="244"/>
      <c r="Q200" s="247"/>
      <c r="R200" s="244"/>
      <c r="S200" s="247"/>
      <c r="T200" s="247"/>
      <c r="U200" s="247"/>
      <c r="V200" s="247"/>
      <c r="W200" s="244"/>
      <c r="X200" s="247"/>
      <c r="Y200" s="247"/>
      <c r="Z200" s="244"/>
      <c r="AA200" s="246"/>
      <c r="AB200" s="237"/>
      <c r="AC200" s="247"/>
      <c r="AD200" s="247"/>
      <c r="AE200" s="244"/>
      <c r="AF200" s="247"/>
      <c r="AG200" s="247"/>
      <c r="AH200" s="247"/>
      <c r="AI200" s="247"/>
      <c r="AJ200" s="244"/>
      <c r="AK200" s="247"/>
      <c r="AL200" s="247"/>
      <c r="AM200" s="247"/>
      <c r="AN200" s="247"/>
      <c r="AO200" s="247"/>
      <c r="AP200" s="244"/>
      <c r="AQ200" s="244"/>
      <c r="AR200" s="247"/>
      <c r="AS200" s="247"/>
      <c r="AT200" s="247"/>
      <c r="AU200" s="247"/>
      <c r="AV200" s="244"/>
    </row>
    <row r="201" spans="1:48" x14ac:dyDescent="0.2">
      <c r="C201" s="178"/>
      <c r="D201" s="179"/>
      <c r="E201" s="178"/>
      <c r="F201" s="180"/>
      <c r="G201" s="180"/>
      <c r="H201" s="180"/>
      <c r="I201" s="180"/>
      <c r="J201" s="180"/>
      <c r="K201" s="179"/>
      <c r="L201" s="180"/>
      <c r="M201" s="180"/>
      <c r="N201" s="179"/>
      <c r="O201" s="179"/>
      <c r="P201" s="181"/>
      <c r="Q201" s="179"/>
      <c r="R201" s="181"/>
      <c r="S201" s="179"/>
      <c r="T201" s="179"/>
      <c r="U201" s="179"/>
      <c r="V201" s="179"/>
      <c r="W201" s="179"/>
      <c r="X201" s="179"/>
      <c r="Y201" s="179"/>
      <c r="Z201" s="181"/>
      <c r="AA201" s="182"/>
      <c r="AB201" s="183"/>
      <c r="AC201" s="179"/>
      <c r="AD201" s="179"/>
      <c r="AE201" s="181"/>
      <c r="AF201" s="179"/>
      <c r="AG201" s="179"/>
      <c r="AH201" s="179"/>
      <c r="AI201" s="179"/>
      <c r="AJ201" s="181"/>
      <c r="AK201" s="179"/>
      <c r="AL201" s="179"/>
      <c r="AM201" s="179"/>
      <c r="AN201" s="179"/>
      <c r="AO201" s="179"/>
      <c r="AP201" s="181"/>
      <c r="AQ201" s="181"/>
      <c r="AR201" s="179"/>
    </row>
  </sheetData>
  <sheetProtection algorithmName="SHA-512" hashValue="L2GcAbgsKAbtKz2FHet6evpA1frC0x1L4N+SiCy3SVHbQY1a+C7pIiFEi4LdOSLbRgMDBpZ/H5yrVkeYUbhPew==" saltValue="dTzKPQYe49eKmp/OU1BW7A==" spinCount="100000" sheet="1" objects="1" scenarios="1" formatCells="0" formatRows="0"/>
  <dataConsolidate/>
  <phoneticPr fontId="12" type="noConversion"/>
  <conditionalFormatting sqref="AC13:AC201">
    <cfRule type="expression" priority="21">
      <formula>LEFT($AB13,5)="Other"</formula>
    </cfRule>
  </conditionalFormatting>
  <conditionalFormatting sqref="AR13:AR200">
    <cfRule type="expression" dxfId="112" priority="5">
      <formula>OR($AA13&lt;10000000,$AQ13="No")</formula>
    </cfRule>
    <cfRule type="expression" priority="6">
      <formula>AND($AA13&gt;=10000000,$AQ13="Yes")</formula>
    </cfRule>
  </conditionalFormatting>
  <conditionalFormatting sqref="AP13:AQ200">
    <cfRule type="expression" dxfId="111" priority="7">
      <formula>$AA13&lt;10000000</formula>
    </cfRule>
    <cfRule type="expression" priority="8">
      <formula>$AA13&gt;=10000000</formula>
    </cfRule>
  </conditionalFormatting>
  <conditionalFormatting sqref="AK13:AO200">
    <cfRule type="expression" dxfId="110" priority="9">
      <formula>OR($AA13&lt;10000000,$AJ13="Yes")</formula>
    </cfRule>
    <cfRule type="expression" dxfId="109" priority="10">
      <formula>AND($AA13&gt;=10000000,$AJ13="No")</formula>
    </cfRule>
  </conditionalFormatting>
  <conditionalFormatting sqref="AJ13:AJ200">
    <cfRule type="expression" dxfId="108" priority="11">
      <formula>$AA13&lt;10000000</formula>
    </cfRule>
    <cfRule type="expression" dxfId="107" priority="12">
      <formula>$AA13&gt;=10000000</formula>
    </cfRule>
  </conditionalFormatting>
  <conditionalFormatting sqref="AF13:AI200">
    <cfRule type="expression" priority="13">
      <formula>AND($AE13="No",$AA13&gt;=10000000)</formula>
    </cfRule>
    <cfRule type="expression" dxfId="106" priority="14">
      <formula>OR($AE13="Yes",$AA13&lt;10000000)</formula>
    </cfRule>
  </conditionalFormatting>
  <conditionalFormatting sqref="AE13:AE200">
    <cfRule type="expression" dxfId="105" priority="16">
      <formula>$AA13&lt;10000000</formula>
    </cfRule>
    <cfRule type="expression" priority="17">
      <formula>$AA13&gt;=10000000</formula>
    </cfRule>
  </conditionalFormatting>
  <conditionalFormatting sqref="AD13:AD200">
    <cfRule type="expression" dxfId="104" priority="18" stopIfTrue="1">
      <formula>AND($AA13&gt;=1000000,LEFT($AB13,5)="Other")</formula>
    </cfRule>
    <cfRule type="expression" dxfId="103" priority="19">
      <formula>$AA13&lt;10000000</formula>
    </cfRule>
    <cfRule type="expression" priority="20">
      <formula>$AA13&gt;=10000000</formula>
    </cfRule>
  </conditionalFormatting>
  <conditionalFormatting sqref="AC13:AC200">
    <cfRule type="expression" dxfId="102" priority="22">
      <formula>LEFT($AB13,5)&lt;&gt;"Other"</formula>
    </cfRule>
  </conditionalFormatting>
  <conditionalFormatting sqref="AA13:AB200">
    <cfRule type="expression" priority="23">
      <formula>$Z13="Yes"</formula>
    </cfRule>
    <cfRule type="expression" dxfId="101" priority="24">
      <formula>$Z13&lt;&gt;"Yes"</formula>
    </cfRule>
  </conditionalFormatting>
  <conditionalFormatting sqref="O13:O200">
    <cfRule type="expression" dxfId="100" priority="25">
      <formula>RIGHT($N13,7)="specify"</formula>
    </cfRule>
    <cfRule type="expression" dxfId="99" priority="26">
      <formula>RIGHT($N13,7)&lt;&gt;"specify"</formula>
    </cfRule>
  </conditionalFormatting>
  <conditionalFormatting sqref="Q13:Q200">
    <cfRule type="expression" dxfId="98" priority="27">
      <formula>RIGHT($P13,7)="specify"</formula>
    </cfRule>
    <cfRule type="expression" dxfId="97" priority="28">
      <formula>RIGHT($P13,7)&lt;&gt;"specify"</formula>
    </cfRule>
  </conditionalFormatting>
  <conditionalFormatting sqref="S13:S200">
    <cfRule type="expression" dxfId="96" priority="29">
      <formula>RIGHT($R13,7)="specify"</formula>
    </cfRule>
    <cfRule type="expression" dxfId="95" priority="30">
      <formula>RIGHT($R13,7)&lt;&gt;"specify"</formula>
    </cfRule>
  </conditionalFormatting>
  <conditionalFormatting sqref="AV13:AV200">
    <cfRule type="expression" priority="3">
      <formula>$E13="Cancelled"</formula>
    </cfRule>
    <cfRule type="expression" dxfId="94" priority="4">
      <formula>$E13&lt;&gt;"Cancelled"</formula>
    </cfRule>
  </conditionalFormatting>
  <conditionalFormatting sqref="N13:Y200 AS13:AU200">
    <cfRule type="expression" priority="1">
      <formula>$E13&lt;&gt;"Not Started"</formula>
    </cfRule>
    <cfRule type="expression" dxfId="93" priority="2">
      <formula>$E13="Not Started"</formula>
    </cfRule>
  </conditionalFormatting>
  <dataValidations count="35">
    <dataValidation type="textLength" operator="lessThanOrEqual" allowBlank="1" showInputMessage="1" showErrorMessage="1" errorTitle="Max Length Exceed" error="Value cannot exceed 80 characters." sqref="C201" xr:uid="{8C298C72-2ABD-41E7-BD8D-A9F7304E9208}">
      <formula1>80</formula1>
    </dataValidation>
    <dataValidation type="textLength" operator="lessThanOrEqual" allowBlank="1" showInputMessage="1" showErrorMessage="1" errorTitle="Max Length Exceed" error="Value cannot exceed 20 characters." sqref="D201" xr:uid="{D2E9343A-DF0C-42D0-B6B1-A41A0434290E}">
      <formula1>20</formula1>
    </dataValidation>
    <dataValidation type="decimal" operator="lessThanOrEqual" allowBlank="1" showInputMessage="1" showErrorMessage="1" errorTitle="Maximum Exceeded" error="Value cannot exceed 999,999,999,999.99" sqref="J201 M201 L201 F201 G201 H201 I201 AA201" xr:uid="{9BA533A8-DE06-4F32-B638-033E30E7025A}">
      <formula1>999999999999.99</formula1>
    </dataValidation>
    <dataValidation type="textLength" operator="lessThanOrEqual" allowBlank="1" showInputMessage="1" showErrorMessage="1" errorTitle="Max Length Exceed" error="Value cannot exceed 1500 characters." sqref="K201 AD201" xr:uid="{9487A282-D355-4DAA-B641-797976295B65}">
      <formula1>1500</formula1>
    </dataValidation>
    <dataValidation type="textLength" operator="lessThanOrEqual" allowBlank="1" showInputMessage="1" showErrorMessage="1" errorTitle="Max Length Exceed" error="Value cannot exceed 250 characters." sqref="Q201 O201 S201 T201 U201" xr:uid="{0AC8F99C-1842-4989-BF5A-19513D0B22D8}">
      <formula1>250</formula1>
    </dataValidation>
    <dataValidation type="textLength" operator="lessThanOrEqual" allowBlank="1" showInputMessage="1" showErrorMessage="1" errorTitle="Max Length Exceed" error="Value cannot exceed 10 characters." sqref="Y201 X201" xr:uid="{4C1D104D-479A-4D11-981F-15C2570F94D3}">
      <formula1>10</formula1>
    </dataValidation>
    <dataValidation type="textLength" operator="lessThanOrEqual" allowBlank="1" showInputMessage="1" showErrorMessage="1" errorTitle="Max Length Exceed" error="Value cannot exceed 255 characters." sqref="AC201" xr:uid="{07EBF449-FC5E-4988-A9BA-E472A182FABE}">
      <formula1>255</formula1>
    </dataValidation>
    <dataValidation type="list" allowBlank="1" showInputMessage="1" showErrorMessage="1" sqref="W13:W200 Z13:Z200" xr:uid="{735D6950-3718-48ED-AD9F-BB745FC559BD}">
      <formula1>YesNo</formula1>
    </dataValidation>
    <dataValidation type="list" allowBlank="1" showInputMessage="1" showErrorMessage="1" sqref="E13:E200" xr:uid="{B442D0DB-203D-4A7A-8471-CFC198A3DEC7}">
      <formula1>Status</formula1>
    </dataValidation>
    <dataValidation type="list" allowBlank="1" showInputMessage="1" showErrorMessage="1" sqref="N13:N200" xr:uid="{9C92AD08-3478-4404-81A2-68D153C7DF4A}">
      <formula1>Demographics</formula1>
    </dataValidation>
    <dataValidation type="textLength" operator="lessThanOrEqual" allowBlank="1" showInputMessage="1" showErrorMessage="1" errorTitle="Max Length Exceed" error="Value cannot exceed 80 characters." sqref="C13:C200" xr:uid="{C6FA80C6-A51E-4AA7-ADAD-B7D91DAF69B4}">
      <formula1>80</formula1>
    </dataValidation>
    <dataValidation type="textLength" operator="lessThanOrEqual" allowBlank="1" showInputMessage="1" showErrorMessage="1" errorTitle="Max Length Exceed" error="Value cannot exceed 20 characters." sqref="D13:D200" xr:uid="{B76F79CA-7FCC-4621-BBCD-35CB0BD2FBC1}">
      <formula1>20</formula1>
    </dataValidation>
    <dataValidation type="decimal" operator="lessThanOrEqual" allowBlank="1" showInputMessage="1" showErrorMessage="1" errorTitle="Maximum Exceeded" error="Value cannot exceed 999,999,999,999.99" sqref="F13:F200" xr:uid="{959C0329-1F0B-4DB3-8EA3-F73F95E5A241}">
      <formula1>999999999999.99</formula1>
    </dataValidation>
    <dataValidation type="decimal" operator="lessThanOrEqual" allowBlank="1" showInputMessage="1" showErrorMessage="1" errorTitle="Maximum Exceeded" error="Value cannot exceed 999,999,999,999.99" sqref="G13:G200" xr:uid="{B4C1353C-1B3C-4A83-AD69-B21449863960}">
      <formula1>999999999999.99</formula1>
    </dataValidation>
    <dataValidation type="decimal" operator="lessThanOrEqual" allowBlank="1" showInputMessage="1" showErrorMessage="1" errorTitle="Maximum Exceeded" error="Value cannot exceed 999,999,999,999.99" sqref="H13:H200" xr:uid="{06D96C53-68C1-423F-A8E1-8477664F1424}">
      <formula1>999999999999.99</formula1>
    </dataValidation>
    <dataValidation type="decimal" operator="lessThanOrEqual" allowBlank="1" showInputMessage="1" showErrorMessage="1" errorTitle="Maximum Exceeded" error="Value cannot exceed 999,999,999,999.99" sqref="I13:I200" xr:uid="{0E066F3D-340A-44E1-81C8-ABA85B4CA815}">
      <formula1>999999999999.99</formula1>
    </dataValidation>
    <dataValidation type="decimal" operator="lessThanOrEqual" allowBlank="1" showInputMessage="1" showErrorMessage="1" errorTitle="Maximum Exceeded" error="Value cannot exceed 999,999,999,999.99" sqref="J13:J200" xr:uid="{5045BAD4-BFC4-474A-8133-41A865E77789}">
      <formula1>999999999999.99</formula1>
    </dataValidation>
    <dataValidation type="textLength" operator="lessThanOrEqual" allowBlank="1" showInputMessage="1" showErrorMessage="1" errorTitle="Max Length Exceed" error="Value cannot exceed 1500 characters." sqref="K13:K200" xr:uid="{481B9FEE-7120-472D-B487-B2403F34CA72}">
      <formula1>1500</formula1>
    </dataValidation>
    <dataValidation type="decimal" operator="lessThanOrEqual" allowBlank="1" showInputMessage="1" showErrorMessage="1" errorTitle="Maximum Exceeded" error="Value cannot exceed 999,999,999,999.99" sqref="L13:L200" xr:uid="{17AEEB4B-9C0E-498A-9180-1A860EF9B527}">
      <formula1>999999999999.99</formula1>
    </dataValidation>
    <dataValidation type="decimal" operator="lessThanOrEqual" allowBlank="1" showInputMessage="1" showErrorMessage="1" errorTitle="Maximum Exceeded" error="Value cannot exceed 999,999,999,999.99" sqref="M13:M200" xr:uid="{5E1EAB4F-16F0-44FE-B344-D0E813CD1CC5}">
      <formula1>999999999999.99</formula1>
    </dataValidation>
    <dataValidation type="textLength" operator="lessThanOrEqual" allowBlank="1" showInputMessage="1" showErrorMessage="1" errorTitle="Max Length Exceed" error="Value cannot exceed 250 characters." sqref="O13:O200" xr:uid="{3E66531F-2CA2-4E20-A4E1-E6276B56610A}">
      <formula1>250</formula1>
    </dataValidation>
    <dataValidation type="textLength" operator="lessThanOrEqual" allowBlank="1" showInputMessage="1" showErrorMessage="1" errorTitle="Max Length Exceed" error="Value cannot exceed 250 characters." sqref="Q13:Q200" xr:uid="{DF131E3F-FE22-4BE6-A366-59147F9A202C}">
      <formula1>250</formula1>
    </dataValidation>
    <dataValidation type="textLength" operator="lessThanOrEqual" allowBlank="1" showInputMessage="1" showErrorMessage="1" errorTitle="Max Length Exceed" error="Value cannot exceed 250 characters." sqref="S13:S200" xr:uid="{FB7B0A61-A390-4B1C-8C55-23F2AF9659FA}">
      <formula1>250</formula1>
    </dataValidation>
    <dataValidation type="textLength" operator="lessThanOrEqual" allowBlank="1" showInputMessage="1" showErrorMessage="1" errorTitle="Max Length Exceed" error="Value cannot exceed 250 characters." sqref="T13:T200" xr:uid="{01D1381A-415A-400C-B20F-8A363AFA4469}">
      <formula1>250</formula1>
    </dataValidation>
    <dataValidation type="textLength" operator="lessThanOrEqual" allowBlank="1" showInputMessage="1" showErrorMessage="1" errorTitle="Max Length Exceed" error="Value cannot exceed 250 characters." sqref="U13:U200" xr:uid="{9C974928-122F-4A5C-AF07-E9675F9C7A66}">
      <formula1>250</formula1>
    </dataValidation>
    <dataValidation type="decimal" operator="lessThanOrEqual" allowBlank="1" showInputMessage="1" showErrorMessage="1" errorTitle="Maximum Exceeded" error="Value cannot exceed 999,999,999,999.99" sqref="V13:V200" xr:uid="{9544084F-96E1-4F7A-86C3-F8764206066C}">
      <formula1>999999999999.99</formula1>
    </dataValidation>
    <dataValidation type="textLength" operator="lessThanOrEqual" allowBlank="1" showInputMessage="1" showErrorMessage="1" errorTitle="Max Length Exceed" error="Value cannot exceed 10 characters." sqref="X13:X200" xr:uid="{60C255CE-9AAA-40D6-8C12-F39263F1FC57}">
      <formula1>10</formula1>
    </dataValidation>
    <dataValidation type="textLength" operator="lessThanOrEqual" allowBlank="1" showInputMessage="1" showErrorMessage="1" errorTitle="Max Length Exceed" error="Value cannot exceed 10 characters." sqref="Y13:Y200" xr:uid="{17C9FF09-1A4D-4532-A83F-D19861A7C415}">
      <formula1>10</formula1>
    </dataValidation>
    <dataValidation type="decimal" operator="lessThanOrEqual" allowBlank="1" showInputMessage="1" showErrorMessage="1" errorTitle="Maximum Exceeded" error="Value cannot exceed 999,999,999,999.99" sqref="AA13:AA200" xr:uid="{5E7BA56E-5A0A-4D03-93BC-66555E3104D7}">
      <formula1>999999999999.99</formula1>
    </dataValidation>
    <dataValidation type="textLength" operator="lessThanOrEqual" allowBlank="1" showInputMessage="1" showErrorMessage="1" errorTitle="Max Length Exceed" error="Value cannot exceed 255 characters." sqref="AC13:AC200" xr:uid="{7E9C5B6E-121A-41AA-A153-29BA7870BCAD}">
      <formula1>255</formula1>
    </dataValidation>
    <dataValidation type="textLength" operator="lessThanOrEqual" allowBlank="1" showInputMessage="1" showErrorMessage="1" errorTitle="Max Length Exceed" error="Value cannot exceed 1500 characters." sqref="AD13:AD200" xr:uid="{6547EDE0-F9B4-4BA0-8165-7A81D860C527}">
      <formula1>1500</formula1>
    </dataValidation>
    <dataValidation type="textLength" operator="lessThanOrEqual" allowBlank="1" showInputMessage="1" showErrorMessage="1" errorTitle="Max Length Exceed" error="Value cannot exceed 10 characters." sqref="AS13:AS200" xr:uid="{5903F419-EDDB-4148-A361-C990FBF1B1A8}">
      <formula1>10</formula1>
    </dataValidation>
    <dataValidation type="textLength" operator="lessThanOrEqual" allowBlank="1" showInputMessage="1" showErrorMessage="1" errorTitle="Max Length Exceed" error="Value cannot exceed 10 characters." sqref="AT13:AT200" xr:uid="{B5184893-6995-430E-9E41-48C9AC85DFC5}">
      <formula1>10</formula1>
    </dataValidation>
    <dataValidation type="textLength" operator="lessThanOrEqual" allowBlank="1" showInputMessage="1" showErrorMessage="1" errorTitle="Max Length Exceed" error="Value cannot exceed 10 characters." sqref="AU13:AU200" xr:uid="{A3B9916A-048B-4609-A3B0-5987A3AEEF9A}">
      <formula1>10</formula1>
    </dataValidation>
    <dataValidation type="textLength" operator="lessThanOrEqual" allowBlank="1" showInputMessage="1" showErrorMessage="1" errorTitle="Max Length Exceed" error="Value cannot exceed 255 characters." sqref="AV13:AV200" xr:uid="{78061A3C-5BFC-475F-9516-04D1CDAF6C84}">
      <formula1>255</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r:uid="{34C17474-6E88-4784-90A1-48ED2791F920}">
          <x14:formula1>
            <xm:f>Dropdowns!$G$3:$G$6</xm:f>
          </x14:formula1>
          <xm:sqref>E201</xm:sqref>
        </x14:dataValidation>
        <x14:dataValidation type="list" allowBlank="1" showInputMessage="1" showErrorMessage="1" xr:uid="{F7146BCB-8F09-4FEF-81FE-B3B1EFA1B7E9}">
          <x14:formula1>
            <xm:f>Dropdowns!$M$3:$M$30</xm:f>
          </x14:formula1>
          <xm:sqref>P13:P201 R13:R201</xm:sqref>
        </x14:dataValidation>
        <x14:dataValidation type="list" allowBlank="1" showInputMessage="1" showErrorMessage="1" xr:uid="{C336019A-B8A0-46ED-8C3E-31DBB76D6DA7}">
          <x14:formula1>
            <xm:f>Dropdowns!$H$3:$H$4</xm:f>
          </x14:formula1>
          <xm:sqref>AJ13:AJ201 AP13:AQ201 AE13:AE201 Z201</xm:sqref>
        </x14:dataValidation>
        <x14:dataValidation type="list" allowBlank="1" showInputMessage="1" showErrorMessage="1" xr:uid="{D68571EA-1887-48D8-A49B-BE5383670FC1}">
          <x14:formula1>
            <xm:f>Dropdowns!$N$3:$N$28</xm:f>
          </x14:formula1>
          <xm:sqref>AB13:AB201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FE0F7F-BCAE-4BD4-8143-5244C2DE89F1}">
  <sheetPr codeName="Sheet4"/>
  <dimension ref="A1:BD201"/>
  <sheetViews>
    <sheetView showGridLines="0" workbookViewId="0">
      <pane xSplit="4" ySplit="12" topLeftCell="E13" activePane="bottomRight" state="frozen"/>
      <selection pane="topRight" activeCell="E1" sqref="E1"/>
      <selection pane="bottomLeft" activeCell="A12" sqref="A12"/>
      <selection pane="bottomRight" sqref="A1:XFD10"/>
    </sheetView>
  </sheetViews>
  <sheetFormatPr defaultColWidth="8.7265625" defaultRowHeight="12.75" customHeight="1" x14ac:dyDescent="0.25"/>
  <cols>
    <col min="1" max="1" width="15" style="185" hidden="1" customWidth="1"/>
    <col min="2" max="2" width="5.81640625" style="185" hidden="1" customWidth="1"/>
    <col min="3" max="3" width="20.7265625" style="185" customWidth="1"/>
    <col min="4" max="4" width="19.7265625" style="185" customWidth="1"/>
    <col min="5" max="5" width="19.453125" style="185" customWidth="1"/>
    <col min="6" max="6" width="16.1796875" style="185" customWidth="1"/>
    <col min="7" max="7" width="15.26953125" style="185" customWidth="1"/>
    <col min="8" max="10" width="14.26953125" style="185" customWidth="1"/>
    <col min="11" max="11" width="19.54296875" style="185" customWidth="1"/>
    <col min="12" max="12" width="12.7265625" style="185" customWidth="1"/>
    <col min="13" max="13" width="14.7265625" style="185" customWidth="1"/>
    <col min="14" max="14" width="20.7265625" style="177" customWidth="1"/>
    <col min="15" max="15" width="23.453125" style="177" customWidth="1"/>
    <col min="16" max="16" width="23" style="177" customWidth="1"/>
    <col min="17" max="17" width="18.1796875" style="177" customWidth="1"/>
    <col min="18" max="18" width="23.453125" style="177" customWidth="1"/>
    <col min="19" max="19" width="16.7265625" style="177" customWidth="1"/>
    <col min="20" max="20" width="31" style="185" customWidth="1"/>
    <col min="21" max="21" width="33.7265625" style="185" customWidth="1"/>
    <col min="22" max="22" width="20.54296875" style="185" customWidth="1"/>
    <col min="23" max="23" width="24.1796875" style="185" customWidth="1"/>
    <col min="24" max="24" width="16.81640625" style="185" customWidth="1"/>
    <col min="25" max="25" width="29.26953125" style="185" customWidth="1"/>
    <col min="26" max="26" width="28.54296875" style="185" customWidth="1"/>
    <col min="27" max="27" width="15.81640625" style="161" customWidth="1"/>
    <col min="28" max="28" width="29.26953125" style="185" customWidth="1"/>
    <col min="29" max="29" width="17.7265625" style="177" customWidth="1"/>
    <col min="30" max="31" width="12.26953125" style="185" customWidth="1"/>
    <col min="32" max="32" width="16" style="185" customWidth="1"/>
    <col min="33" max="33" width="21.453125" style="185" customWidth="1"/>
    <col min="34" max="34" width="15.7265625" style="185" customWidth="1"/>
    <col min="35" max="47" width="39" style="185" customWidth="1"/>
    <col min="48" max="55" width="20.7265625" style="185" customWidth="1"/>
    <col min="56" max="56" width="21.81640625" style="185" customWidth="1"/>
    <col min="57" max="69" width="8.7265625" style="185" customWidth="1"/>
    <col min="70" max="16384" width="8.7265625" style="185"/>
  </cols>
  <sheetData>
    <row r="1" spans="1:56" s="184" customFormat="1" ht="27" hidden="1" customHeight="1" x14ac:dyDescent="0.25">
      <c r="A1" s="110" t="s">
        <v>393</v>
      </c>
      <c r="B1" s="112" t="s">
        <v>503</v>
      </c>
      <c r="C1" s="115" t="s">
        <v>186</v>
      </c>
      <c r="D1" s="115" t="s">
        <v>186</v>
      </c>
      <c r="E1" s="115" t="s">
        <v>186</v>
      </c>
      <c r="F1" s="115" t="s">
        <v>186</v>
      </c>
      <c r="G1" s="115" t="s">
        <v>186</v>
      </c>
      <c r="H1" s="115" t="s">
        <v>186</v>
      </c>
      <c r="I1" s="115" t="s">
        <v>186</v>
      </c>
      <c r="J1" s="115" t="s">
        <v>186</v>
      </c>
      <c r="K1" s="115" t="s">
        <v>186</v>
      </c>
      <c r="L1" s="115" t="s">
        <v>186</v>
      </c>
      <c r="M1" s="115" t="s">
        <v>186</v>
      </c>
      <c r="N1" s="115" t="s">
        <v>186</v>
      </c>
      <c r="O1" s="115" t="s">
        <v>186</v>
      </c>
      <c r="P1" s="115" t="s">
        <v>186</v>
      </c>
      <c r="Q1" s="115" t="s">
        <v>186</v>
      </c>
      <c r="R1" s="115" t="s">
        <v>186</v>
      </c>
      <c r="S1" s="115" t="s">
        <v>186</v>
      </c>
      <c r="T1" s="115" t="s">
        <v>186</v>
      </c>
      <c r="U1" s="115" t="s">
        <v>186</v>
      </c>
      <c r="V1" s="147" t="s">
        <v>679</v>
      </c>
      <c r="W1" s="115" t="s">
        <v>450</v>
      </c>
      <c r="X1" s="115" t="s">
        <v>450</v>
      </c>
      <c r="Y1" s="115" t="s">
        <v>443</v>
      </c>
      <c r="Z1" s="115" t="s">
        <v>444</v>
      </c>
      <c r="AA1" s="115" t="s">
        <v>884</v>
      </c>
      <c r="AB1" s="115" t="s">
        <v>500</v>
      </c>
      <c r="AC1" s="154" t="s">
        <v>186</v>
      </c>
      <c r="AD1" s="154" t="s">
        <v>186</v>
      </c>
      <c r="AE1" s="154" t="s">
        <v>186</v>
      </c>
      <c r="AF1" s="154" t="s">
        <v>186</v>
      </c>
      <c r="AG1" s="154" t="s">
        <v>186</v>
      </c>
      <c r="AH1" s="154" t="s">
        <v>186</v>
      </c>
      <c r="AI1" s="154" t="s">
        <v>186</v>
      </c>
      <c r="AJ1" s="154" t="s">
        <v>186</v>
      </c>
      <c r="AK1" s="154" t="s">
        <v>186</v>
      </c>
      <c r="AL1" s="154" t="s">
        <v>186</v>
      </c>
      <c r="AM1" s="154" t="s">
        <v>186</v>
      </c>
      <c r="AN1" s="154" t="s">
        <v>186</v>
      </c>
      <c r="AO1" s="154" t="s">
        <v>186</v>
      </c>
      <c r="AP1" s="154" t="s">
        <v>186</v>
      </c>
      <c r="AQ1" s="154" t="s">
        <v>186</v>
      </c>
      <c r="AR1" s="154" t="s">
        <v>186</v>
      </c>
      <c r="AS1" s="154" t="s">
        <v>186</v>
      </c>
      <c r="AT1" s="154" t="s">
        <v>186</v>
      </c>
      <c r="AU1" s="154" t="s">
        <v>186</v>
      </c>
      <c r="AV1" s="302" t="s">
        <v>1022</v>
      </c>
      <c r="AW1" s="302" t="s">
        <v>1022</v>
      </c>
      <c r="AX1" s="302" t="s">
        <v>1022</v>
      </c>
      <c r="AY1" s="154" t="s">
        <v>885</v>
      </c>
      <c r="AZ1" s="154" t="s">
        <v>885</v>
      </c>
      <c r="BA1" s="154" t="s">
        <v>850</v>
      </c>
      <c r="BB1" s="154" t="s">
        <v>819</v>
      </c>
      <c r="BC1" s="154" t="s">
        <v>819</v>
      </c>
      <c r="BD1" s="115" t="s">
        <v>880</v>
      </c>
    </row>
    <row r="2" spans="1:56" s="184" customFormat="1" ht="27" hidden="1" customHeight="1" x14ac:dyDescent="0.25">
      <c r="A2" s="110" t="s">
        <v>394</v>
      </c>
      <c r="B2" s="113"/>
      <c r="C2" s="115" t="s">
        <v>720</v>
      </c>
      <c r="D2" s="115" t="s">
        <v>720</v>
      </c>
      <c r="E2" s="115" t="s">
        <v>720</v>
      </c>
      <c r="F2" s="115" t="s">
        <v>720</v>
      </c>
      <c r="G2" s="115" t="s">
        <v>720</v>
      </c>
      <c r="H2" s="115" t="s">
        <v>720</v>
      </c>
      <c r="I2" s="115" t="s">
        <v>720</v>
      </c>
      <c r="J2" s="115" t="s">
        <v>720</v>
      </c>
      <c r="K2" s="115" t="s">
        <v>720</v>
      </c>
      <c r="L2" s="115" t="s">
        <v>720</v>
      </c>
      <c r="M2" s="115" t="s">
        <v>720</v>
      </c>
      <c r="N2" s="115" t="s">
        <v>720</v>
      </c>
      <c r="O2" s="115" t="s">
        <v>720</v>
      </c>
      <c r="P2" s="115" t="s">
        <v>720</v>
      </c>
      <c r="Q2" s="115" t="s">
        <v>720</v>
      </c>
      <c r="R2" s="115" t="s">
        <v>720</v>
      </c>
      <c r="S2" s="115" t="s">
        <v>720</v>
      </c>
      <c r="T2" s="115" t="s">
        <v>720</v>
      </c>
      <c r="U2" s="115" t="s">
        <v>720</v>
      </c>
      <c r="V2" s="122" t="s">
        <v>721</v>
      </c>
      <c r="W2" s="115" t="s">
        <v>807</v>
      </c>
      <c r="X2" s="115" t="s">
        <v>808</v>
      </c>
      <c r="Y2" s="154" t="s">
        <v>598</v>
      </c>
      <c r="Z2" s="154" t="s">
        <v>504</v>
      </c>
      <c r="AA2" s="154" t="s">
        <v>722</v>
      </c>
      <c r="AB2" s="154" t="s">
        <v>723</v>
      </c>
      <c r="AC2" s="115" t="s">
        <v>720</v>
      </c>
      <c r="AD2" s="115" t="s">
        <v>720</v>
      </c>
      <c r="AE2" s="115" t="s">
        <v>720</v>
      </c>
      <c r="AF2" s="115" t="s">
        <v>720</v>
      </c>
      <c r="AG2" s="115" t="s">
        <v>720</v>
      </c>
      <c r="AH2" s="115"/>
      <c r="AI2" s="115"/>
      <c r="AJ2" s="115"/>
      <c r="AK2" s="115"/>
      <c r="AL2" s="115"/>
      <c r="AM2" s="115"/>
      <c r="AN2" s="115"/>
      <c r="AO2" s="115"/>
      <c r="AP2" s="115"/>
      <c r="AQ2" s="115"/>
      <c r="AR2" s="115"/>
      <c r="AS2" s="115"/>
      <c r="AT2" s="115"/>
      <c r="AU2" s="115"/>
      <c r="AV2" s="115" t="s">
        <v>613</v>
      </c>
      <c r="AW2" s="115" t="s">
        <v>613</v>
      </c>
      <c r="AX2" s="115" t="s">
        <v>613</v>
      </c>
      <c r="AY2" s="115" t="s">
        <v>613</v>
      </c>
      <c r="AZ2" s="115" t="s">
        <v>613</v>
      </c>
      <c r="BA2" s="115" t="s">
        <v>722</v>
      </c>
      <c r="BB2" s="115" t="s">
        <v>823</v>
      </c>
      <c r="BC2" s="115" t="s">
        <v>823</v>
      </c>
      <c r="BD2" s="115" t="s">
        <v>613</v>
      </c>
    </row>
    <row r="3" spans="1:56" ht="27" hidden="1" customHeight="1" x14ac:dyDescent="0.25">
      <c r="A3" s="114" t="s">
        <v>163</v>
      </c>
      <c r="B3" s="156"/>
      <c r="C3" s="153" t="s">
        <v>138</v>
      </c>
      <c r="D3" s="153" t="s">
        <v>139</v>
      </c>
      <c r="E3" s="153" t="s">
        <v>140</v>
      </c>
      <c r="F3" s="153" t="s">
        <v>141</v>
      </c>
      <c r="G3" s="153" t="s">
        <v>142</v>
      </c>
      <c r="H3" s="153" t="s">
        <v>143</v>
      </c>
      <c r="I3" s="153" t="s">
        <v>506</v>
      </c>
      <c r="J3" s="153" t="s">
        <v>507</v>
      </c>
      <c r="K3" s="153" t="s">
        <v>146</v>
      </c>
      <c r="L3" s="153" t="s">
        <v>147</v>
      </c>
      <c r="M3" s="153" t="s">
        <v>148</v>
      </c>
      <c r="N3" s="154" t="s">
        <v>518</v>
      </c>
      <c r="O3" s="154" t="s">
        <v>519</v>
      </c>
      <c r="P3" s="154" t="s">
        <v>520</v>
      </c>
      <c r="Q3" s="154" t="s">
        <v>521</v>
      </c>
      <c r="R3" s="154" t="s">
        <v>522</v>
      </c>
      <c r="S3" s="154" t="s">
        <v>523</v>
      </c>
      <c r="T3" s="154" t="s">
        <v>560</v>
      </c>
      <c r="U3" s="154" t="s">
        <v>561</v>
      </c>
      <c r="V3" s="153" t="s">
        <v>187</v>
      </c>
      <c r="W3" s="122" t="s">
        <v>809</v>
      </c>
      <c r="X3" s="122" t="s">
        <v>810</v>
      </c>
      <c r="Y3" s="154" t="s">
        <v>599</v>
      </c>
      <c r="Z3" s="154" t="s">
        <v>602</v>
      </c>
      <c r="AA3" s="116" t="s">
        <v>193</v>
      </c>
      <c r="AB3" s="154" t="s">
        <v>605</v>
      </c>
      <c r="AC3" s="116" t="s">
        <v>144</v>
      </c>
      <c r="AD3" s="153" t="s">
        <v>145</v>
      </c>
      <c r="AE3" s="153" t="s">
        <v>566</v>
      </c>
      <c r="AF3" s="153" t="s">
        <v>567</v>
      </c>
      <c r="AG3" s="153" t="s">
        <v>568</v>
      </c>
      <c r="AH3" s="122" t="s">
        <v>855</v>
      </c>
      <c r="AI3" s="122" t="s">
        <v>856</v>
      </c>
      <c r="AJ3" s="122" t="s">
        <v>857</v>
      </c>
      <c r="AK3" s="122" t="s">
        <v>858</v>
      </c>
      <c r="AL3" s="122" t="s">
        <v>859</v>
      </c>
      <c r="AM3" s="122" t="s">
        <v>860</v>
      </c>
      <c r="AN3" s="122" t="s">
        <v>861</v>
      </c>
      <c r="AO3" s="122" t="s">
        <v>862</v>
      </c>
      <c r="AP3" s="122" t="s">
        <v>863</v>
      </c>
      <c r="AQ3" s="122" t="s">
        <v>864</v>
      </c>
      <c r="AR3" s="122" t="s">
        <v>865</v>
      </c>
      <c r="AS3" s="122" t="s">
        <v>866</v>
      </c>
      <c r="AT3" s="122" t="s">
        <v>867</v>
      </c>
      <c r="AU3" s="122" t="s">
        <v>868</v>
      </c>
      <c r="AV3" s="115" t="s">
        <v>854</v>
      </c>
      <c r="AW3" s="122" t="s">
        <v>883</v>
      </c>
      <c r="AX3" s="122" t="s">
        <v>853</v>
      </c>
      <c r="AY3" s="122" t="s">
        <v>869</v>
      </c>
      <c r="AZ3" s="122" t="s">
        <v>870</v>
      </c>
      <c r="BA3" s="122" t="s">
        <v>886</v>
      </c>
      <c r="BB3" s="122" t="s">
        <v>851</v>
      </c>
      <c r="BC3" s="122" t="s">
        <v>852</v>
      </c>
      <c r="BD3" s="122" t="s">
        <v>875</v>
      </c>
    </row>
    <row r="4" spans="1:56" ht="27" hidden="1" customHeight="1" x14ac:dyDescent="0.25">
      <c r="A4" s="114" t="s">
        <v>162</v>
      </c>
      <c r="B4" s="156"/>
      <c r="C4" s="153" t="s">
        <v>149</v>
      </c>
      <c r="D4" s="153" t="s">
        <v>149</v>
      </c>
      <c r="E4" s="153" t="s">
        <v>149</v>
      </c>
      <c r="F4" s="153" t="s">
        <v>149</v>
      </c>
      <c r="G4" s="153" t="s">
        <v>149</v>
      </c>
      <c r="H4" s="153" t="s">
        <v>149</v>
      </c>
      <c r="I4" s="153" t="s">
        <v>149</v>
      </c>
      <c r="J4" s="153" t="s">
        <v>149</v>
      </c>
      <c r="K4" s="153" t="s">
        <v>149</v>
      </c>
      <c r="L4" s="153" t="s">
        <v>150</v>
      </c>
      <c r="M4" s="153" t="s">
        <v>150</v>
      </c>
      <c r="N4" s="153" t="s">
        <v>516</v>
      </c>
      <c r="O4" s="154" t="s">
        <v>516</v>
      </c>
      <c r="P4" s="154" t="s">
        <v>150</v>
      </c>
      <c r="Q4" s="154" t="s">
        <v>516</v>
      </c>
      <c r="R4" s="154" t="s">
        <v>150</v>
      </c>
      <c r="S4" s="154" t="s">
        <v>516</v>
      </c>
      <c r="T4" s="153" t="s">
        <v>516</v>
      </c>
      <c r="U4" s="153" t="s">
        <v>516</v>
      </c>
      <c r="V4" s="153" t="s">
        <v>516</v>
      </c>
      <c r="W4" s="153" t="s">
        <v>516</v>
      </c>
      <c r="X4" s="153" t="s">
        <v>516</v>
      </c>
      <c r="Y4" s="153" t="s">
        <v>516</v>
      </c>
      <c r="Z4" s="153" t="s">
        <v>516</v>
      </c>
      <c r="AA4" s="153" t="s">
        <v>516</v>
      </c>
      <c r="AB4" s="153" t="s">
        <v>516</v>
      </c>
      <c r="AC4" s="116" t="s">
        <v>149</v>
      </c>
      <c r="AD4" s="153" t="s">
        <v>516</v>
      </c>
      <c r="AE4" s="153" t="s">
        <v>516</v>
      </c>
      <c r="AF4" s="153" t="s">
        <v>516</v>
      </c>
      <c r="AG4" s="153" t="s">
        <v>516</v>
      </c>
      <c r="AH4" s="144" t="s">
        <v>753</v>
      </c>
      <c r="AI4" s="157" t="s">
        <v>283</v>
      </c>
      <c r="AJ4" s="157" t="s">
        <v>283</v>
      </c>
      <c r="AK4" s="157" t="s">
        <v>283</v>
      </c>
      <c r="AL4" s="157" t="s">
        <v>283</v>
      </c>
      <c r="AM4" s="144" t="s">
        <v>753</v>
      </c>
      <c r="AN4" s="157" t="s">
        <v>287</v>
      </c>
      <c r="AO4" s="157" t="s">
        <v>287</v>
      </c>
      <c r="AP4" s="157" t="s">
        <v>287</v>
      </c>
      <c r="AQ4" s="157" t="s">
        <v>287</v>
      </c>
      <c r="AR4" s="157" t="s">
        <v>287</v>
      </c>
      <c r="AS4" s="144" t="s">
        <v>753</v>
      </c>
      <c r="AT4" s="144" t="s">
        <v>753</v>
      </c>
      <c r="AU4" s="144" t="s">
        <v>753</v>
      </c>
      <c r="AV4" s="153" t="s">
        <v>516</v>
      </c>
      <c r="AW4" s="153" t="s">
        <v>516</v>
      </c>
      <c r="AX4" s="153" t="s">
        <v>516</v>
      </c>
      <c r="AY4" s="153" t="s">
        <v>516</v>
      </c>
      <c r="AZ4" s="153" t="s">
        <v>516</v>
      </c>
      <c r="BA4" s="153" t="s">
        <v>516</v>
      </c>
      <c r="BB4" s="153" t="s">
        <v>516</v>
      </c>
      <c r="BC4" s="153" t="s">
        <v>516</v>
      </c>
      <c r="BD4" s="153" t="s">
        <v>516</v>
      </c>
    </row>
    <row r="5" spans="1:56" ht="27" hidden="1" customHeight="1" x14ac:dyDescent="0.2">
      <c r="A5" s="110" t="s">
        <v>395</v>
      </c>
      <c r="B5" s="158"/>
      <c r="C5" s="154" t="s">
        <v>678</v>
      </c>
      <c r="D5" s="116" t="s">
        <v>172</v>
      </c>
      <c r="E5" s="116"/>
      <c r="F5" s="116" t="s">
        <v>175</v>
      </c>
      <c r="G5" s="154" t="s">
        <v>176</v>
      </c>
      <c r="H5" s="154" t="s">
        <v>177</v>
      </c>
      <c r="I5" s="154" t="s">
        <v>514</v>
      </c>
      <c r="J5" s="154" t="s">
        <v>515</v>
      </c>
      <c r="K5" s="116" t="s">
        <v>161</v>
      </c>
      <c r="L5" s="154" t="s">
        <v>180</v>
      </c>
      <c r="M5" s="154" t="s">
        <v>181</v>
      </c>
      <c r="N5" s="154" t="s">
        <v>528</v>
      </c>
      <c r="O5" s="154" t="s">
        <v>529</v>
      </c>
      <c r="P5" s="154" t="s">
        <v>528</v>
      </c>
      <c r="Q5" s="154" t="s">
        <v>529</v>
      </c>
      <c r="R5" s="154" t="s">
        <v>528</v>
      </c>
      <c r="S5" s="154" t="s">
        <v>529</v>
      </c>
      <c r="T5" s="154" t="s">
        <v>564</v>
      </c>
      <c r="U5" s="154" t="s">
        <v>565</v>
      </c>
      <c r="V5" s="154" t="s">
        <v>188</v>
      </c>
      <c r="W5" s="115" t="s">
        <v>811</v>
      </c>
      <c r="X5" s="115" t="s">
        <v>812</v>
      </c>
      <c r="Y5" s="154" t="s">
        <v>601</v>
      </c>
      <c r="Z5" s="154" t="s">
        <v>604</v>
      </c>
      <c r="AA5" s="154" t="s">
        <v>194</v>
      </c>
      <c r="AB5" s="154" t="s">
        <v>607</v>
      </c>
      <c r="AC5" s="116" t="s">
        <v>517</v>
      </c>
      <c r="AD5" s="154" t="s">
        <v>179</v>
      </c>
      <c r="AE5" s="115" t="s">
        <v>572</v>
      </c>
      <c r="AF5" s="115" t="s">
        <v>573</v>
      </c>
      <c r="AG5" s="115" t="s">
        <v>702</v>
      </c>
      <c r="AH5" s="122"/>
      <c r="AI5" s="153" t="s">
        <v>285</v>
      </c>
      <c r="AJ5" s="153" t="s">
        <v>286</v>
      </c>
      <c r="AK5" s="153" t="s">
        <v>284</v>
      </c>
      <c r="AL5" s="153" t="s">
        <v>131</v>
      </c>
      <c r="AM5" s="122"/>
      <c r="AN5" s="153" t="s">
        <v>288</v>
      </c>
      <c r="AO5" s="115" t="s">
        <v>289</v>
      </c>
      <c r="AP5" s="115" t="s">
        <v>290</v>
      </c>
      <c r="AQ5" s="115" t="s">
        <v>132</v>
      </c>
      <c r="AR5" s="115" t="s">
        <v>133</v>
      </c>
      <c r="AS5" s="115"/>
      <c r="AT5" s="115"/>
      <c r="AU5" s="115"/>
      <c r="AV5" s="115" t="s">
        <v>814</v>
      </c>
      <c r="AW5" s="115" t="s">
        <v>815</v>
      </c>
      <c r="AX5" s="115" t="s">
        <v>816</v>
      </c>
      <c r="AY5" s="115" t="s">
        <v>817</v>
      </c>
      <c r="AZ5" s="115" t="s">
        <v>818</v>
      </c>
      <c r="BA5" s="115" t="s">
        <v>820</v>
      </c>
      <c r="BB5" s="115" t="s">
        <v>821</v>
      </c>
      <c r="BC5" s="115" t="s">
        <v>822</v>
      </c>
      <c r="BD5" s="115" t="s">
        <v>876</v>
      </c>
    </row>
    <row r="6" spans="1:56" ht="27" hidden="1" customHeight="1" x14ac:dyDescent="0.2">
      <c r="A6" s="110" t="s">
        <v>166</v>
      </c>
      <c r="B6" s="112"/>
      <c r="C6" s="115" t="s">
        <v>134</v>
      </c>
      <c r="D6" s="115" t="s">
        <v>134</v>
      </c>
      <c r="E6" s="115" t="s">
        <v>170</v>
      </c>
      <c r="F6" s="115" t="s">
        <v>134</v>
      </c>
      <c r="G6" s="115" t="s">
        <v>134</v>
      </c>
      <c r="H6" s="115" t="s">
        <v>134</v>
      </c>
      <c r="I6" s="115" t="s">
        <v>134</v>
      </c>
      <c r="J6" s="115" t="s">
        <v>134</v>
      </c>
      <c r="K6" s="115" t="s">
        <v>134</v>
      </c>
      <c r="L6" s="115" t="s">
        <v>134</v>
      </c>
      <c r="M6" s="115" t="s">
        <v>134</v>
      </c>
      <c r="N6" s="154" t="s">
        <v>674</v>
      </c>
      <c r="O6" s="115" t="s">
        <v>134</v>
      </c>
      <c r="P6" s="154" t="s">
        <v>674</v>
      </c>
      <c r="Q6" s="115" t="s">
        <v>134</v>
      </c>
      <c r="R6" s="154" t="s">
        <v>674</v>
      </c>
      <c r="S6" s="115" t="s">
        <v>134</v>
      </c>
      <c r="T6" s="115" t="s">
        <v>134</v>
      </c>
      <c r="U6" s="115" t="s">
        <v>134</v>
      </c>
      <c r="V6" s="115" t="s">
        <v>134</v>
      </c>
      <c r="W6" s="122" t="s">
        <v>134</v>
      </c>
      <c r="X6" s="122" t="s">
        <v>813</v>
      </c>
      <c r="Y6" s="154" t="s">
        <v>134</v>
      </c>
      <c r="Z6" s="154" t="s">
        <v>134</v>
      </c>
      <c r="AA6" s="154" t="s">
        <v>134</v>
      </c>
      <c r="AB6" s="154" t="s">
        <v>134</v>
      </c>
      <c r="AC6" s="154" t="s">
        <v>178</v>
      </c>
      <c r="AD6" s="115" t="s">
        <v>134</v>
      </c>
      <c r="AE6" s="154" t="s">
        <v>597</v>
      </c>
      <c r="AF6" s="115" t="s">
        <v>134</v>
      </c>
      <c r="AG6" s="115" t="s">
        <v>134</v>
      </c>
      <c r="AH6" s="115" t="s">
        <v>178</v>
      </c>
      <c r="AI6" s="122" t="s">
        <v>183</v>
      </c>
      <c r="AJ6" s="122" t="s">
        <v>183</v>
      </c>
      <c r="AK6" s="122" t="s">
        <v>183</v>
      </c>
      <c r="AL6" s="122" t="s">
        <v>183</v>
      </c>
      <c r="AM6" s="115" t="s">
        <v>178</v>
      </c>
      <c r="AN6" s="122" t="s">
        <v>183</v>
      </c>
      <c r="AO6" s="122" t="s">
        <v>183</v>
      </c>
      <c r="AP6" s="122" t="s">
        <v>183</v>
      </c>
      <c r="AQ6" s="122" t="s">
        <v>183</v>
      </c>
      <c r="AR6" s="122" t="s">
        <v>183</v>
      </c>
      <c r="AS6" s="115" t="s">
        <v>178</v>
      </c>
      <c r="AT6" s="115" t="s">
        <v>178</v>
      </c>
      <c r="AU6" s="122" t="s">
        <v>183</v>
      </c>
      <c r="AV6" s="122" t="s">
        <v>134</v>
      </c>
      <c r="AW6" s="122" t="s">
        <v>134</v>
      </c>
      <c r="AX6" s="122" t="s">
        <v>134</v>
      </c>
      <c r="AY6" s="122" t="s">
        <v>134</v>
      </c>
      <c r="AZ6" s="122" t="s">
        <v>134</v>
      </c>
      <c r="BA6" s="122" t="s">
        <v>134</v>
      </c>
      <c r="BB6" s="122" t="s">
        <v>134</v>
      </c>
      <c r="BC6" s="122" t="s">
        <v>134</v>
      </c>
      <c r="BD6" s="122" t="s">
        <v>134</v>
      </c>
    </row>
    <row r="7" spans="1:56" ht="27" hidden="1" customHeight="1" x14ac:dyDescent="0.2">
      <c r="A7" s="110" t="s">
        <v>167</v>
      </c>
      <c r="B7" s="112"/>
      <c r="C7" s="115" t="s">
        <v>169</v>
      </c>
      <c r="D7" s="115" t="s">
        <v>169</v>
      </c>
      <c r="E7" s="115" t="s">
        <v>171</v>
      </c>
      <c r="F7" s="115" t="s">
        <v>173</v>
      </c>
      <c r="G7" s="115" t="s">
        <v>173</v>
      </c>
      <c r="H7" s="115" t="s">
        <v>173</v>
      </c>
      <c r="I7" s="115" t="s">
        <v>173</v>
      </c>
      <c r="J7" s="115" t="s">
        <v>173</v>
      </c>
      <c r="K7" s="115" t="s">
        <v>169</v>
      </c>
      <c r="L7" s="115" t="s">
        <v>173</v>
      </c>
      <c r="M7" s="115" t="s">
        <v>173</v>
      </c>
      <c r="N7" s="154" t="s">
        <v>171</v>
      </c>
      <c r="O7" s="115" t="s">
        <v>169</v>
      </c>
      <c r="P7" s="154" t="s">
        <v>171</v>
      </c>
      <c r="Q7" s="115" t="s">
        <v>169</v>
      </c>
      <c r="R7" s="154" t="s">
        <v>171</v>
      </c>
      <c r="S7" s="115" t="s">
        <v>169</v>
      </c>
      <c r="T7" s="115" t="s">
        <v>169</v>
      </c>
      <c r="U7" s="115" t="s">
        <v>169</v>
      </c>
      <c r="V7" s="115" t="s">
        <v>185</v>
      </c>
      <c r="W7" s="122" t="s">
        <v>173</v>
      </c>
      <c r="X7" s="122" t="s">
        <v>171</v>
      </c>
      <c r="Y7" s="154" t="s">
        <v>185</v>
      </c>
      <c r="Z7" s="154" t="s">
        <v>169</v>
      </c>
      <c r="AA7" s="154" t="s">
        <v>169</v>
      </c>
      <c r="AB7" s="154" t="s">
        <v>169</v>
      </c>
      <c r="AC7" s="154" t="s">
        <v>171</v>
      </c>
      <c r="AD7" s="115" t="s">
        <v>173</v>
      </c>
      <c r="AE7" s="154" t="s">
        <v>171</v>
      </c>
      <c r="AF7" s="115" t="s">
        <v>169</v>
      </c>
      <c r="AG7" s="115" t="s">
        <v>169</v>
      </c>
      <c r="AH7" s="115" t="s">
        <v>171</v>
      </c>
      <c r="AI7" s="122" t="s">
        <v>183</v>
      </c>
      <c r="AJ7" s="122" t="s">
        <v>183</v>
      </c>
      <c r="AK7" s="122" t="s">
        <v>183</v>
      </c>
      <c r="AL7" s="122" t="s">
        <v>183</v>
      </c>
      <c r="AM7" s="115" t="s">
        <v>171</v>
      </c>
      <c r="AN7" s="122" t="s">
        <v>183</v>
      </c>
      <c r="AO7" s="122" t="s">
        <v>183</v>
      </c>
      <c r="AP7" s="122" t="s">
        <v>183</v>
      </c>
      <c r="AQ7" s="122" t="s">
        <v>183</v>
      </c>
      <c r="AR7" s="122" t="s">
        <v>183</v>
      </c>
      <c r="AS7" s="115" t="s">
        <v>171</v>
      </c>
      <c r="AT7" s="115" t="s">
        <v>171</v>
      </c>
      <c r="AU7" s="122" t="s">
        <v>183</v>
      </c>
      <c r="AV7" s="122" t="s">
        <v>185</v>
      </c>
      <c r="AW7" s="122" t="s">
        <v>185</v>
      </c>
      <c r="AX7" s="122" t="s">
        <v>185</v>
      </c>
      <c r="AY7" s="122" t="s">
        <v>185</v>
      </c>
      <c r="AZ7" s="122" t="s">
        <v>185</v>
      </c>
      <c r="BA7" s="122" t="s">
        <v>185</v>
      </c>
      <c r="BB7" s="122" t="s">
        <v>185</v>
      </c>
      <c r="BC7" s="122" t="s">
        <v>185</v>
      </c>
      <c r="BD7" s="122" t="s">
        <v>169</v>
      </c>
    </row>
    <row r="8" spans="1:56" ht="27" hidden="1" customHeight="1" x14ac:dyDescent="0.2">
      <c r="A8" s="110" t="s">
        <v>168</v>
      </c>
      <c r="B8" s="112"/>
      <c r="C8" s="115">
        <v>150</v>
      </c>
      <c r="D8" s="115">
        <v>20</v>
      </c>
      <c r="E8" s="115" t="s">
        <v>134</v>
      </c>
      <c r="F8" s="115" t="s">
        <v>174</v>
      </c>
      <c r="G8" s="115" t="s">
        <v>174</v>
      </c>
      <c r="H8" s="115" t="s">
        <v>174</v>
      </c>
      <c r="I8" s="115" t="s">
        <v>174</v>
      </c>
      <c r="J8" s="115" t="s">
        <v>174</v>
      </c>
      <c r="K8" s="115">
        <v>1500</v>
      </c>
      <c r="L8" s="115" t="s">
        <v>174</v>
      </c>
      <c r="M8" s="115" t="s">
        <v>174</v>
      </c>
      <c r="N8" s="154" t="s">
        <v>134</v>
      </c>
      <c r="O8" s="115">
        <v>250</v>
      </c>
      <c r="P8" s="154" t="s">
        <v>134</v>
      </c>
      <c r="Q8" s="115">
        <v>250</v>
      </c>
      <c r="R8" s="154" t="s">
        <v>134</v>
      </c>
      <c r="S8" s="115">
        <v>250</v>
      </c>
      <c r="T8" s="115">
        <v>250</v>
      </c>
      <c r="U8" s="115">
        <v>250</v>
      </c>
      <c r="V8" s="115">
        <v>10</v>
      </c>
      <c r="W8" s="122" t="s">
        <v>174</v>
      </c>
      <c r="X8" s="122" t="s">
        <v>134</v>
      </c>
      <c r="Y8" s="154">
        <v>10</v>
      </c>
      <c r="Z8" s="154">
        <v>10</v>
      </c>
      <c r="AA8" s="154">
        <v>750</v>
      </c>
      <c r="AB8" s="154">
        <v>250</v>
      </c>
      <c r="AC8" s="154" t="s">
        <v>134</v>
      </c>
      <c r="AD8" s="115" t="s">
        <v>174</v>
      </c>
      <c r="AE8" s="154" t="s">
        <v>134</v>
      </c>
      <c r="AF8" s="115">
        <v>255</v>
      </c>
      <c r="AG8" s="115">
        <v>1500</v>
      </c>
      <c r="AH8" s="115" t="s">
        <v>134</v>
      </c>
      <c r="AI8" s="122" t="s">
        <v>183</v>
      </c>
      <c r="AJ8" s="122" t="s">
        <v>183</v>
      </c>
      <c r="AK8" s="122" t="s">
        <v>183</v>
      </c>
      <c r="AL8" s="122" t="s">
        <v>183</v>
      </c>
      <c r="AM8" s="115" t="s">
        <v>134</v>
      </c>
      <c r="AN8" s="122" t="s">
        <v>183</v>
      </c>
      <c r="AO8" s="122" t="s">
        <v>183</v>
      </c>
      <c r="AP8" s="122" t="s">
        <v>183</v>
      </c>
      <c r="AQ8" s="122" t="s">
        <v>183</v>
      </c>
      <c r="AR8" s="122" t="s">
        <v>183</v>
      </c>
      <c r="AS8" s="115" t="s">
        <v>134</v>
      </c>
      <c r="AT8" s="115" t="s">
        <v>134</v>
      </c>
      <c r="AU8" s="122" t="s">
        <v>183</v>
      </c>
      <c r="AV8" s="122">
        <v>10</v>
      </c>
      <c r="AW8" s="122">
        <v>10</v>
      </c>
      <c r="AX8" s="122">
        <v>10</v>
      </c>
      <c r="AY8" s="122">
        <v>10</v>
      </c>
      <c r="AZ8" s="122">
        <v>10</v>
      </c>
      <c r="BA8" s="122">
        <v>10</v>
      </c>
      <c r="BB8" s="122">
        <v>10</v>
      </c>
      <c r="BC8" s="122">
        <v>10</v>
      </c>
      <c r="BD8" s="122">
        <v>255</v>
      </c>
    </row>
    <row r="9" spans="1:56" ht="27" hidden="1" customHeight="1" x14ac:dyDescent="0.2">
      <c r="A9" s="110" t="s">
        <v>396</v>
      </c>
      <c r="B9" s="156"/>
      <c r="C9" s="153"/>
      <c r="D9" s="153"/>
      <c r="E9" s="153"/>
      <c r="F9" s="153"/>
      <c r="G9" s="153"/>
      <c r="H9" s="153"/>
      <c r="I9" s="153"/>
      <c r="J9" s="153"/>
      <c r="K9" s="153"/>
      <c r="L9" s="153"/>
      <c r="M9" s="153"/>
      <c r="N9" s="115"/>
      <c r="O9" s="115"/>
      <c r="P9" s="115"/>
      <c r="Q9" s="115"/>
      <c r="R9" s="115"/>
      <c r="S9" s="115"/>
      <c r="T9" s="115"/>
      <c r="U9" s="115"/>
      <c r="V9" s="159"/>
      <c r="W9" s="144"/>
      <c r="X9" s="144"/>
      <c r="Y9" s="115"/>
      <c r="Z9" s="115"/>
      <c r="AA9" s="115"/>
      <c r="AB9" s="122"/>
      <c r="AC9" s="116"/>
      <c r="AD9" s="153" t="s">
        <v>708</v>
      </c>
      <c r="AE9" s="153" t="s">
        <v>708</v>
      </c>
      <c r="AF9" s="153" t="s">
        <v>709</v>
      </c>
      <c r="AG9" s="153" t="s">
        <v>710</v>
      </c>
      <c r="AH9" s="144" t="s">
        <v>704</v>
      </c>
      <c r="AI9" s="144" t="s">
        <v>711</v>
      </c>
      <c r="AJ9" s="144" t="s">
        <v>711</v>
      </c>
      <c r="AK9" s="144" t="s">
        <v>711</v>
      </c>
      <c r="AL9" s="144" t="s">
        <v>711</v>
      </c>
      <c r="AM9" s="144" t="s">
        <v>704</v>
      </c>
      <c r="AN9" s="144" t="s">
        <v>712</v>
      </c>
      <c r="AO9" s="144" t="s">
        <v>712</v>
      </c>
      <c r="AP9" s="144" t="s">
        <v>712</v>
      </c>
      <c r="AQ9" s="144" t="s">
        <v>712</v>
      </c>
      <c r="AR9" s="144" t="s">
        <v>712</v>
      </c>
      <c r="AS9" s="144" t="s">
        <v>704</v>
      </c>
      <c r="AT9" s="144" t="s">
        <v>704</v>
      </c>
      <c r="AU9" s="144" t="s">
        <v>713</v>
      </c>
      <c r="AV9" s="144"/>
      <c r="AW9" s="144"/>
      <c r="AX9" s="144"/>
      <c r="AY9" s="144"/>
      <c r="AZ9" s="144"/>
      <c r="BA9" s="144"/>
      <c r="BB9" s="144"/>
      <c r="BC9" s="144"/>
      <c r="BD9" s="144" t="s">
        <v>877</v>
      </c>
    </row>
    <row r="10" spans="1:56" ht="35.15" hidden="1" customHeight="1" x14ac:dyDescent="0.25">
      <c r="A10" s="86" t="s">
        <v>752</v>
      </c>
      <c r="B10" s="94"/>
      <c r="C10" s="87" t="s">
        <v>755</v>
      </c>
      <c r="D10" s="87" t="s">
        <v>756</v>
      </c>
      <c r="E10" s="87" t="s">
        <v>757</v>
      </c>
      <c r="F10" s="87" t="s">
        <v>758</v>
      </c>
      <c r="G10" s="87" t="s">
        <v>759</v>
      </c>
      <c r="H10" s="88" t="s">
        <v>833</v>
      </c>
      <c r="I10" s="88" t="s">
        <v>805</v>
      </c>
      <c r="J10" s="88" t="s">
        <v>831</v>
      </c>
      <c r="K10" s="87" t="s">
        <v>760</v>
      </c>
      <c r="L10" s="87" t="s">
        <v>761</v>
      </c>
      <c r="M10" s="87" t="s">
        <v>762</v>
      </c>
      <c r="N10" s="88"/>
      <c r="O10" s="88"/>
      <c r="P10" s="88"/>
      <c r="Q10" s="88"/>
      <c r="R10" s="88"/>
      <c r="S10" s="88"/>
      <c r="T10" s="88"/>
      <c r="U10" s="88"/>
      <c r="V10" s="99"/>
      <c r="W10" s="88"/>
      <c r="X10" s="88"/>
      <c r="Y10" s="88"/>
      <c r="Z10" s="88"/>
      <c r="AA10" s="97"/>
      <c r="AB10" s="100"/>
      <c r="AC10" s="89"/>
      <c r="AD10" s="87"/>
      <c r="AE10" s="87"/>
      <c r="AF10" s="87"/>
      <c r="AG10" s="87"/>
      <c r="AH10" s="90" t="s">
        <v>1002</v>
      </c>
      <c r="AI10" s="90"/>
      <c r="AJ10" s="90"/>
      <c r="AK10" s="90"/>
      <c r="AL10" s="90"/>
      <c r="AM10" s="90"/>
      <c r="AN10" s="90"/>
      <c r="AO10" s="90"/>
      <c r="AP10" s="90"/>
      <c r="AQ10" s="90"/>
      <c r="AR10" s="90"/>
      <c r="AS10" s="90"/>
      <c r="AT10" s="90"/>
      <c r="AU10" s="90"/>
      <c r="AV10" s="90"/>
      <c r="AW10" s="90"/>
      <c r="AX10" s="90"/>
      <c r="AY10" s="90"/>
      <c r="AZ10" s="90"/>
      <c r="BA10" s="90"/>
      <c r="BB10" s="90"/>
      <c r="BC10" s="90"/>
      <c r="BD10" s="90"/>
    </row>
    <row r="11" spans="1:56" ht="14" x14ac:dyDescent="0.3">
      <c r="A11" s="70"/>
      <c r="B11" s="71"/>
      <c r="C11" s="69">
        <f>Cover!$C$2</f>
        <v>0</v>
      </c>
      <c r="D11" s="71"/>
      <c r="E11" s="71"/>
      <c r="F11" s="71"/>
      <c r="G11" s="71"/>
      <c r="H11" s="71"/>
      <c r="I11" s="71"/>
      <c r="J11" s="71"/>
      <c r="K11" s="71"/>
      <c r="L11" s="71"/>
      <c r="M11" s="71"/>
      <c r="N11" s="67"/>
      <c r="O11" s="67"/>
      <c r="P11" s="67"/>
      <c r="Q11" s="67"/>
      <c r="R11" s="67"/>
      <c r="S11" s="67"/>
      <c r="T11" s="78"/>
      <c r="U11" s="78"/>
      <c r="V11" s="80"/>
      <c r="W11" s="78"/>
      <c r="X11" s="78"/>
      <c r="Y11" s="78"/>
      <c r="Z11" s="78"/>
      <c r="AA11" s="77"/>
      <c r="AB11" s="81"/>
      <c r="AC11" s="68"/>
      <c r="AD11" s="68"/>
      <c r="AE11" s="68"/>
      <c r="AF11" s="68"/>
      <c r="AG11" s="68"/>
      <c r="AH11" s="72"/>
      <c r="AI11" s="73"/>
      <c r="AJ11" s="73"/>
      <c r="AK11" s="73"/>
      <c r="AL11" s="73"/>
      <c r="AM11" s="72"/>
      <c r="AN11" s="73"/>
      <c r="AO11" s="73"/>
      <c r="AP11" s="73"/>
      <c r="AQ11" s="73"/>
      <c r="AR11" s="73"/>
      <c r="AS11" s="72"/>
      <c r="AT11" s="72"/>
      <c r="AU11" s="72"/>
      <c r="AV11" s="72"/>
      <c r="AW11" s="72"/>
      <c r="AX11" s="72"/>
      <c r="AY11" s="72"/>
      <c r="AZ11" s="72"/>
      <c r="BA11" s="72"/>
      <c r="BB11" s="72"/>
      <c r="BC11" s="72"/>
      <c r="BD11" s="216"/>
    </row>
    <row r="12" spans="1:56" s="161" customFormat="1" ht="130" x14ac:dyDescent="0.3">
      <c r="A12" s="229" t="s">
        <v>164</v>
      </c>
      <c r="B12" s="227"/>
      <c r="C12" s="232" t="s">
        <v>7</v>
      </c>
      <c r="D12" s="232" t="s">
        <v>152</v>
      </c>
      <c r="E12" s="232" t="s">
        <v>153</v>
      </c>
      <c r="F12" s="232" t="s">
        <v>154</v>
      </c>
      <c r="G12" s="232" t="s">
        <v>676</v>
      </c>
      <c r="H12" s="232" t="s">
        <v>677</v>
      </c>
      <c r="I12" s="232" t="s">
        <v>510</v>
      </c>
      <c r="J12" s="232" t="s">
        <v>511</v>
      </c>
      <c r="K12" s="232" t="s">
        <v>157</v>
      </c>
      <c r="L12" s="308" t="s">
        <v>158</v>
      </c>
      <c r="M12" s="308" t="s">
        <v>159</v>
      </c>
      <c r="N12" s="232" t="s">
        <v>675</v>
      </c>
      <c r="O12" s="232" t="s">
        <v>524</v>
      </c>
      <c r="P12" s="308" t="s">
        <v>741</v>
      </c>
      <c r="Q12" s="232" t="s">
        <v>526</v>
      </c>
      <c r="R12" s="308" t="s">
        <v>742</v>
      </c>
      <c r="S12" s="232" t="s">
        <v>527</v>
      </c>
      <c r="T12" s="232" t="s">
        <v>445</v>
      </c>
      <c r="U12" s="232" t="s">
        <v>446</v>
      </c>
      <c r="V12" s="232" t="s">
        <v>441</v>
      </c>
      <c r="W12" s="232" t="s">
        <v>447</v>
      </c>
      <c r="X12" s="232" t="s">
        <v>448</v>
      </c>
      <c r="Y12" s="232" t="s">
        <v>451</v>
      </c>
      <c r="Z12" s="232" t="s">
        <v>501</v>
      </c>
      <c r="AA12" s="232" t="s">
        <v>743</v>
      </c>
      <c r="AB12" s="232" t="s">
        <v>606</v>
      </c>
      <c r="AC12" s="232" t="s">
        <v>155</v>
      </c>
      <c r="AD12" s="232" t="s">
        <v>156</v>
      </c>
      <c r="AE12" s="232" t="s">
        <v>569</v>
      </c>
      <c r="AF12" s="232" t="s">
        <v>570</v>
      </c>
      <c r="AG12" s="232" t="s">
        <v>571</v>
      </c>
      <c r="AH12" s="232" t="s">
        <v>379</v>
      </c>
      <c r="AI12" s="232" t="s">
        <v>381</v>
      </c>
      <c r="AJ12" s="232" t="s">
        <v>380</v>
      </c>
      <c r="AK12" s="232" t="s">
        <v>384</v>
      </c>
      <c r="AL12" s="232" t="s">
        <v>382</v>
      </c>
      <c r="AM12" s="232" t="s">
        <v>383</v>
      </c>
      <c r="AN12" s="232" t="s">
        <v>385</v>
      </c>
      <c r="AO12" s="232" t="s">
        <v>386</v>
      </c>
      <c r="AP12" s="232" t="s">
        <v>387</v>
      </c>
      <c r="AQ12" s="232" t="s">
        <v>388</v>
      </c>
      <c r="AR12" s="232" t="s">
        <v>389</v>
      </c>
      <c r="AS12" s="232" t="s">
        <v>390</v>
      </c>
      <c r="AT12" s="232" t="s">
        <v>392</v>
      </c>
      <c r="AU12" s="232" t="s">
        <v>391</v>
      </c>
      <c r="AV12" s="232" t="s">
        <v>814</v>
      </c>
      <c r="AW12" s="232" t="s">
        <v>815</v>
      </c>
      <c r="AX12" s="232" t="s">
        <v>816</v>
      </c>
      <c r="AY12" s="232" t="s">
        <v>817</v>
      </c>
      <c r="AZ12" s="232" t="s">
        <v>818</v>
      </c>
      <c r="BA12" s="232" t="s">
        <v>820</v>
      </c>
      <c r="BB12" s="232" t="s">
        <v>821</v>
      </c>
      <c r="BC12" s="232" t="s">
        <v>822</v>
      </c>
      <c r="BD12" s="232" t="s">
        <v>876</v>
      </c>
    </row>
    <row r="13" spans="1:56" s="186" customFormat="1" ht="12.75" customHeight="1" x14ac:dyDescent="0.25">
      <c r="A13" s="238" t="s">
        <v>165</v>
      </c>
      <c r="B13" s="241"/>
      <c r="C13" s="242"/>
      <c r="D13" s="242"/>
      <c r="E13" s="242"/>
      <c r="F13" s="248"/>
      <c r="G13" s="248"/>
      <c r="H13" s="248"/>
      <c r="I13" s="248"/>
      <c r="J13" s="248"/>
      <c r="K13" s="242"/>
      <c r="L13" s="248"/>
      <c r="M13" s="248"/>
      <c r="N13" s="244"/>
      <c r="O13" s="244"/>
      <c r="P13" s="244"/>
      <c r="Q13" s="244"/>
      <c r="R13" s="244"/>
      <c r="S13" s="244"/>
      <c r="T13" s="244"/>
      <c r="U13" s="244"/>
      <c r="V13" s="242"/>
      <c r="W13" s="250"/>
      <c r="X13" s="244"/>
      <c r="Y13" s="244"/>
      <c r="Z13" s="244"/>
      <c r="AA13" s="242"/>
      <c r="AB13" s="244"/>
      <c r="AC13" s="244"/>
      <c r="AD13" s="249"/>
      <c r="AE13" s="247"/>
      <c r="AF13" s="247"/>
      <c r="AG13" s="247"/>
      <c r="AH13" s="244"/>
      <c r="AI13" s="247"/>
      <c r="AJ13" s="247"/>
      <c r="AK13" s="247"/>
      <c r="AL13" s="247"/>
      <c r="AM13" s="244"/>
      <c r="AN13" s="247"/>
      <c r="AO13" s="247"/>
      <c r="AP13" s="247"/>
      <c r="AQ13" s="247"/>
      <c r="AR13" s="247"/>
      <c r="AS13" s="244"/>
      <c r="AT13" s="244"/>
      <c r="AU13" s="247"/>
      <c r="AV13" s="242"/>
      <c r="AW13" s="242"/>
      <c r="AX13" s="242"/>
      <c r="AY13" s="242"/>
      <c r="AZ13" s="242"/>
      <c r="BA13" s="242"/>
      <c r="BB13" s="242"/>
      <c r="BC13" s="242"/>
      <c r="BD13" s="244"/>
    </row>
    <row r="14" spans="1:56" s="186" customFormat="1" ht="12.75" customHeight="1" x14ac:dyDescent="0.25">
      <c r="A14" s="238"/>
      <c r="B14" s="241"/>
      <c r="C14" s="242"/>
      <c r="D14" s="242"/>
      <c r="E14" s="242"/>
      <c r="F14" s="248"/>
      <c r="G14" s="248"/>
      <c r="H14" s="248"/>
      <c r="I14" s="248"/>
      <c r="J14" s="248"/>
      <c r="K14" s="242"/>
      <c r="L14" s="248"/>
      <c r="M14" s="248"/>
      <c r="N14" s="244"/>
      <c r="O14" s="244"/>
      <c r="P14" s="244"/>
      <c r="Q14" s="244"/>
      <c r="R14" s="244"/>
      <c r="S14" s="244"/>
      <c r="T14" s="244"/>
      <c r="U14" s="244"/>
      <c r="V14" s="242"/>
      <c r="W14" s="250"/>
      <c r="X14" s="244"/>
      <c r="Y14" s="244"/>
      <c r="Z14" s="244"/>
      <c r="AA14" s="242"/>
      <c r="AB14" s="244"/>
      <c r="AC14" s="244"/>
      <c r="AD14" s="249"/>
      <c r="AE14" s="247"/>
      <c r="AF14" s="247"/>
      <c r="AG14" s="247"/>
      <c r="AH14" s="244"/>
      <c r="AI14" s="247"/>
      <c r="AJ14" s="247"/>
      <c r="AK14" s="247"/>
      <c r="AL14" s="247"/>
      <c r="AM14" s="244"/>
      <c r="AN14" s="247"/>
      <c r="AO14" s="247"/>
      <c r="AP14" s="247"/>
      <c r="AQ14" s="247"/>
      <c r="AR14" s="247"/>
      <c r="AS14" s="244"/>
      <c r="AT14" s="244"/>
      <c r="AU14" s="247"/>
      <c r="AV14" s="242"/>
      <c r="AW14" s="242"/>
      <c r="AX14" s="242"/>
      <c r="AY14" s="242"/>
      <c r="AZ14" s="242"/>
      <c r="BA14" s="242"/>
      <c r="BB14" s="242"/>
      <c r="BC14" s="242"/>
      <c r="BD14" s="244"/>
    </row>
    <row r="15" spans="1:56" s="186" customFormat="1" ht="12.75" customHeight="1" x14ac:dyDescent="0.25">
      <c r="A15" s="238"/>
      <c r="B15" s="241"/>
      <c r="C15" s="242"/>
      <c r="D15" s="242"/>
      <c r="E15" s="242"/>
      <c r="F15" s="248"/>
      <c r="G15" s="248"/>
      <c r="H15" s="248"/>
      <c r="I15" s="248"/>
      <c r="J15" s="248"/>
      <c r="K15" s="242"/>
      <c r="L15" s="248"/>
      <c r="M15" s="248"/>
      <c r="N15" s="244"/>
      <c r="O15" s="244"/>
      <c r="P15" s="244"/>
      <c r="Q15" s="244"/>
      <c r="R15" s="244"/>
      <c r="S15" s="244"/>
      <c r="T15" s="244"/>
      <c r="U15" s="244"/>
      <c r="V15" s="242"/>
      <c r="W15" s="250"/>
      <c r="X15" s="244"/>
      <c r="Y15" s="244"/>
      <c r="Z15" s="244"/>
      <c r="AA15" s="242"/>
      <c r="AB15" s="244"/>
      <c r="AC15" s="244"/>
      <c r="AD15" s="249"/>
      <c r="AE15" s="247"/>
      <c r="AF15" s="247"/>
      <c r="AG15" s="247"/>
      <c r="AH15" s="244"/>
      <c r="AI15" s="247"/>
      <c r="AJ15" s="247"/>
      <c r="AK15" s="247"/>
      <c r="AL15" s="247"/>
      <c r="AM15" s="244"/>
      <c r="AN15" s="247"/>
      <c r="AO15" s="247"/>
      <c r="AP15" s="247"/>
      <c r="AQ15" s="247"/>
      <c r="AR15" s="247"/>
      <c r="AS15" s="244"/>
      <c r="AT15" s="244"/>
      <c r="AU15" s="247"/>
      <c r="AV15" s="242"/>
      <c r="AW15" s="242"/>
      <c r="AX15" s="242"/>
      <c r="AY15" s="242"/>
      <c r="AZ15" s="242"/>
      <c r="BA15" s="242"/>
      <c r="BB15" s="242"/>
      <c r="BC15" s="242"/>
      <c r="BD15" s="244"/>
    </row>
    <row r="16" spans="1:56" s="186" customFormat="1" ht="12.75" customHeight="1" x14ac:dyDescent="0.25">
      <c r="A16" s="238"/>
      <c r="B16" s="241"/>
      <c r="C16" s="242"/>
      <c r="D16" s="242"/>
      <c r="E16" s="242"/>
      <c r="F16" s="248"/>
      <c r="G16" s="248"/>
      <c r="H16" s="248"/>
      <c r="I16" s="248"/>
      <c r="J16" s="248"/>
      <c r="K16" s="242"/>
      <c r="L16" s="248"/>
      <c r="M16" s="248"/>
      <c r="N16" s="244"/>
      <c r="O16" s="244"/>
      <c r="P16" s="244"/>
      <c r="Q16" s="244"/>
      <c r="R16" s="244"/>
      <c r="S16" s="244"/>
      <c r="T16" s="244"/>
      <c r="U16" s="244"/>
      <c r="V16" s="242"/>
      <c r="W16" s="250"/>
      <c r="X16" s="244"/>
      <c r="Y16" s="244"/>
      <c r="Z16" s="244"/>
      <c r="AA16" s="242"/>
      <c r="AB16" s="244"/>
      <c r="AC16" s="244"/>
      <c r="AD16" s="249"/>
      <c r="AE16" s="247"/>
      <c r="AF16" s="247"/>
      <c r="AG16" s="247"/>
      <c r="AH16" s="244"/>
      <c r="AI16" s="247"/>
      <c r="AJ16" s="247"/>
      <c r="AK16" s="247"/>
      <c r="AL16" s="247"/>
      <c r="AM16" s="244"/>
      <c r="AN16" s="247"/>
      <c r="AO16" s="247"/>
      <c r="AP16" s="247"/>
      <c r="AQ16" s="247"/>
      <c r="AR16" s="247"/>
      <c r="AS16" s="244"/>
      <c r="AT16" s="244"/>
      <c r="AU16" s="247"/>
      <c r="AV16" s="242"/>
      <c r="AW16" s="242"/>
      <c r="AX16" s="242"/>
      <c r="AY16" s="242"/>
      <c r="AZ16" s="242"/>
      <c r="BA16" s="242"/>
      <c r="BB16" s="242"/>
      <c r="BC16" s="242"/>
      <c r="BD16" s="244"/>
    </row>
    <row r="17" spans="1:56" s="186" customFormat="1" ht="12.75" customHeight="1" x14ac:dyDescent="0.25">
      <c r="A17" s="238"/>
      <c r="B17" s="241"/>
      <c r="C17" s="242"/>
      <c r="D17" s="242"/>
      <c r="E17" s="242"/>
      <c r="F17" s="248"/>
      <c r="G17" s="248"/>
      <c r="H17" s="248"/>
      <c r="I17" s="248"/>
      <c r="J17" s="248"/>
      <c r="K17" s="242"/>
      <c r="L17" s="248"/>
      <c r="M17" s="248"/>
      <c r="N17" s="244"/>
      <c r="O17" s="244"/>
      <c r="P17" s="244"/>
      <c r="Q17" s="244"/>
      <c r="R17" s="244"/>
      <c r="S17" s="244"/>
      <c r="T17" s="244"/>
      <c r="U17" s="244"/>
      <c r="V17" s="242"/>
      <c r="W17" s="250"/>
      <c r="X17" s="244"/>
      <c r="Y17" s="244"/>
      <c r="Z17" s="244"/>
      <c r="AA17" s="242"/>
      <c r="AB17" s="244"/>
      <c r="AC17" s="244"/>
      <c r="AD17" s="249"/>
      <c r="AE17" s="247"/>
      <c r="AF17" s="247"/>
      <c r="AG17" s="247"/>
      <c r="AH17" s="244"/>
      <c r="AI17" s="247"/>
      <c r="AJ17" s="247"/>
      <c r="AK17" s="247"/>
      <c r="AL17" s="247"/>
      <c r="AM17" s="244"/>
      <c r="AN17" s="247"/>
      <c r="AO17" s="247"/>
      <c r="AP17" s="247"/>
      <c r="AQ17" s="247"/>
      <c r="AR17" s="247"/>
      <c r="AS17" s="244"/>
      <c r="AT17" s="244"/>
      <c r="AU17" s="247"/>
      <c r="AV17" s="242"/>
      <c r="AW17" s="242"/>
      <c r="AX17" s="242"/>
      <c r="AY17" s="242"/>
      <c r="AZ17" s="242"/>
      <c r="BA17" s="242"/>
      <c r="BB17" s="242"/>
      <c r="BC17" s="242"/>
      <c r="BD17" s="244"/>
    </row>
    <row r="18" spans="1:56" s="186" customFormat="1" ht="12.75" customHeight="1" x14ac:dyDescent="0.25">
      <c r="A18" s="238"/>
      <c r="B18" s="241"/>
      <c r="C18" s="242"/>
      <c r="D18" s="242"/>
      <c r="E18" s="242"/>
      <c r="F18" s="248"/>
      <c r="G18" s="248"/>
      <c r="H18" s="248"/>
      <c r="I18" s="248"/>
      <c r="J18" s="248"/>
      <c r="K18" s="242"/>
      <c r="L18" s="248"/>
      <c r="M18" s="248"/>
      <c r="N18" s="244"/>
      <c r="O18" s="244"/>
      <c r="P18" s="244"/>
      <c r="Q18" s="244"/>
      <c r="R18" s="244"/>
      <c r="S18" s="244"/>
      <c r="T18" s="244"/>
      <c r="U18" s="244"/>
      <c r="V18" s="242"/>
      <c r="W18" s="250"/>
      <c r="X18" s="244"/>
      <c r="Y18" s="244"/>
      <c r="Z18" s="244"/>
      <c r="AA18" s="244"/>
      <c r="AB18" s="244"/>
      <c r="AC18" s="244"/>
      <c r="AD18" s="249"/>
      <c r="AE18" s="247"/>
      <c r="AF18" s="247"/>
      <c r="AG18" s="247"/>
      <c r="AH18" s="244"/>
      <c r="AI18" s="247"/>
      <c r="AJ18" s="247"/>
      <c r="AK18" s="247"/>
      <c r="AL18" s="247"/>
      <c r="AM18" s="244"/>
      <c r="AN18" s="247"/>
      <c r="AO18" s="247"/>
      <c r="AP18" s="247"/>
      <c r="AQ18" s="247"/>
      <c r="AR18" s="247"/>
      <c r="AS18" s="244"/>
      <c r="AT18" s="244"/>
      <c r="AU18" s="247"/>
      <c r="AV18" s="242"/>
      <c r="AW18" s="242"/>
      <c r="AX18" s="242"/>
      <c r="AY18" s="242"/>
      <c r="AZ18" s="242"/>
      <c r="BA18" s="242"/>
      <c r="BB18" s="242"/>
      <c r="BC18" s="242"/>
      <c r="BD18" s="244"/>
    </row>
    <row r="19" spans="1:56" s="186" customFormat="1" ht="12.75" customHeight="1" x14ac:dyDescent="0.25">
      <c r="A19" s="238"/>
      <c r="B19" s="241"/>
      <c r="C19" s="244"/>
      <c r="D19" s="244"/>
      <c r="E19" s="242"/>
      <c r="F19" s="248"/>
      <c r="G19" s="248"/>
      <c r="H19" s="248"/>
      <c r="I19" s="248"/>
      <c r="J19" s="248"/>
      <c r="K19" s="244"/>
      <c r="L19" s="248"/>
      <c r="M19" s="248"/>
      <c r="N19" s="244"/>
      <c r="O19" s="244"/>
      <c r="P19" s="244"/>
      <c r="Q19" s="244"/>
      <c r="R19" s="244"/>
      <c r="S19" s="244"/>
      <c r="T19" s="244"/>
      <c r="U19" s="244"/>
      <c r="V19" s="244"/>
      <c r="W19" s="250"/>
      <c r="X19" s="244"/>
      <c r="Y19" s="244"/>
      <c r="Z19" s="244"/>
      <c r="AA19" s="244"/>
      <c r="AB19" s="244"/>
      <c r="AC19" s="244"/>
      <c r="AD19" s="249"/>
      <c r="AE19" s="247"/>
      <c r="AF19" s="247"/>
      <c r="AG19" s="247"/>
      <c r="AH19" s="244"/>
      <c r="AI19" s="247"/>
      <c r="AJ19" s="247"/>
      <c r="AK19" s="247"/>
      <c r="AL19" s="247"/>
      <c r="AM19" s="244"/>
      <c r="AN19" s="247"/>
      <c r="AO19" s="247"/>
      <c r="AP19" s="247"/>
      <c r="AQ19" s="247"/>
      <c r="AR19" s="247"/>
      <c r="AS19" s="244"/>
      <c r="AT19" s="244"/>
      <c r="AU19" s="247"/>
      <c r="AV19" s="244"/>
      <c r="AW19" s="244"/>
      <c r="AX19" s="244"/>
      <c r="AY19" s="244"/>
      <c r="AZ19" s="244"/>
      <c r="BA19" s="244"/>
      <c r="BB19" s="244"/>
      <c r="BC19" s="244"/>
      <c r="BD19" s="244"/>
    </row>
    <row r="20" spans="1:56" s="186" customFormat="1" ht="12.75" customHeight="1" x14ac:dyDescent="0.25">
      <c r="A20" s="238"/>
      <c r="B20" s="241"/>
      <c r="C20" s="244"/>
      <c r="D20" s="244"/>
      <c r="E20" s="242"/>
      <c r="F20" s="248"/>
      <c r="G20" s="248"/>
      <c r="H20" s="248"/>
      <c r="I20" s="248"/>
      <c r="J20" s="248"/>
      <c r="K20" s="244"/>
      <c r="L20" s="248"/>
      <c r="M20" s="248"/>
      <c r="N20" s="244"/>
      <c r="O20" s="244"/>
      <c r="P20" s="244"/>
      <c r="Q20" s="244"/>
      <c r="R20" s="244"/>
      <c r="S20" s="244"/>
      <c r="T20" s="244"/>
      <c r="U20" s="244"/>
      <c r="V20" s="244"/>
      <c r="W20" s="250"/>
      <c r="X20" s="244"/>
      <c r="Y20" s="244"/>
      <c r="Z20" s="244"/>
      <c r="AA20" s="244"/>
      <c r="AB20" s="244"/>
      <c r="AC20" s="244"/>
      <c r="AD20" s="249"/>
      <c r="AE20" s="247"/>
      <c r="AF20" s="247"/>
      <c r="AG20" s="247"/>
      <c r="AH20" s="244"/>
      <c r="AI20" s="247"/>
      <c r="AJ20" s="247"/>
      <c r="AK20" s="247"/>
      <c r="AL20" s="247"/>
      <c r="AM20" s="244"/>
      <c r="AN20" s="247"/>
      <c r="AO20" s="247"/>
      <c r="AP20" s="247"/>
      <c r="AQ20" s="247"/>
      <c r="AR20" s="247"/>
      <c r="AS20" s="244"/>
      <c r="AT20" s="244"/>
      <c r="AU20" s="247"/>
      <c r="AV20" s="244"/>
      <c r="AW20" s="244"/>
      <c r="AX20" s="244"/>
      <c r="AY20" s="244"/>
      <c r="AZ20" s="244"/>
      <c r="BA20" s="244"/>
      <c r="BB20" s="244"/>
      <c r="BC20" s="244"/>
      <c r="BD20" s="244"/>
    </row>
    <row r="21" spans="1:56" s="186" customFormat="1" ht="12.75" customHeight="1" x14ac:dyDescent="0.25">
      <c r="A21" s="238"/>
      <c r="B21" s="241"/>
      <c r="C21" s="244"/>
      <c r="D21" s="244"/>
      <c r="E21" s="242"/>
      <c r="F21" s="248"/>
      <c r="G21" s="248"/>
      <c r="H21" s="248"/>
      <c r="I21" s="248"/>
      <c r="J21" s="248"/>
      <c r="K21" s="244"/>
      <c r="L21" s="248"/>
      <c r="M21" s="248"/>
      <c r="N21" s="244"/>
      <c r="O21" s="244"/>
      <c r="P21" s="244"/>
      <c r="Q21" s="244"/>
      <c r="R21" s="244"/>
      <c r="S21" s="244"/>
      <c r="T21" s="244"/>
      <c r="U21" s="244"/>
      <c r="V21" s="244"/>
      <c r="W21" s="250"/>
      <c r="X21" s="244"/>
      <c r="Y21" s="244"/>
      <c r="Z21" s="244"/>
      <c r="AA21" s="244"/>
      <c r="AB21" s="244"/>
      <c r="AC21" s="244"/>
      <c r="AD21" s="249"/>
      <c r="AE21" s="247"/>
      <c r="AF21" s="247"/>
      <c r="AG21" s="247"/>
      <c r="AH21" s="244"/>
      <c r="AI21" s="247"/>
      <c r="AJ21" s="247"/>
      <c r="AK21" s="247"/>
      <c r="AL21" s="247"/>
      <c r="AM21" s="244"/>
      <c r="AN21" s="247"/>
      <c r="AO21" s="247"/>
      <c r="AP21" s="247"/>
      <c r="AQ21" s="247"/>
      <c r="AR21" s="247"/>
      <c r="AS21" s="244"/>
      <c r="AT21" s="244"/>
      <c r="AU21" s="247"/>
      <c r="AV21" s="244"/>
      <c r="AW21" s="244"/>
      <c r="AX21" s="244"/>
      <c r="AY21" s="244"/>
      <c r="AZ21" s="244"/>
      <c r="BA21" s="244"/>
      <c r="BB21" s="244"/>
      <c r="BC21" s="244"/>
      <c r="BD21" s="244"/>
    </row>
    <row r="22" spans="1:56" s="186" customFormat="1" ht="12.75" customHeight="1" x14ac:dyDescent="0.25">
      <c r="A22" s="238"/>
      <c r="B22" s="241"/>
      <c r="C22" s="244"/>
      <c r="D22" s="244"/>
      <c r="E22" s="242"/>
      <c r="F22" s="248"/>
      <c r="G22" s="248"/>
      <c r="H22" s="248"/>
      <c r="I22" s="248"/>
      <c r="J22" s="248"/>
      <c r="K22" s="244"/>
      <c r="L22" s="248"/>
      <c r="M22" s="248"/>
      <c r="N22" s="244"/>
      <c r="O22" s="244"/>
      <c r="P22" s="244"/>
      <c r="Q22" s="244"/>
      <c r="R22" s="244"/>
      <c r="S22" s="244"/>
      <c r="T22" s="244"/>
      <c r="U22" s="244"/>
      <c r="V22" s="244"/>
      <c r="W22" s="250"/>
      <c r="X22" s="244"/>
      <c r="Y22" s="244"/>
      <c r="Z22" s="244"/>
      <c r="AA22" s="244"/>
      <c r="AB22" s="244"/>
      <c r="AC22" s="244"/>
      <c r="AD22" s="249"/>
      <c r="AE22" s="247"/>
      <c r="AF22" s="247"/>
      <c r="AG22" s="247"/>
      <c r="AH22" s="244"/>
      <c r="AI22" s="247"/>
      <c r="AJ22" s="247"/>
      <c r="AK22" s="247"/>
      <c r="AL22" s="247"/>
      <c r="AM22" s="244"/>
      <c r="AN22" s="247"/>
      <c r="AO22" s="247"/>
      <c r="AP22" s="247"/>
      <c r="AQ22" s="247"/>
      <c r="AR22" s="247"/>
      <c r="AS22" s="244"/>
      <c r="AT22" s="244"/>
      <c r="AU22" s="247"/>
      <c r="AV22" s="244"/>
      <c r="AW22" s="244"/>
      <c r="AX22" s="244"/>
      <c r="AY22" s="244"/>
      <c r="AZ22" s="244"/>
      <c r="BA22" s="244"/>
      <c r="BB22" s="244"/>
      <c r="BC22" s="244"/>
      <c r="BD22" s="244"/>
    </row>
    <row r="23" spans="1:56" s="186" customFormat="1" ht="12.75" customHeight="1" x14ac:dyDescent="0.25">
      <c r="A23" s="238"/>
      <c r="B23" s="241"/>
      <c r="C23" s="244"/>
      <c r="D23" s="244"/>
      <c r="E23" s="242"/>
      <c r="F23" s="248"/>
      <c r="G23" s="248"/>
      <c r="H23" s="248"/>
      <c r="I23" s="248"/>
      <c r="J23" s="248"/>
      <c r="K23" s="244"/>
      <c r="L23" s="248"/>
      <c r="M23" s="248"/>
      <c r="N23" s="244"/>
      <c r="O23" s="244"/>
      <c r="P23" s="244"/>
      <c r="Q23" s="244"/>
      <c r="R23" s="244"/>
      <c r="S23" s="244"/>
      <c r="T23" s="244"/>
      <c r="U23" s="244"/>
      <c r="V23" s="244"/>
      <c r="W23" s="250"/>
      <c r="X23" s="244"/>
      <c r="Y23" s="244"/>
      <c r="Z23" s="244"/>
      <c r="AA23" s="244"/>
      <c r="AB23" s="244"/>
      <c r="AC23" s="244"/>
      <c r="AD23" s="249"/>
      <c r="AE23" s="247"/>
      <c r="AF23" s="247"/>
      <c r="AG23" s="247"/>
      <c r="AH23" s="244"/>
      <c r="AI23" s="247"/>
      <c r="AJ23" s="247"/>
      <c r="AK23" s="247"/>
      <c r="AL23" s="247"/>
      <c r="AM23" s="244"/>
      <c r="AN23" s="247"/>
      <c r="AO23" s="247"/>
      <c r="AP23" s="247"/>
      <c r="AQ23" s="247"/>
      <c r="AR23" s="247"/>
      <c r="AS23" s="244"/>
      <c r="AT23" s="244"/>
      <c r="AU23" s="247"/>
      <c r="AV23" s="244"/>
      <c r="AW23" s="244"/>
      <c r="AX23" s="244"/>
      <c r="AY23" s="244"/>
      <c r="AZ23" s="244"/>
      <c r="BA23" s="244"/>
      <c r="BB23" s="244"/>
      <c r="BC23" s="244"/>
      <c r="BD23" s="244"/>
    </row>
    <row r="24" spans="1:56" s="186" customFormat="1" ht="12.75" customHeight="1" x14ac:dyDescent="0.25">
      <c r="A24" s="238"/>
      <c r="B24" s="241"/>
      <c r="C24" s="244"/>
      <c r="D24" s="244"/>
      <c r="E24" s="242"/>
      <c r="F24" s="248"/>
      <c r="G24" s="248"/>
      <c r="H24" s="248"/>
      <c r="I24" s="248"/>
      <c r="J24" s="248"/>
      <c r="K24" s="244"/>
      <c r="L24" s="248"/>
      <c r="M24" s="248"/>
      <c r="N24" s="244"/>
      <c r="O24" s="244"/>
      <c r="P24" s="244"/>
      <c r="Q24" s="244"/>
      <c r="R24" s="244"/>
      <c r="S24" s="244"/>
      <c r="T24" s="244"/>
      <c r="U24" s="244"/>
      <c r="V24" s="244"/>
      <c r="W24" s="250"/>
      <c r="X24" s="244"/>
      <c r="Y24" s="244"/>
      <c r="Z24" s="244"/>
      <c r="AA24" s="244"/>
      <c r="AB24" s="244"/>
      <c r="AC24" s="244"/>
      <c r="AD24" s="249"/>
      <c r="AE24" s="247"/>
      <c r="AF24" s="247"/>
      <c r="AG24" s="247"/>
      <c r="AH24" s="244"/>
      <c r="AI24" s="247"/>
      <c r="AJ24" s="247"/>
      <c r="AK24" s="247"/>
      <c r="AL24" s="247"/>
      <c r="AM24" s="244"/>
      <c r="AN24" s="247"/>
      <c r="AO24" s="247"/>
      <c r="AP24" s="247"/>
      <c r="AQ24" s="247"/>
      <c r="AR24" s="247"/>
      <c r="AS24" s="244"/>
      <c r="AT24" s="244"/>
      <c r="AU24" s="247"/>
      <c r="AV24" s="244"/>
      <c r="AW24" s="244"/>
      <c r="AX24" s="244"/>
      <c r="AY24" s="244"/>
      <c r="AZ24" s="244"/>
      <c r="BA24" s="244"/>
      <c r="BB24" s="244"/>
      <c r="BC24" s="244"/>
      <c r="BD24" s="244"/>
    </row>
    <row r="25" spans="1:56" s="186" customFormat="1" ht="12.75" customHeight="1" x14ac:dyDescent="0.25">
      <c r="A25" s="238"/>
      <c r="B25" s="241"/>
      <c r="C25" s="244"/>
      <c r="D25" s="244"/>
      <c r="E25" s="242"/>
      <c r="F25" s="248"/>
      <c r="G25" s="248"/>
      <c r="H25" s="248"/>
      <c r="I25" s="248"/>
      <c r="J25" s="248"/>
      <c r="K25" s="244"/>
      <c r="L25" s="248"/>
      <c r="M25" s="248"/>
      <c r="N25" s="244"/>
      <c r="O25" s="244"/>
      <c r="P25" s="244"/>
      <c r="Q25" s="244"/>
      <c r="R25" s="244"/>
      <c r="S25" s="244"/>
      <c r="T25" s="244"/>
      <c r="U25" s="244"/>
      <c r="V25" s="244"/>
      <c r="W25" s="250"/>
      <c r="X25" s="244"/>
      <c r="Y25" s="244"/>
      <c r="Z25" s="244"/>
      <c r="AA25" s="244"/>
      <c r="AB25" s="244"/>
      <c r="AC25" s="244"/>
      <c r="AD25" s="249"/>
      <c r="AE25" s="247"/>
      <c r="AF25" s="247"/>
      <c r="AG25" s="247"/>
      <c r="AH25" s="244"/>
      <c r="AI25" s="247"/>
      <c r="AJ25" s="247"/>
      <c r="AK25" s="247"/>
      <c r="AL25" s="247"/>
      <c r="AM25" s="244"/>
      <c r="AN25" s="247"/>
      <c r="AO25" s="247"/>
      <c r="AP25" s="247"/>
      <c r="AQ25" s="247"/>
      <c r="AR25" s="247"/>
      <c r="AS25" s="244"/>
      <c r="AT25" s="244"/>
      <c r="AU25" s="247"/>
      <c r="AV25" s="244"/>
      <c r="AW25" s="244"/>
      <c r="AX25" s="244"/>
      <c r="AY25" s="244"/>
      <c r="AZ25" s="244"/>
      <c r="BA25" s="244"/>
      <c r="BB25" s="244"/>
      <c r="BC25" s="244"/>
      <c r="BD25" s="244"/>
    </row>
    <row r="26" spans="1:56" s="186" customFormat="1" ht="12.75" customHeight="1" x14ac:dyDescent="0.25">
      <c r="A26" s="238"/>
      <c r="B26" s="241"/>
      <c r="C26" s="244"/>
      <c r="D26" s="244"/>
      <c r="E26" s="242"/>
      <c r="F26" s="248"/>
      <c r="G26" s="248"/>
      <c r="H26" s="248"/>
      <c r="I26" s="248"/>
      <c r="J26" s="248"/>
      <c r="K26" s="244"/>
      <c r="L26" s="248"/>
      <c r="M26" s="248"/>
      <c r="N26" s="244"/>
      <c r="O26" s="244"/>
      <c r="P26" s="244"/>
      <c r="Q26" s="244"/>
      <c r="R26" s="244"/>
      <c r="S26" s="244"/>
      <c r="T26" s="244"/>
      <c r="U26" s="244"/>
      <c r="V26" s="244"/>
      <c r="W26" s="250"/>
      <c r="X26" s="244"/>
      <c r="Y26" s="244"/>
      <c r="Z26" s="244"/>
      <c r="AA26" s="244"/>
      <c r="AB26" s="244"/>
      <c r="AC26" s="244"/>
      <c r="AD26" s="249"/>
      <c r="AE26" s="247"/>
      <c r="AF26" s="247"/>
      <c r="AG26" s="247"/>
      <c r="AH26" s="244"/>
      <c r="AI26" s="247"/>
      <c r="AJ26" s="247"/>
      <c r="AK26" s="247"/>
      <c r="AL26" s="247"/>
      <c r="AM26" s="244"/>
      <c r="AN26" s="247"/>
      <c r="AO26" s="247"/>
      <c r="AP26" s="247"/>
      <c r="AQ26" s="247"/>
      <c r="AR26" s="247"/>
      <c r="AS26" s="244"/>
      <c r="AT26" s="244"/>
      <c r="AU26" s="247"/>
      <c r="AV26" s="244"/>
      <c r="AW26" s="244"/>
      <c r="AX26" s="244"/>
      <c r="AY26" s="244"/>
      <c r="AZ26" s="244"/>
      <c r="BA26" s="244"/>
      <c r="BB26" s="244"/>
      <c r="BC26" s="244"/>
      <c r="BD26" s="244"/>
    </row>
    <row r="27" spans="1:56" s="186" customFormat="1" ht="12.75" customHeight="1" x14ac:dyDescent="0.25">
      <c r="A27" s="238"/>
      <c r="B27" s="241"/>
      <c r="C27" s="244"/>
      <c r="D27" s="244"/>
      <c r="E27" s="242"/>
      <c r="F27" s="248"/>
      <c r="G27" s="248"/>
      <c r="H27" s="248"/>
      <c r="I27" s="248"/>
      <c r="J27" s="248"/>
      <c r="K27" s="244"/>
      <c r="L27" s="248"/>
      <c r="M27" s="248"/>
      <c r="N27" s="244"/>
      <c r="O27" s="244"/>
      <c r="P27" s="244"/>
      <c r="Q27" s="244"/>
      <c r="R27" s="244"/>
      <c r="S27" s="244"/>
      <c r="T27" s="244"/>
      <c r="U27" s="244"/>
      <c r="V27" s="244"/>
      <c r="W27" s="250"/>
      <c r="X27" s="244"/>
      <c r="Y27" s="244"/>
      <c r="Z27" s="244"/>
      <c r="AA27" s="244"/>
      <c r="AB27" s="244"/>
      <c r="AC27" s="244"/>
      <c r="AD27" s="249"/>
      <c r="AE27" s="247"/>
      <c r="AF27" s="247"/>
      <c r="AG27" s="247"/>
      <c r="AH27" s="244"/>
      <c r="AI27" s="247"/>
      <c r="AJ27" s="247"/>
      <c r="AK27" s="247"/>
      <c r="AL27" s="247"/>
      <c r="AM27" s="244"/>
      <c r="AN27" s="247"/>
      <c r="AO27" s="247"/>
      <c r="AP27" s="247"/>
      <c r="AQ27" s="247"/>
      <c r="AR27" s="247"/>
      <c r="AS27" s="244"/>
      <c r="AT27" s="244"/>
      <c r="AU27" s="247"/>
      <c r="AV27" s="244"/>
      <c r="AW27" s="244"/>
      <c r="AX27" s="244"/>
      <c r="AY27" s="244"/>
      <c r="AZ27" s="244"/>
      <c r="BA27" s="244"/>
      <c r="BB27" s="244"/>
      <c r="BC27" s="244"/>
      <c r="BD27" s="244"/>
    </row>
    <row r="28" spans="1:56" s="186" customFormat="1" ht="12.75" customHeight="1" x14ac:dyDescent="0.25">
      <c r="A28" s="238"/>
      <c r="B28" s="241"/>
      <c r="C28" s="244"/>
      <c r="D28" s="244"/>
      <c r="E28" s="242"/>
      <c r="F28" s="248"/>
      <c r="G28" s="248"/>
      <c r="H28" s="248"/>
      <c r="I28" s="248"/>
      <c r="J28" s="248"/>
      <c r="K28" s="244"/>
      <c r="L28" s="248"/>
      <c r="M28" s="248"/>
      <c r="N28" s="244"/>
      <c r="O28" s="244"/>
      <c r="P28" s="244"/>
      <c r="Q28" s="244"/>
      <c r="R28" s="244"/>
      <c r="S28" s="244"/>
      <c r="T28" s="244"/>
      <c r="U28" s="244"/>
      <c r="V28" s="244"/>
      <c r="W28" s="250"/>
      <c r="X28" s="244"/>
      <c r="Y28" s="244"/>
      <c r="Z28" s="244"/>
      <c r="AA28" s="244"/>
      <c r="AB28" s="244"/>
      <c r="AC28" s="244"/>
      <c r="AD28" s="249"/>
      <c r="AE28" s="247"/>
      <c r="AF28" s="247"/>
      <c r="AG28" s="247"/>
      <c r="AH28" s="244"/>
      <c r="AI28" s="247"/>
      <c r="AJ28" s="247"/>
      <c r="AK28" s="247"/>
      <c r="AL28" s="247"/>
      <c r="AM28" s="244"/>
      <c r="AN28" s="247"/>
      <c r="AO28" s="247"/>
      <c r="AP28" s="247"/>
      <c r="AQ28" s="247"/>
      <c r="AR28" s="247"/>
      <c r="AS28" s="244"/>
      <c r="AT28" s="244"/>
      <c r="AU28" s="247"/>
      <c r="AV28" s="244"/>
      <c r="AW28" s="244"/>
      <c r="AX28" s="244"/>
      <c r="AY28" s="244"/>
      <c r="AZ28" s="244"/>
      <c r="BA28" s="244"/>
      <c r="BB28" s="244"/>
      <c r="BC28" s="244"/>
      <c r="BD28" s="244"/>
    </row>
    <row r="29" spans="1:56" s="186" customFormat="1" ht="12.75" customHeight="1" x14ac:dyDescent="0.25">
      <c r="A29" s="238"/>
      <c r="B29" s="241"/>
      <c r="C29" s="244"/>
      <c r="D29" s="244"/>
      <c r="E29" s="242"/>
      <c r="F29" s="248"/>
      <c r="G29" s="248"/>
      <c r="H29" s="248"/>
      <c r="I29" s="248"/>
      <c r="J29" s="248"/>
      <c r="K29" s="244"/>
      <c r="L29" s="248"/>
      <c r="M29" s="248"/>
      <c r="N29" s="244"/>
      <c r="O29" s="244"/>
      <c r="P29" s="244"/>
      <c r="Q29" s="244"/>
      <c r="R29" s="244"/>
      <c r="S29" s="244"/>
      <c r="T29" s="244"/>
      <c r="U29" s="244"/>
      <c r="V29" s="244"/>
      <c r="W29" s="250"/>
      <c r="X29" s="244"/>
      <c r="Y29" s="244"/>
      <c r="Z29" s="244"/>
      <c r="AA29" s="244"/>
      <c r="AB29" s="244"/>
      <c r="AC29" s="244"/>
      <c r="AD29" s="249"/>
      <c r="AE29" s="247"/>
      <c r="AF29" s="247"/>
      <c r="AG29" s="247"/>
      <c r="AH29" s="244"/>
      <c r="AI29" s="247"/>
      <c r="AJ29" s="247"/>
      <c r="AK29" s="247"/>
      <c r="AL29" s="247"/>
      <c r="AM29" s="244"/>
      <c r="AN29" s="247"/>
      <c r="AO29" s="247"/>
      <c r="AP29" s="247"/>
      <c r="AQ29" s="247"/>
      <c r="AR29" s="247"/>
      <c r="AS29" s="244"/>
      <c r="AT29" s="244"/>
      <c r="AU29" s="247"/>
      <c r="AV29" s="244"/>
      <c r="AW29" s="244"/>
      <c r="AX29" s="244"/>
      <c r="AY29" s="244"/>
      <c r="AZ29" s="244"/>
      <c r="BA29" s="244"/>
      <c r="BB29" s="244"/>
      <c r="BC29" s="244"/>
      <c r="BD29" s="244"/>
    </row>
    <row r="30" spans="1:56" s="186" customFormat="1" ht="12.75" customHeight="1" x14ac:dyDescent="0.25">
      <c r="A30" s="238"/>
      <c r="B30" s="241"/>
      <c r="C30" s="244"/>
      <c r="D30" s="244"/>
      <c r="E30" s="242"/>
      <c r="F30" s="248"/>
      <c r="G30" s="248"/>
      <c r="H30" s="248"/>
      <c r="I30" s="248"/>
      <c r="J30" s="248"/>
      <c r="K30" s="244"/>
      <c r="L30" s="248"/>
      <c r="M30" s="248"/>
      <c r="N30" s="244"/>
      <c r="O30" s="244"/>
      <c r="P30" s="244"/>
      <c r="Q30" s="244"/>
      <c r="R30" s="244"/>
      <c r="S30" s="244"/>
      <c r="T30" s="244"/>
      <c r="U30" s="244"/>
      <c r="V30" s="244"/>
      <c r="W30" s="250"/>
      <c r="X30" s="244"/>
      <c r="Y30" s="244"/>
      <c r="Z30" s="244"/>
      <c r="AA30" s="244"/>
      <c r="AB30" s="244"/>
      <c r="AC30" s="244"/>
      <c r="AD30" s="249"/>
      <c r="AE30" s="247"/>
      <c r="AF30" s="247"/>
      <c r="AG30" s="247"/>
      <c r="AH30" s="244"/>
      <c r="AI30" s="247"/>
      <c r="AJ30" s="247"/>
      <c r="AK30" s="247"/>
      <c r="AL30" s="247"/>
      <c r="AM30" s="244"/>
      <c r="AN30" s="247"/>
      <c r="AO30" s="247"/>
      <c r="AP30" s="247"/>
      <c r="AQ30" s="247"/>
      <c r="AR30" s="247"/>
      <c r="AS30" s="244"/>
      <c r="AT30" s="244"/>
      <c r="AU30" s="247"/>
      <c r="AV30" s="244"/>
      <c r="AW30" s="244"/>
      <c r="AX30" s="244"/>
      <c r="AY30" s="244"/>
      <c r="AZ30" s="244"/>
      <c r="BA30" s="244"/>
      <c r="BB30" s="244"/>
      <c r="BC30" s="244"/>
      <c r="BD30" s="244"/>
    </row>
    <row r="31" spans="1:56" s="186" customFormat="1" ht="12.75" customHeight="1" x14ac:dyDescent="0.25">
      <c r="A31" s="238"/>
      <c r="B31" s="241"/>
      <c r="C31" s="244"/>
      <c r="D31" s="244"/>
      <c r="E31" s="242"/>
      <c r="F31" s="248"/>
      <c r="G31" s="248"/>
      <c r="H31" s="248"/>
      <c r="I31" s="248"/>
      <c r="J31" s="248"/>
      <c r="K31" s="244"/>
      <c r="L31" s="248"/>
      <c r="M31" s="248"/>
      <c r="N31" s="244"/>
      <c r="O31" s="244"/>
      <c r="P31" s="244"/>
      <c r="Q31" s="244"/>
      <c r="R31" s="244"/>
      <c r="S31" s="244"/>
      <c r="T31" s="244"/>
      <c r="U31" s="244"/>
      <c r="V31" s="244"/>
      <c r="W31" s="250"/>
      <c r="X31" s="244"/>
      <c r="Y31" s="244"/>
      <c r="Z31" s="244"/>
      <c r="AA31" s="244"/>
      <c r="AB31" s="244"/>
      <c r="AC31" s="244"/>
      <c r="AD31" s="249"/>
      <c r="AE31" s="247"/>
      <c r="AF31" s="247"/>
      <c r="AG31" s="247"/>
      <c r="AH31" s="244"/>
      <c r="AI31" s="247"/>
      <c r="AJ31" s="247"/>
      <c r="AK31" s="247"/>
      <c r="AL31" s="247"/>
      <c r="AM31" s="244"/>
      <c r="AN31" s="247"/>
      <c r="AO31" s="247"/>
      <c r="AP31" s="247"/>
      <c r="AQ31" s="247"/>
      <c r="AR31" s="247"/>
      <c r="AS31" s="244"/>
      <c r="AT31" s="244"/>
      <c r="AU31" s="247"/>
      <c r="AV31" s="244"/>
      <c r="AW31" s="244"/>
      <c r="AX31" s="244"/>
      <c r="AY31" s="244"/>
      <c r="AZ31" s="244"/>
      <c r="BA31" s="244"/>
      <c r="BB31" s="244"/>
      <c r="BC31" s="244"/>
      <c r="BD31" s="244"/>
    </row>
    <row r="32" spans="1:56" s="186" customFormat="1" ht="12.75" customHeight="1" x14ac:dyDescent="0.25">
      <c r="A32" s="238"/>
      <c r="B32" s="241"/>
      <c r="C32" s="244"/>
      <c r="D32" s="244"/>
      <c r="E32" s="242"/>
      <c r="F32" s="248"/>
      <c r="G32" s="248"/>
      <c r="H32" s="248"/>
      <c r="I32" s="248"/>
      <c r="J32" s="248"/>
      <c r="K32" s="244"/>
      <c r="L32" s="248"/>
      <c r="M32" s="248"/>
      <c r="N32" s="244"/>
      <c r="O32" s="244"/>
      <c r="P32" s="244"/>
      <c r="Q32" s="244"/>
      <c r="R32" s="244"/>
      <c r="S32" s="244"/>
      <c r="T32" s="244"/>
      <c r="U32" s="244"/>
      <c r="V32" s="244"/>
      <c r="W32" s="250"/>
      <c r="X32" s="244"/>
      <c r="Y32" s="244"/>
      <c r="Z32" s="244"/>
      <c r="AA32" s="244"/>
      <c r="AB32" s="244"/>
      <c r="AC32" s="244"/>
      <c r="AD32" s="249"/>
      <c r="AE32" s="247"/>
      <c r="AF32" s="247"/>
      <c r="AG32" s="247"/>
      <c r="AH32" s="244"/>
      <c r="AI32" s="247"/>
      <c r="AJ32" s="247"/>
      <c r="AK32" s="247"/>
      <c r="AL32" s="247"/>
      <c r="AM32" s="244"/>
      <c r="AN32" s="247"/>
      <c r="AO32" s="247"/>
      <c r="AP32" s="247"/>
      <c r="AQ32" s="247"/>
      <c r="AR32" s="247"/>
      <c r="AS32" s="244"/>
      <c r="AT32" s="244"/>
      <c r="AU32" s="247"/>
      <c r="AV32" s="244"/>
      <c r="AW32" s="244"/>
      <c r="AX32" s="244"/>
      <c r="AY32" s="244"/>
      <c r="AZ32" s="244"/>
      <c r="BA32" s="244"/>
      <c r="BB32" s="244"/>
      <c r="BC32" s="244"/>
      <c r="BD32" s="244"/>
    </row>
    <row r="33" spans="1:56" s="186" customFormat="1" ht="12.75" customHeight="1" x14ac:dyDescent="0.25">
      <c r="A33" s="238"/>
      <c r="B33" s="241"/>
      <c r="C33" s="244"/>
      <c r="D33" s="244"/>
      <c r="E33" s="242"/>
      <c r="F33" s="248"/>
      <c r="G33" s="248"/>
      <c r="H33" s="248"/>
      <c r="I33" s="248"/>
      <c r="J33" s="248"/>
      <c r="K33" s="244"/>
      <c r="L33" s="248"/>
      <c r="M33" s="248"/>
      <c r="N33" s="244"/>
      <c r="O33" s="244"/>
      <c r="P33" s="244"/>
      <c r="Q33" s="244"/>
      <c r="R33" s="244"/>
      <c r="S33" s="244"/>
      <c r="T33" s="244"/>
      <c r="U33" s="244"/>
      <c r="V33" s="244"/>
      <c r="W33" s="250"/>
      <c r="X33" s="244"/>
      <c r="Y33" s="244"/>
      <c r="Z33" s="244"/>
      <c r="AA33" s="244"/>
      <c r="AB33" s="244"/>
      <c r="AC33" s="244"/>
      <c r="AD33" s="249"/>
      <c r="AE33" s="247"/>
      <c r="AF33" s="247"/>
      <c r="AG33" s="247"/>
      <c r="AH33" s="244"/>
      <c r="AI33" s="247"/>
      <c r="AJ33" s="247"/>
      <c r="AK33" s="247"/>
      <c r="AL33" s="247"/>
      <c r="AM33" s="244"/>
      <c r="AN33" s="247"/>
      <c r="AO33" s="247"/>
      <c r="AP33" s="247"/>
      <c r="AQ33" s="247"/>
      <c r="AR33" s="247"/>
      <c r="AS33" s="244"/>
      <c r="AT33" s="244"/>
      <c r="AU33" s="247"/>
      <c r="AV33" s="244"/>
      <c r="AW33" s="244"/>
      <c r="AX33" s="244"/>
      <c r="AY33" s="244"/>
      <c r="AZ33" s="244"/>
      <c r="BA33" s="244"/>
      <c r="BB33" s="244"/>
      <c r="BC33" s="244"/>
      <c r="BD33" s="244"/>
    </row>
    <row r="34" spans="1:56" s="186" customFormat="1" ht="12.75" customHeight="1" x14ac:dyDescent="0.25">
      <c r="A34" s="238"/>
      <c r="B34" s="241"/>
      <c r="C34" s="244"/>
      <c r="D34" s="244"/>
      <c r="E34" s="242"/>
      <c r="F34" s="248"/>
      <c r="G34" s="248"/>
      <c r="H34" s="248"/>
      <c r="I34" s="248"/>
      <c r="J34" s="248"/>
      <c r="K34" s="244"/>
      <c r="L34" s="248"/>
      <c r="M34" s="248"/>
      <c r="N34" s="244"/>
      <c r="O34" s="244"/>
      <c r="P34" s="244"/>
      <c r="Q34" s="244"/>
      <c r="R34" s="244"/>
      <c r="S34" s="244"/>
      <c r="T34" s="244"/>
      <c r="U34" s="244"/>
      <c r="V34" s="244"/>
      <c r="W34" s="250"/>
      <c r="X34" s="244"/>
      <c r="Y34" s="244"/>
      <c r="Z34" s="244"/>
      <c r="AA34" s="244"/>
      <c r="AB34" s="244"/>
      <c r="AC34" s="244"/>
      <c r="AD34" s="249"/>
      <c r="AE34" s="247"/>
      <c r="AF34" s="247"/>
      <c r="AG34" s="247"/>
      <c r="AH34" s="244"/>
      <c r="AI34" s="247"/>
      <c r="AJ34" s="247"/>
      <c r="AK34" s="247"/>
      <c r="AL34" s="247"/>
      <c r="AM34" s="244"/>
      <c r="AN34" s="247"/>
      <c r="AO34" s="247"/>
      <c r="AP34" s="247"/>
      <c r="AQ34" s="247"/>
      <c r="AR34" s="247"/>
      <c r="AS34" s="244"/>
      <c r="AT34" s="244"/>
      <c r="AU34" s="247"/>
      <c r="AV34" s="244"/>
      <c r="AW34" s="244"/>
      <c r="AX34" s="244"/>
      <c r="AY34" s="244"/>
      <c r="AZ34" s="244"/>
      <c r="BA34" s="244"/>
      <c r="BB34" s="244"/>
      <c r="BC34" s="244"/>
      <c r="BD34" s="244"/>
    </row>
    <row r="35" spans="1:56" s="186" customFormat="1" ht="12.75" customHeight="1" x14ac:dyDescent="0.25">
      <c r="A35" s="238"/>
      <c r="B35" s="241"/>
      <c r="C35" s="244"/>
      <c r="D35" s="244"/>
      <c r="E35" s="242"/>
      <c r="F35" s="248"/>
      <c r="G35" s="248"/>
      <c r="H35" s="248"/>
      <c r="I35" s="248"/>
      <c r="J35" s="248"/>
      <c r="K35" s="244"/>
      <c r="L35" s="248"/>
      <c r="M35" s="248"/>
      <c r="N35" s="244"/>
      <c r="O35" s="244"/>
      <c r="P35" s="244"/>
      <c r="Q35" s="244"/>
      <c r="R35" s="244"/>
      <c r="S35" s="244"/>
      <c r="T35" s="244"/>
      <c r="U35" s="244"/>
      <c r="V35" s="244"/>
      <c r="W35" s="250"/>
      <c r="X35" s="244"/>
      <c r="Y35" s="244"/>
      <c r="Z35" s="244"/>
      <c r="AA35" s="244"/>
      <c r="AB35" s="244"/>
      <c r="AC35" s="244"/>
      <c r="AD35" s="249"/>
      <c r="AE35" s="247"/>
      <c r="AF35" s="247"/>
      <c r="AG35" s="247"/>
      <c r="AH35" s="244"/>
      <c r="AI35" s="247"/>
      <c r="AJ35" s="247"/>
      <c r="AK35" s="247"/>
      <c r="AL35" s="247"/>
      <c r="AM35" s="244"/>
      <c r="AN35" s="247"/>
      <c r="AO35" s="247"/>
      <c r="AP35" s="247"/>
      <c r="AQ35" s="247"/>
      <c r="AR35" s="247"/>
      <c r="AS35" s="244"/>
      <c r="AT35" s="244"/>
      <c r="AU35" s="247"/>
      <c r="AV35" s="244"/>
      <c r="AW35" s="244"/>
      <c r="AX35" s="244"/>
      <c r="AY35" s="244"/>
      <c r="AZ35" s="244"/>
      <c r="BA35" s="244"/>
      <c r="BB35" s="244"/>
      <c r="BC35" s="244"/>
      <c r="BD35" s="244"/>
    </row>
    <row r="36" spans="1:56" s="186" customFormat="1" ht="12.75" customHeight="1" x14ac:dyDescent="0.25">
      <c r="A36" s="238"/>
      <c r="B36" s="241"/>
      <c r="C36" s="244"/>
      <c r="D36" s="244"/>
      <c r="E36" s="242"/>
      <c r="F36" s="248"/>
      <c r="G36" s="248"/>
      <c r="H36" s="248"/>
      <c r="I36" s="248"/>
      <c r="J36" s="248"/>
      <c r="K36" s="244"/>
      <c r="L36" s="248"/>
      <c r="M36" s="248"/>
      <c r="N36" s="244"/>
      <c r="O36" s="244"/>
      <c r="P36" s="244"/>
      <c r="Q36" s="244"/>
      <c r="R36" s="244"/>
      <c r="S36" s="244"/>
      <c r="T36" s="244"/>
      <c r="U36" s="244"/>
      <c r="V36" s="244"/>
      <c r="W36" s="250"/>
      <c r="X36" s="244"/>
      <c r="Y36" s="244"/>
      <c r="Z36" s="244"/>
      <c r="AA36" s="244"/>
      <c r="AB36" s="244"/>
      <c r="AC36" s="244"/>
      <c r="AD36" s="249"/>
      <c r="AE36" s="247"/>
      <c r="AF36" s="247"/>
      <c r="AG36" s="247"/>
      <c r="AH36" s="244"/>
      <c r="AI36" s="247"/>
      <c r="AJ36" s="247"/>
      <c r="AK36" s="247"/>
      <c r="AL36" s="247"/>
      <c r="AM36" s="244"/>
      <c r="AN36" s="247"/>
      <c r="AO36" s="247"/>
      <c r="AP36" s="247"/>
      <c r="AQ36" s="247"/>
      <c r="AR36" s="247"/>
      <c r="AS36" s="244"/>
      <c r="AT36" s="244"/>
      <c r="AU36" s="247"/>
      <c r="AV36" s="244"/>
      <c r="AW36" s="244"/>
      <c r="AX36" s="244"/>
      <c r="AY36" s="244"/>
      <c r="AZ36" s="244"/>
      <c r="BA36" s="244"/>
      <c r="BB36" s="244"/>
      <c r="BC36" s="244"/>
      <c r="BD36" s="244"/>
    </row>
    <row r="37" spans="1:56" s="186" customFormat="1" ht="12.75" customHeight="1" x14ac:dyDescent="0.25">
      <c r="A37" s="238"/>
      <c r="B37" s="241"/>
      <c r="C37" s="244"/>
      <c r="D37" s="244"/>
      <c r="E37" s="242"/>
      <c r="F37" s="248"/>
      <c r="G37" s="248"/>
      <c r="H37" s="248"/>
      <c r="I37" s="248"/>
      <c r="J37" s="248"/>
      <c r="K37" s="244"/>
      <c r="L37" s="248"/>
      <c r="M37" s="248"/>
      <c r="N37" s="244"/>
      <c r="O37" s="244"/>
      <c r="P37" s="244"/>
      <c r="Q37" s="244"/>
      <c r="R37" s="244"/>
      <c r="S37" s="244"/>
      <c r="T37" s="244"/>
      <c r="U37" s="244"/>
      <c r="V37" s="244"/>
      <c r="W37" s="250"/>
      <c r="X37" s="244"/>
      <c r="Y37" s="244"/>
      <c r="Z37" s="244"/>
      <c r="AA37" s="244"/>
      <c r="AB37" s="244"/>
      <c r="AC37" s="244"/>
      <c r="AD37" s="249"/>
      <c r="AE37" s="247"/>
      <c r="AF37" s="247"/>
      <c r="AG37" s="247"/>
      <c r="AH37" s="244"/>
      <c r="AI37" s="247"/>
      <c r="AJ37" s="247"/>
      <c r="AK37" s="247"/>
      <c r="AL37" s="247"/>
      <c r="AM37" s="244"/>
      <c r="AN37" s="247"/>
      <c r="AO37" s="247"/>
      <c r="AP37" s="247"/>
      <c r="AQ37" s="247"/>
      <c r="AR37" s="247"/>
      <c r="AS37" s="244"/>
      <c r="AT37" s="244"/>
      <c r="AU37" s="247"/>
      <c r="AV37" s="244"/>
      <c r="AW37" s="244"/>
      <c r="AX37" s="244"/>
      <c r="AY37" s="244"/>
      <c r="AZ37" s="244"/>
      <c r="BA37" s="244"/>
      <c r="BB37" s="244"/>
      <c r="BC37" s="244"/>
      <c r="BD37" s="244"/>
    </row>
    <row r="38" spans="1:56" ht="12.75" customHeight="1" x14ac:dyDescent="0.25">
      <c r="A38" s="229"/>
      <c r="B38" s="229"/>
      <c r="C38" s="220"/>
      <c r="D38" s="220"/>
      <c r="E38" s="242"/>
      <c r="F38" s="248"/>
      <c r="G38" s="248"/>
      <c r="H38" s="248"/>
      <c r="I38" s="248"/>
      <c r="J38" s="248"/>
      <c r="K38" s="220"/>
      <c r="L38" s="248"/>
      <c r="M38" s="248"/>
      <c r="N38" s="244"/>
      <c r="O38" s="247"/>
      <c r="P38" s="244"/>
      <c r="Q38" s="247"/>
      <c r="R38" s="244"/>
      <c r="S38" s="247"/>
      <c r="T38" s="220"/>
      <c r="U38" s="220"/>
      <c r="V38" s="220"/>
      <c r="W38" s="250"/>
      <c r="X38" s="244"/>
      <c r="Y38" s="220"/>
      <c r="Z38" s="220"/>
      <c r="AA38" s="220"/>
      <c r="AB38" s="220"/>
      <c r="AC38" s="244"/>
      <c r="AD38" s="249"/>
      <c r="AE38" s="247"/>
      <c r="AF38" s="247"/>
      <c r="AG38" s="247"/>
      <c r="AH38" s="244"/>
      <c r="AI38" s="247"/>
      <c r="AJ38" s="247"/>
      <c r="AK38" s="247"/>
      <c r="AL38" s="247"/>
      <c r="AM38" s="244"/>
      <c r="AN38" s="247"/>
      <c r="AO38" s="247"/>
      <c r="AP38" s="247"/>
      <c r="AQ38" s="247"/>
      <c r="AR38" s="247"/>
      <c r="AS38" s="244"/>
      <c r="AT38" s="244"/>
      <c r="AU38" s="247"/>
      <c r="AV38" s="220"/>
      <c r="AW38" s="220"/>
      <c r="AX38" s="220"/>
      <c r="AY38" s="220"/>
      <c r="AZ38" s="220"/>
      <c r="BA38" s="220"/>
      <c r="BB38" s="220"/>
      <c r="BC38" s="220"/>
      <c r="BD38" s="244"/>
    </row>
    <row r="39" spans="1:56" ht="12.75" customHeight="1" x14ac:dyDescent="0.25">
      <c r="A39" s="229"/>
      <c r="B39" s="229"/>
      <c r="C39" s="220"/>
      <c r="D39" s="220"/>
      <c r="E39" s="242"/>
      <c r="F39" s="248"/>
      <c r="G39" s="248"/>
      <c r="H39" s="248"/>
      <c r="I39" s="248"/>
      <c r="J39" s="248"/>
      <c r="K39" s="220"/>
      <c r="L39" s="248"/>
      <c r="M39" s="248"/>
      <c r="N39" s="244"/>
      <c r="O39" s="247"/>
      <c r="P39" s="244"/>
      <c r="Q39" s="247"/>
      <c r="R39" s="244"/>
      <c r="S39" s="247"/>
      <c r="T39" s="220"/>
      <c r="U39" s="220"/>
      <c r="V39" s="220"/>
      <c r="W39" s="250"/>
      <c r="X39" s="244"/>
      <c r="Y39" s="220"/>
      <c r="Z39" s="220"/>
      <c r="AA39" s="220"/>
      <c r="AB39" s="220"/>
      <c r="AC39" s="244"/>
      <c r="AD39" s="249"/>
      <c r="AE39" s="247"/>
      <c r="AF39" s="247"/>
      <c r="AG39" s="247"/>
      <c r="AH39" s="244"/>
      <c r="AI39" s="247"/>
      <c r="AJ39" s="247"/>
      <c r="AK39" s="247"/>
      <c r="AL39" s="247"/>
      <c r="AM39" s="244"/>
      <c r="AN39" s="247"/>
      <c r="AO39" s="247"/>
      <c r="AP39" s="247"/>
      <c r="AQ39" s="247"/>
      <c r="AR39" s="247"/>
      <c r="AS39" s="244"/>
      <c r="AT39" s="244"/>
      <c r="AU39" s="247"/>
      <c r="AV39" s="220"/>
      <c r="AW39" s="220"/>
      <c r="AX39" s="220"/>
      <c r="AY39" s="220"/>
      <c r="AZ39" s="220"/>
      <c r="BA39" s="220"/>
      <c r="BB39" s="220"/>
      <c r="BC39" s="220"/>
      <c r="BD39" s="244"/>
    </row>
    <row r="40" spans="1:56" ht="12.75" customHeight="1" x14ac:dyDescent="0.25">
      <c r="A40" s="229"/>
      <c r="B40" s="229"/>
      <c r="C40" s="220"/>
      <c r="D40" s="220"/>
      <c r="E40" s="242"/>
      <c r="F40" s="248"/>
      <c r="G40" s="248"/>
      <c r="H40" s="248"/>
      <c r="I40" s="248"/>
      <c r="J40" s="248"/>
      <c r="K40" s="220"/>
      <c r="L40" s="248"/>
      <c r="M40" s="248"/>
      <c r="N40" s="244"/>
      <c r="O40" s="247"/>
      <c r="P40" s="244"/>
      <c r="Q40" s="247"/>
      <c r="R40" s="244"/>
      <c r="S40" s="247"/>
      <c r="T40" s="220"/>
      <c r="U40" s="220"/>
      <c r="V40" s="220"/>
      <c r="W40" s="250"/>
      <c r="X40" s="244"/>
      <c r="Y40" s="220"/>
      <c r="Z40" s="220"/>
      <c r="AA40" s="220"/>
      <c r="AB40" s="220"/>
      <c r="AC40" s="244"/>
      <c r="AD40" s="249"/>
      <c r="AE40" s="247"/>
      <c r="AF40" s="247"/>
      <c r="AG40" s="247"/>
      <c r="AH40" s="244"/>
      <c r="AI40" s="247"/>
      <c r="AJ40" s="247"/>
      <c r="AK40" s="247"/>
      <c r="AL40" s="247"/>
      <c r="AM40" s="244"/>
      <c r="AN40" s="247"/>
      <c r="AO40" s="247"/>
      <c r="AP40" s="247"/>
      <c r="AQ40" s="247"/>
      <c r="AR40" s="247"/>
      <c r="AS40" s="244"/>
      <c r="AT40" s="244"/>
      <c r="AU40" s="247"/>
      <c r="AV40" s="220"/>
      <c r="AW40" s="220"/>
      <c r="AX40" s="220"/>
      <c r="AY40" s="220"/>
      <c r="AZ40" s="220"/>
      <c r="BA40" s="220"/>
      <c r="BB40" s="220"/>
      <c r="BC40" s="220"/>
      <c r="BD40" s="244"/>
    </row>
    <row r="41" spans="1:56" ht="12.75" customHeight="1" x14ac:dyDescent="0.25">
      <c r="A41" s="229"/>
      <c r="B41" s="229"/>
      <c r="C41" s="220"/>
      <c r="D41" s="220"/>
      <c r="E41" s="242"/>
      <c r="F41" s="248"/>
      <c r="G41" s="248"/>
      <c r="H41" s="248"/>
      <c r="I41" s="248"/>
      <c r="J41" s="248"/>
      <c r="K41" s="220"/>
      <c r="L41" s="248"/>
      <c r="M41" s="248"/>
      <c r="N41" s="244"/>
      <c r="O41" s="247"/>
      <c r="P41" s="244"/>
      <c r="Q41" s="247"/>
      <c r="R41" s="244"/>
      <c r="S41" s="247"/>
      <c r="T41" s="220"/>
      <c r="U41" s="220"/>
      <c r="V41" s="220"/>
      <c r="W41" s="250"/>
      <c r="X41" s="244"/>
      <c r="Y41" s="220"/>
      <c r="Z41" s="220"/>
      <c r="AA41" s="220"/>
      <c r="AB41" s="220"/>
      <c r="AC41" s="244"/>
      <c r="AD41" s="249"/>
      <c r="AE41" s="247"/>
      <c r="AF41" s="247"/>
      <c r="AG41" s="247"/>
      <c r="AH41" s="244"/>
      <c r="AI41" s="247"/>
      <c r="AJ41" s="247"/>
      <c r="AK41" s="247"/>
      <c r="AL41" s="247"/>
      <c r="AM41" s="244"/>
      <c r="AN41" s="247"/>
      <c r="AO41" s="247"/>
      <c r="AP41" s="247"/>
      <c r="AQ41" s="247"/>
      <c r="AR41" s="247"/>
      <c r="AS41" s="244"/>
      <c r="AT41" s="244"/>
      <c r="AU41" s="247"/>
      <c r="AV41" s="220"/>
      <c r="AW41" s="220"/>
      <c r="AX41" s="220"/>
      <c r="AY41" s="220"/>
      <c r="AZ41" s="220"/>
      <c r="BA41" s="220"/>
      <c r="BB41" s="220"/>
      <c r="BC41" s="220"/>
      <c r="BD41" s="244"/>
    </row>
    <row r="42" spans="1:56" ht="12.75" customHeight="1" x14ac:dyDescent="0.25">
      <c r="A42" s="229"/>
      <c r="B42" s="229"/>
      <c r="C42" s="220"/>
      <c r="D42" s="220"/>
      <c r="E42" s="242"/>
      <c r="F42" s="248"/>
      <c r="G42" s="248"/>
      <c r="H42" s="248"/>
      <c r="I42" s="248"/>
      <c r="J42" s="248"/>
      <c r="K42" s="220"/>
      <c r="L42" s="248"/>
      <c r="M42" s="248"/>
      <c r="N42" s="244"/>
      <c r="O42" s="247"/>
      <c r="P42" s="244"/>
      <c r="Q42" s="247"/>
      <c r="R42" s="244"/>
      <c r="S42" s="247"/>
      <c r="T42" s="220"/>
      <c r="U42" s="220"/>
      <c r="V42" s="220"/>
      <c r="W42" s="250"/>
      <c r="X42" s="244"/>
      <c r="Y42" s="220"/>
      <c r="Z42" s="220"/>
      <c r="AA42" s="220"/>
      <c r="AB42" s="220"/>
      <c r="AC42" s="244"/>
      <c r="AD42" s="249"/>
      <c r="AE42" s="247"/>
      <c r="AF42" s="247"/>
      <c r="AG42" s="247"/>
      <c r="AH42" s="244"/>
      <c r="AI42" s="247"/>
      <c r="AJ42" s="247"/>
      <c r="AK42" s="247"/>
      <c r="AL42" s="247"/>
      <c r="AM42" s="244"/>
      <c r="AN42" s="247"/>
      <c r="AO42" s="247"/>
      <c r="AP42" s="247"/>
      <c r="AQ42" s="247"/>
      <c r="AR42" s="247"/>
      <c r="AS42" s="244"/>
      <c r="AT42" s="244"/>
      <c r="AU42" s="247"/>
      <c r="AV42" s="220"/>
      <c r="AW42" s="220"/>
      <c r="AX42" s="220"/>
      <c r="AY42" s="220"/>
      <c r="AZ42" s="220"/>
      <c r="BA42" s="220"/>
      <c r="BB42" s="220"/>
      <c r="BC42" s="220"/>
      <c r="BD42" s="244"/>
    </row>
    <row r="43" spans="1:56" ht="12.75" customHeight="1" x14ac:dyDescent="0.25">
      <c r="A43" s="229"/>
      <c r="B43" s="229"/>
      <c r="C43" s="220"/>
      <c r="D43" s="220"/>
      <c r="E43" s="242"/>
      <c r="F43" s="248"/>
      <c r="G43" s="248"/>
      <c r="H43" s="248"/>
      <c r="I43" s="248"/>
      <c r="J43" s="248"/>
      <c r="K43" s="220"/>
      <c r="L43" s="248"/>
      <c r="M43" s="248"/>
      <c r="N43" s="244"/>
      <c r="O43" s="247"/>
      <c r="P43" s="244"/>
      <c r="Q43" s="247"/>
      <c r="R43" s="244"/>
      <c r="S43" s="247"/>
      <c r="T43" s="220"/>
      <c r="U43" s="220"/>
      <c r="V43" s="220"/>
      <c r="W43" s="250"/>
      <c r="X43" s="244"/>
      <c r="Y43" s="220"/>
      <c r="Z43" s="220"/>
      <c r="AA43" s="220"/>
      <c r="AB43" s="220"/>
      <c r="AC43" s="244"/>
      <c r="AD43" s="249"/>
      <c r="AE43" s="247"/>
      <c r="AF43" s="247"/>
      <c r="AG43" s="247"/>
      <c r="AH43" s="244"/>
      <c r="AI43" s="247"/>
      <c r="AJ43" s="247"/>
      <c r="AK43" s="247"/>
      <c r="AL43" s="247"/>
      <c r="AM43" s="244"/>
      <c r="AN43" s="247"/>
      <c r="AO43" s="247"/>
      <c r="AP43" s="247"/>
      <c r="AQ43" s="247"/>
      <c r="AR43" s="247"/>
      <c r="AS43" s="244"/>
      <c r="AT43" s="244"/>
      <c r="AU43" s="247"/>
      <c r="AV43" s="220"/>
      <c r="AW43" s="220"/>
      <c r="AX43" s="220"/>
      <c r="AY43" s="220"/>
      <c r="AZ43" s="220"/>
      <c r="BA43" s="220"/>
      <c r="BB43" s="220"/>
      <c r="BC43" s="220"/>
      <c r="BD43" s="244"/>
    </row>
    <row r="44" spans="1:56" ht="12.75" customHeight="1" x14ac:dyDescent="0.25">
      <c r="A44" s="229"/>
      <c r="B44" s="229"/>
      <c r="C44" s="220"/>
      <c r="D44" s="220"/>
      <c r="E44" s="242"/>
      <c r="F44" s="248"/>
      <c r="G44" s="248"/>
      <c r="H44" s="248"/>
      <c r="I44" s="248"/>
      <c r="J44" s="248"/>
      <c r="K44" s="220"/>
      <c r="L44" s="248"/>
      <c r="M44" s="248"/>
      <c r="N44" s="244"/>
      <c r="O44" s="247"/>
      <c r="P44" s="244"/>
      <c r="Q44" s="247"/>
      <c r="R44" s="244"/>
      <c r="S44" s="247"/>
      <c r="T44" s="220"/>
      <c r="U44" s="220"/>
      <c r="V44" s="220"/>
      <c r="W44" s="250"/>
      <c r="X44" s="244"/>
      <c r="Y44" s="220"/>
      <c r="Z44" s="220"/>
      <c r="AA44" s="220"/>
      <c r="AB44" s="220"/>
      <c r="AC44" s="244"/>
      <c r="AD44" s="249"/>
      <c r="AE44" s="247"/>
      <c r="AF44" s="247"/>
      <c r="AG44" s="247"/>
      <c r="AH44" s="244"/>
      <c r="AI44" s="247"/>
      <c r="AJ44" s="247"/>
      <c r="AK44" s="247"/>
      <c r="AL44" s="247"/>
      <c r="AM44" s="244"/>
      <c r="AN44" s="247"/>
      <c r="AO44" s="247"/>
      <c r="AP44" s="247"/>
      <c r="AQ44" s="247"/>
      <c r="AR44" s="247"/>
      <c r="AS44" s="244"/>
      <c r="AT44" s="244"/>
      <c r="AU44" s="247"/>
      <c r="AV44" s="220"/>
      <c r="AW44" s="220"/>
      <c r="AX44" s="220"/>
      <c r="AY44" s="220"/>
      <c r="AZ44" s="220"/>
      <c r="BA44" s="220"/>
      <c r="BB44" s="220"/>
      <c r="BC44" s="220"/>
      <c r="BD44" s="244"/>
    </row>
    <row r="45" spans="1:56" ht="12.75" customHeight="1" x14ac:dyDescent="0.25">
      <c r="A45" s="229"/>
      <c r="B45" s="229"/>
      <c r="C45" s="220"/>
      <c r="D45" s="220"/>
      <c r="E45" s="242"/>
      <c r="F45" s="248"/>
      <c r="G45" s="248"/>
      <c r="H45" s="248"/>
      <c r="I45" s="248"/>
      <c r="J45" s="248"/>
      <c r="K45" s="220"/>
      <c r="L45" s="248"/>
      <c r="M45" s="248"/>
      <c r="N45" s="244"/>
      <c r="O45" s="247"/>
      <c r="P45" s="244"/>
      <c r="Q45" s="247"/>
      <c r="R45" s="244"/>
      <c r="S45" s="247"/>
      <c r="T45" s="220"/>
      <c r="U45" s="220"/>
      <c r="V45" s="220"/>
      <c r="W45" s="250"/>
      <c r="X45" s="244"/>
      <c r="Y45" s="220"/>
      <c r="Z45" s="220"/>
      <c r="AA45" s="220"/>
      <c r="AB45" s="220"/>
      <c r="AC45" s="244"/>
      <c r="AD45" s="249"/>
      <c r="AE45" s="247"/>
      <c r="AF45" s="247"/>
      <c r="AG45" s="247"/>
      <c r="AH45" s="244"/>
      <c r="AI45" s="247"/>
      <c r="AJ45" s="247"/>
      <c r="AK45" s="247"/>
      <c r="AL45" s="247"/>
      <c r="AM45" s="244"/>
      <c r="AN45" s="247"/>
      <c r="AO45" s="247"/>
      <c r="AP45" s="247"/>
      <c r="AQ45" s="247"/>
      <c r="AR45" s="247"/>
      <c r="AS45" s="244"/>
      <c r="AT45" s="244"/>
      <c r="AU45" s="247"/>
      <c r="AV45" s="220"/>
      <c r="AW45" s="220"/>
      <c r="AX45" s="220"/>
      <c r="AY45" s="220"/>
      <c r="AZ45" s="220"/>
      <c r="BA45" s="220"/>
      <c r="BB45" s="220"/>
      <c r="BC45" s="220"/>
      <c r="BD45" s="244"/>
    </row>
    <row r="46" spans="1:56" ht="12.75" customHeight="1" x14ac:dyDescent="0.25">
      <c r="A46" s="229"/>
      <c r="B46" s="229"/>
      <c r="C46" s="220"/>
      <c r="D46" s="220"/>
      <c r="E46" s="242"/>
      <c r="F46" s="248"/>
      <c r="G46" s="248"/>
      <c r="H46" s="248"/>
      <c r="I46" s="248"/>
      <c r="J46" s="248"/>
      <c r="K46" s="220"/>
      <c r="L46" s="248"/>
      <c r="M46" s="248"/>
      <c r="N46" s="244"/>
      <c r="O46" s="247"/>
      <c r="P46" s="244"/>
      <c r="Q46" s="247"/>
      <c r="R46" s="244"/>
      <c r="S46" s="247"/>
      <c r="T46" s="220"/>
      <c r="U46" s="220"/>
      <c r="V46" s="220"/>
      <c r="W46" s="250"/>
      <c r="X46" s="244"/>
      <c r="Y46" s="220"/>
      <c r="Z46" s="220"/>
      <c r="AA46" s="220"/>
      <c r="AB46" s="220"/>
      <c r="AC46" s="244"/>
      <c r="AD46" s="249"/>
      <c r="AE46" s="247"/>
      <c r="AF46" s="247"/>
      <c r="AG46" s="247"/>
      <c r="AH46" s="244"/>
      <c r="AI46" s="247"/>
      <c r="AJ46" s="247"/>
      <c r="AK46" s="247"/>
      <c r="AL46" s="247"/>
      <c r="AM46" s="244"/>
      <c r="AN46" s="247"/>
      <c r="AO46" s="247"/>
      <c r="AP46" s="247"/>
      <c r="AQ46" s="247"/>
      <c r="AR46" s="247"/>
      <c r="AS46" s="244"/>
      <c r="AT46" s="244"/>
      <c r="AU46" s="247"/>
      <c r="AV46" s="220"/>
      <c r="AW46" s="220"/>
      <c r="AX46" s="220"/>
      <c r="AY46" s="220"/>
      <c r="AZ46" s="220"/>
      <c r="BA46" s="220"/>
      <c r="BB46" s="220"/>
      <c r="BC46" s="220"/>
      <c r="BD46" s="244"/>
    </row>
    <row r="47" spans="1:56" ht="12.75" customHeight="1" x14ac:dyDescent="0.25">
      <c r="A47" s="229"/>
      <c r="B47" s="229"/>
      <c r="C47" s="220"/>
      <c r="D47" s="220"/>
      <c r="E47" s="242"/>
      <c r="F47" s="248"/>
      <c r="G47" s="248"/>
      <c r="H47" s="248"/>
      <c r="I47" s="248"/>
      <c r="J47" s="248"/>
      <c r="K47" s="220"/>
      <c r="L47" s="248"/>
      <c r="M47" s="248"/>
      <c r="N47" s="244"/>
      <c r="O47" s="247"/>
      <c r="P47" s="244"/>
      <c r="Q47" s="247"/>
      <c r="R47" s="244"/>
      <c r="S47" s="247"/>
      <c r="T47" s="220"/>
      <c r="U47" s="220"/>
      <c r="V47" s="220"/>
      <c r="W47" s="250"/>
      <c r="X47" s="244"/>
      <c r="Y47" s="220"/>
      <c r="Z47" s="220"/>
      <c r="AA47" s="220"/>
      <c r="AB47" s="220"/>
      <c r="AC47" s="244"/>
      <c r="AD47" s="249"/>
      <c r="AE47" s="247"/>
      <c r="AF47" s="247"/>
      <c r="AG47" s="247"/>
      <c r="AH47" s="244"/>
      <c r="AI47" s="247"/>
      <c r="AJ47" s="247"/>
      <c r="AK47" s="247"/>
      <c r="AL47" s="247"/>
      <c r="AM47" s="244"/>
      <c r="AN47" s="247"/>
      <c r="AO47" s="247"/>
      <c r="AP47" s="247"/>
      <c r="AQ47" s="247"/>
      <c r="AR47" s="247"/>
      <c r="AS47" s="244"/>
      <c r="AT47" s="244"/>
      <c r="AU47" s="247"/>
      <c r="AV47" s="220"/>
      <c r="AW47" s="220"/>
      <c r="AX47" s="220"/>
      <c r="AY47" s="220"/>
      <c r="AZ47" s="220"/>
      <c r="BA47" s="220"/>
      <c r="BB47" s="220"/>
      <c r="BC47" s="220"/>
      <c r="BD47" s="244"/>
    </row>
    <row r="48" spans="1:56" ht="12.75" customHeight="1" x14ac:dyDescent="0.25">
      <c r="A48" s="229"/>
      <c r="B48" s="229"/>
      <c r="C48" s="220"/>
      <c r="D48" s="220"/>
      <c r="E48" s="242"/>
      <c r="F48" s="248"/>
      <c r="G48" s="248"/>
      <c r="H48" s="248"/>
      <c r="I48" s="248"/>
      <c r="J48" s="248"/>
      <c r="K48" s="220"/>
      <c r="L48" s="248"/>
      <c r="M48" s="248"/>
      <c r="N48" s="244"/>
      <c r="O48" s="247"/>
      <c r="P48" s="244"/>
      <c r="Q48" s="247"/>
      <c r="R48" s="244"/>
      <c r="S48" s="247"/>
      <c r="T48" s="220"/>
      <c r="U48" s="220"/>
      <c r="V48" s="220"/>
      <c r="W48" s="250"/>
      <c r="X48" s="244"/>
      <c r="Y48" s="220"/>
      <c r="Z48" s="220"/>
      <c r="AA48" s="220"/>
      <c r="AB48" s="220"/>
      <c r="AC48" s="244"/>
      <c r="AD48" s="249"/>
      <c r="AE48" s="247"/>
      <c r="AF48" s="247"/>
      <c r="AG48" s="247"/>
      <c r="AH48" s="244"/>
      <c r="AI48" s="247"/>
      <c r="AJ48" s="247"/>
      <c r="AK48" s="247"/>
      <c r="AL48" s="247"/>
      <c r="AM48" s="244"/>
      <c r="AN48" s="247"/>
      <c r="AO48" s="247"/>
      <c r="AP48" s="247"/>
      <c r="AQ48" s="247"/>
      <c r="AR48" s="247"/>
      <c r="AS48" s="244"/>
      <c r="AT48" s="244"/>
      <c r="AU48" s="247"/>
      <c r="AV48" s="220"/>
      <c r="AW48" s="220"/>
      <c r="AX48" s="220"/>
      <c r="AY48" s="220"/>
      <c r="AZ48" s="220"/>
      <c r="BA48" s="220"/>
      <c r="BB48" s="220"/>
      <c r="BC48" s="220"/>
      <c r="BD48" s="244"/>
    </row>
    <row r="49" spans="1:56" ht="12.75" customHeight="1" x14ac:dyDescent="0.25">
      <c r="A49" s="229"/>
      <c r="B49" s="229"/>
      <c r="C49" s="220"/>
      <c r="D49" s="220"/>
      <c r="E49" s="242"/>
      <c r="F49" s="248"/>
      <c r="G49" s="248"/>
      <c r="H49" s="248"/>
      <c r="I49" s="248"/>
      <c r="J49" s="248"/>
      <c r="K49" s="220"/>
      <c r="L49" s="248"/>
      <c r="M49" s="248"/>
      <c r="N49" s="244"/>
      <c r="O49" s="247"/>
      <c r="P49" s="244"/>
      <c r="Q49" s="247"/>
      <c r="R49" s="244"/>
      <c r="S49" s="247"/>
      <c r="T49" s="220"/>
      <c r="U49" s="220"/>
      <c r="V49" s="220"/>
      <c r="W49" s="250"/>
      <c r="X49" s="244"/>
      <c r="Y49" s="220"/>
      <c r="Z49" s="220"/>
      <c r="AA49" s="220"/>
      <c r="AB49" s="220"/>
      <c r="AC49" s="244"/>
      <c r="AD49" s="249"/>
      <c r="AE49" s="247"/>
      <c r="AF49" s="247"/>
      <c r="AG49" s="247"/>
      <c r="AH49" s="244"/>
      <c r="AI49" s="247"/>
      <c r="AJ49" s="247"/>
      <c r="AK49" s="247"/>
      <c r="AL49" s="247"/>
      <c r="AM49" s="244"/>
      <c r="AN49" s="247"/>
      <c r="AO49" s="247"/>
      <c r="AP49" s="247"/>
      <c r="AQ49" s="247"/>
      <c r="AR49" s="247"/>
      <c r="AS49" s="244"/>
      <c r="AT49" s="244"/>
      <c r="AU49" s="247"/>
      <c r="AV49" s="220"/>
      <c r="AW49" s="220"/>
      <c r="AX49" s="220"/>
      <c r="AY49" s="220"/>
      <c r="AZ49" s="220"/>
      <c r="BA49" s="220"/>
      <c r="BB49" s="220"/>
      <c r="BC49" s="220"/>
      <c r="BD49" s="244"/>
    </row>
    <row r="50" spans="1:56" ht="12.75" customHeight="1" x14ac:dyDescent="0.25">
      <c r="A50" s="229"/>
      <c r="B50" s="229"/>
      <c r="C50" s="220"/>
      <c r="D50" s="220"/>
      <c r="E50" s="242"/>
      <c r="F50" s="248"/>
      <c r="G50" s="248"/>
      <c r="H50" s="248"/>
      <c r="I50" s="248"/>
      <c r="J50" s="248"/>
      <c r="K50" s="220"/>
      <c r="L50" s="248"/>
      <c r="M50" s="248"/>
      <c r="N50" s="244"/>
      <c r="O50" s="247"/>
      <c r="P50" s="244"/>
      <c r="Q50" s="247"/>
      <c r="R50" s="244"/>
      <c r="S50" s="247"/>
      <c r="T50" s="220"/>
      <c r="U50" s="220"/>
      <c r="V50" s="220"/>
      <c r="W50" s="250"/>
      <c r="X50" s="244"/>
      <c r="Y50" s="220"/>
      <c r="Z50" s="220"/>
      <c r="AA50" s="220"/>
      <c r="AB50" s="220"/>
      <c r="AC50" s="244"/>
      <c r="AD50" s="249"/>
      <c r="AE50" s="247"/>
      <c r="AF50" s="247"/>
      <c r="AG50" s="247"/>
      <c r="AH50" s="244"/>
      <c r="AI50" s="247"/>
      <c r="AJ50" s="247"/>
      <c r="AK50" s="247"/>
      <c r="AL50" s="247"/>
      <c r="AM50" s="244"/>
      <c r="AN50" s="247"/>
      <c r="AO50" s="247"/>
      <c r="AP50" s="247"/>
      <c r="AQ50" s="247"/>
      <c r="AR50" s="247"/>
      <c r="AS50" s="244"/>
      <c r="AT50" s="244"/>
      <c r="AU50" s="247"/>
      <c r="AV50" s="220"/>
      <c r="AW50" s="220"/>
      <c r="AX50" s="220"/>
      <c r="AY50" s="220"/>
      <c r="AZ50" s="220"/>
      <c r="BA50" s="220"/>
      <c r="BB50" s="220"/>
      <c r="BC50" s="220"/>
      <c r="BD50" s="244"/>
    </row>
    <row r="51" spans="1:56" ht="12.75" customHeight="1" x14ac:dyDescent="0.25">
      <c r="A51" s="229"/>
      <c r="B51" s="229"/>
      <c r="C51" s="220"/>
      <c r="D51" s="220"/>
      <c r="E51" s="242"/>
      <c r="F51" s="248"/>
      <c r="G51" s="248"/>
      <c r="H51" s="248"/>
      <c r="I51" s="248"/>
      <c r="J51" s="248"/>
      <c r="K51" s="220"/>
      <c r="L51" s="248"/>
      <c r="M51" s="248"/>
      <c r="N51" s="244"/>
      <c r="O51" s="247"/>
      <c r="P51" s="244"/>
      <c r="Q51" s="247"/>
      <c r="R51" s="244"/>
      <c r="S51" s="247"/>
      <c r="T51" s="220"/>
      <c r="U51" s="220"/>
      <c r="V51" s="220"/>
      <c r="W51" s="250"/>
      <c r="X51" s="244"/>
      <c r="Y51" s="220"/>
      <c r="Z51" s="220"/>
      <c r="AA51" s="220"/>
      <c r="AB51" s="220"/>
      <c r="AC51" s="244"/>
      <c r="AD51" s="249"/>
      <c r="AE51" s="247"/>
      <c r="AF51" s="247"/>
      <c r="AG51" s="247"/>
      <c r="AH51" s="244"/>
      <c r="AI51" s="247"/>
      <c r="AJ51" s="247"/>
      <c r="AK51" s="247"/>
      <c r="AL51" s="247"/>
      <c r="AM51" s="244"/>
      <c r="AN51" s="247"/>
      <c r="AO51" s="247"/>
      <c r="AP51" s="247"/>
      <c r="AQ51" s="247"/>
      <c r="AR51" s="247"/>
      <c r="AS51" s="244"/>
      <c r="AT51" s="244"/>
      <c r="AU51" s="247"/>
      <c r="AV51" s="220"/>
      <c r="AW51" s="220"/>
      <c r="AX51" s="220"/>
      <c r="AY51" s="220"/>
      <c r="AZ51" s="220"/>
      <c r="BA51" s="220"/>
      <c r="BB51" s="220"/>
      <c r="BC51" s="220"/>
      <c r="BD51" s="244"/>
    </row>
    <row r="52" spans="1:56" ht="12.75" customHeight="1" x14ac:dyDescent="0.25">
      <c r="A52" s="229"/>
      <c r="B52" s="229"/>
      <c r="C52" s="220"/>
      <c r="D52" s="220"/>
      <c r="E52" s="242"/>
      <c r="F52" s="248"/>
      <c r="G52" s="248"/>
      <c r="H52" s="248"/>
      <c r="I52" s="248"/>
      <c r="J52" s="248"/>
      <c r="K52" s="220"/>
      <c r="L52" s="248"/>
      <c r="M52" s="248"/>
      <c r="N52" s="244"/>
      <c r="O52" s="247"/>
      <c r="P52" s="244"/>
      <c r="Q52" s="247"/>
      <c r="R52" s="244"/>
      <c r="S52" s="247"/>
      <c r="T52" s="220"/>
      <c r="U52" s="220"/>
      <c r="V52" s="220"/>
      <c r="W52" s="250"/>
      <c r="X52" s="244"/>
      <c r="Y52" s="220"/>
      <c r="Z52" s="220"/>
      <c r="AA52" s="220"/>
      <c r="AB52" s="220"/>
      <c r="AC52" s="244"/>
      <c r="AD52" s="249"/>
      <c r="AE52" s="247"/>
      <c r="AF52" s="220"/>
      <c r="AG52" s="220"/>
      <c r="AH52" s="244"/>
      <c r="AI52" s="220"/>
      <c r="AJ52" s="220"/>
      <c r="AK52" s="220"/>
      <c r="AL52" s="220"/>
      <c r="AM52" s="244"/>
      <c r="AN52" s="220"/>
      <c r="AO52" s="220"/>
      <c r="AP52" s="220"/>
      <c r="AQ52" s="220"/>
      <c r="AR52" s="220"/>
      <c r="AS52" s="244"/>
      <c r="AT52" s="244"/>
      <c r="AU52" s="220"/>
      <c r="AV52" s="220"/>
      <c r="AW52" s="220"/>
      <c r="AX52" s="220"/>
      <c r="AY52" s="220"/>
      <c r="AZ52" s="220"/>
      <c r="BA52" s="220"/>
      <c r="BB52" s="220"/>
      <c r="BC52" s="220"/>
      <c r="BD52" s="244"/>
    </row>
    <row r="53" spans="1:56" ht="12.75" customHeight="1" x14ac:dyDescent="0.25">
      <c r="A53" s="229"/>
      <c r="B53" s="229"/>
      <c r="C53" s="220"/>
      <c r="D53" s="220"/>
      <c r="E53" s="242"/>
      <c r="F53" s="248"/>
      <c r="G53" s="248"/>
      <c r="H53" s="248"/>
      <c r="I53" s="248"/>
      <c r="J53" s="248"/>
      <c r="K53" s="220"/>
      <c r="L53" s="248"/>
      <c r="M53" s="248"/>
      <c r="N53" s="244"/>
      <c r="O53" s="247"/>
      <c r="P53" s="244"/>
      <c r="Q53" s="247"/>
      <c r="R53" s="244"/>
      <c r="S53" s="247"/>
      <c r="T53" s="220"/>
      <c r="U53" s="220"/>
      <c r="V53" s="220"/>
      <c r="W53" s="250"/>
      <c r="X53" s="244"/>
      <c r="Y53" s="220"/>
      <c r="Z53" s="220"/>
      <c r="AA53" s="220"/>
      <c r="AB53" s="220"/>
      <c r="AC53" s="244"/>
      <c r="AD53" s="249"/>
      <c r="AE53" s="247"/>
      <c r="AF53" s="220"/>
      <c r="AG53" s="220"/>
      <c r="AH53" s="244"/>
      <c r="AI53" s="220"/>
      <c r="AJ53" s="220"/>
      <c r="AK53" s="220"/>
      <c r="AL53" s="220"/>
      <c r="AM53" s="244"/>
      <c r="AN53" s="220"/>
      <c r="AO53" s="220"/>
      <c r="AP53" s="220"/>
      <c r="AQ53" s="220"/>
      <c r="AR53" s="220"/>
      <c r="AS53" s="244"/>
      <c r="AT53" s="244"/>
      <c r="AU53" s="220"/>
      <c r="AV53" s="220"/>
      <c r="AW53" s="220"/>
      <c r="AX53" s="220"/>
      <c r="AY53" s="220"/>
      <c r="AZ53" s="220"/>
      <c r="BA53" s="220"/>
      <c r="BB53" s="220"/>
      <c r="BC53" s="220"/>
      <c r="BD53" s="244"/>
    </row>
    <row r="54" spans="1:56" ht="12.75" customHeight="1" x14ac:dyDescent="0.25">
      <c r="A54" s="229"/>
      <c r="B54" s="229"/>
      <c r="C54" s="220"/>
      <c r="D54" s="220"/>
      <c r="E54" s="242"/>
      <c r="F54" s="248"/>
      <c r="G54" s="248"/>
      <c r="H54" s="248"/>
      <c r="I54" s="248"/>
      <c r="J54" s="248"/>
      <c r="K54" s="220"/>
      <c r="L54" s="248"/>
      <c r="M54" s="248"/>
      <c r="N54" s="244"/>
      <c r="O54" s="247"/>
      <c r="P54" s="244"/>
      <c r="Q54" s="247"/>
      <c r="R54" s="244"/>
      <c r="S54" s="247"/>
      <c r="T54" s="220"/>
      <c r="U54" s="220"/>
      <c r="V54" s="220"/>
      <c r="W54" s="250"/>
      <c r="X54" s="244"/>
      <c r="Y54" s="220"/>
      <c r="Z54" s="220"/>
      <c r="AA54" s="220"/>
      <c r="AB54" s="220"/>
      <c r="AC54" s="244"/>
      <c r="AD54" s="249"/>
      <c r="AE54" s="247"/>
      <c r="AF54" s="220"/>
      <c r="AG54" s="220"/>
      <c r="AH54" s="244"/>
      <c r="AI54" s="220"/>
      <c r="AJ54" s="220"/>
      <c r="AK54" s="220"/>
      <c r="AL54" s="220"/>
      <c r="AM54" s="244"/>
      <c r="AN54" s="220"/>
      <c r="AO54" s="220"/>
      <c r="AP54" s="220"/>
      <c r="AQ54" s="220"/>
      <c r="AR54" s="220"/>
      <c r="AS54" s="244"/>
      <c r="AT54" s="244"/>
      <c r="AU54" s="220"/>
      <c r="AV54" s="220"/>
      <c r="AW54" s="220"/>
      <c r="AX54" s="220"/>
      <c r="AY54" s="220"/>
      <c r="AZ54" s="220"/>
      <c r="BA54" s="220"/>
      <c r="BB54" s="220"/>
      <c r="BC54" s="220"/>
      <c r="BD54" s="244"/>
    </row>
    <row r="55" spans="1:56" ht="12.75" customHeight="1" x14ac:dyDescent="0.25">
      <c r="A55" s="229"/>
      <c r="B55" s="229"/>
      <c r="C55" s="220"/>
      <c r="D55" s="220"/>
      <c r="E55" s="242"/>
      <c r="F55" s="248"/>
      <c r="G55" s="248"/>
      <c r="H55" s="248"/>
      <c r="I55" s="248"/>
      <c r="J55" s="248"/>
      <c r="K55" s="220"/>
      <c r="L55" s="248"/>
      <c r="M55" s="248"/>
      <c r="N55" s="244"/>
      <c r="O55" s="247"/>
      <c r="P55" s="244"/>
      <c r="Q55" s="247"/>
      <c r="R55" s="244"/>
      <c r="S55" s="247"/>
      <c r="T55" s="220"/>
      <c r="U55" s="220"/>
      <c r="V55" s="220"/>
      <c r="W55" s="250"/>
      <c r="X55" s="244"/>
      <c r="Y55" s="220"/>
      <c r="Z55" s="220"/>
      <c r="AA55" s="220"/>
      <c r="AB55" s="220"/>
      <c r="AC55" s="244"/>
      <c r="AD55" s="249"/>
      <c r="AE55" s="247"/>
      <c r="AF55" s="220"/>
      <c r="AG55" s="220"/>
      <c r="AH55" s="244"/>
      <c r="AI55" s="220"/>
      <c r="AJ55" s="220"/>
      <c r="AK55" s="220"/>
      <c r="AL55" s="220"/>
      <c r="AM55" s="244"/>
      <c r="AN55" s="220"/>
      <c r="AO55" s="220"/>
      <c r="AP55" s="220"/>
      <c r="AQ55" s="220"/>
      <c r="AR55" s="220"/>
      <c r="AS55" s="244"/>
      <c r="AT55" s="244"/>
      <c r="AU55" s="220"/>
      <c r="AV55" s="220"/>
      <c r="AW55" s="220"/>
      <c r="AX55" s="220"/>
      <c r="AY55" s="220"/>
      <c r="AZ55" s="220"/>
      <c r="BA55" s="220"/>
      <c r="BB55" s="220"/>
      <c r="BC55" s="220"/>
      <c r="BD55" s="244"/>
    </row>
    <row r="56" spans="1:56" ht="12.75" customHeight="1" x14ac:dyDescent="0.25">
      <c r="A56" s="229"/>
      <c r="B56" s="229"/>
      <c r="C56" s="220"/>
      <c r="D56" s="220"/>
      <c r="E56" s="242"/>
      <c r="F56" s="248"/>
      <c r="G56" s="248"/>
      <c r="H56" s="248"/>
      <c r="I56" s="248"/>
      <c r="J56" s="248"/>
      <c r="K56" s="220"/>
      <c r="L56" s="248"/>
      <c r="M56" s="248"/>
      <c r="N56" s="244"/>
      <c r="O56" s="247"/>
      <c r="P56" s="244"/>
      <c r="Q56" s="247"/>
      <c r="R56" s="244"/>
      <c r="S56" s="247"/>
      <c r="T56" s="220"/>
      <c r="U56" s="220"/>
      <c r="V56" s="220"/>
      <c r="W56" s="250"/>
      <c r="X56" s="244"/>
      <c r="Y56" s="220"/>
      <c r="Z56" s="220"/>
      <c r="AA56" s="220"/>
      <c r="AB56" s="220"/>
      <c r="AC56" s="244"/>
      <c r="AD56" s="249"/>
      <c r="AE56" s="247"/>
      <c r="AF56" s="220"/>
      <c r="AG56" s="220"/>
      <c r="AH56" s="244"/>
      <c r="AI56" s="220"/>
      <c r="AJ56" s="220"/>
      <c r="AK56" s="220"/>
      <c r="AL56" s="220"/>
      <c r="AM56" s="244"/>
      <c r="AN56" s="220"/>
      <c r="AO56" s="220"/>
      <c r="AP56" s="220"/>
      <c r="AQ56" s="220"/>
      <c r="AR56" s="220"/>
      <c r="AS56" s="244"/>
      <c r="AT56" s="244"/>
      <c r="AU56" s="220"/>
      <c r="AV56" s="220"/>
      <c r="AW56" s="220"/>
      <c r="AX56" s="220"/>
      <c r="AY56" s="220"/>
      <c r="AZ56" s="220"/>
      <c r="BA56" s="220"/>
      <c r="BB56" s="220"/>
      <c r="BC56" s="220"/>
      <c r="BD56" s="244"/>
    </row>
    <row r="57" spans="1:56" ht="12.75" customHeight="1" x14ac:dyDescent="0.25">
      <c r="A57" s="229"/>
      <c r="B57" s="229"/>
      <c r="C57" s="220"/>
      <c r="D57" s="220"/>
      <c r="E57" s="242"/>
      <c r="F57" s="248"/>
      <c r="G57" s="248"/>
      <c r="H57" s="248"/>
      <c r="I57" s="248"/>
      <c r="J57" s="248"/>
      <c r="K57" s="220"/>
      <c r="L57" s="248"/>
      <c r="M57" s="248"/>
      <c r="N57" s="244"/>
      <c r="O57" s="247"/>
      <c r="P57" s="244"/>
      <c r="Q57" s="247"/>
      <c r="R57" s="244"/>
      <c r="S57" s="247"/>
      <c r="T57" s="220"/>
      <c r="U57" s="220"/>
      <c r="V57" s="220"/>
      <c r="W57" s="250"/>
      <c r="X57" s="244"/>
      <c r="Y57" s="220"/>
      <c r="Z57" s="220"/>
      <c r="AA57" s="220"/>
      <c r="AB57" s="220"/>
      <c r="AC57" s="244"/>
      <c r="AD57" s="249"/>
      <c r="AE57" s="247"/>
      <c r="AF57" s="220"/>
      <c r="AG57" s="220"/>
      <c r="AH57" s="244"/>
      <c r="AI57" s="220"/>
      <c r="AJ57" s="220"/>
      <c r="AK57" s="220"/>
      <c r="AL57" s="220"/>
      <c r="AM57" s="244"/>
      <c r="AN57" s="220"/>
      <c r="AO57" s="220"/>
      <c r="AP57" s="220"/>
      <c r="AQ57" s="220"/>
      <c r="AR57" s="220"/>
      <c r="AS57" s="244"/>
      <c r="AT57" s="244"/>
      <c r="AU57" s="220"/>
      <c r="AV57" s="220"/>
      <c r="AW57" s="220"/>
      <c r="AX57" s="220"/>
      <c r="AY57" s="220"/>
      <c r="AZ57" s="220"/>
      <c r="BA57" s="220"/>
      <c r="BB57" s="220"/>
      <c r="BC57" s="220"/>
      <c r="BD57" s="244"/>
    </row>
    <row r="58" spans="1:56" ht="12.75" customHeight="1" x14ac:dyDescent="0.25">
      <c r="A58" s="229"/>
      <c r="B58" s="229"/>
      <c r="C58" s="220"/>
      <c r="D58" s="220"/>
      <c r="E58" s="242"/>
      <c r="F58" s="248"/>
      <c r="G58" s="248"/>
      <c r="H58" s="248"/>
      <c r="I58" s="248"/>
      <c r="J58" s="248"/>
      <c r="K58" s="220"/>
      <c r="L58" s="248"/>
      <c r="M58" s="248"/>
      <c r="N58" s="244"/>
      <c r="O58" s="247"/>
      <c r="P58" s="244"/>
      <c r="Q58" s="247"/>
      <c r="R58" s="244"/>
      <c r="S58" s="247"/>
      <c r="T58" s="220"/>
      <c r="U58" s="220"/>
      <c r="V58" s="220"/>
      <c r="W58" s="250"/>
      <c r="X58" s="244"/>
      <c r="Y58" s="220"/>
      <c r="Z58" s="220"/>
      <c r="AA58" s="220"/>
      <c r="AB58" s="220"/>
      <c r="AC58" s="244"/>
      <c r="AD58" s="249"/>
      <c r="AE58" s="247"/>
      <c r="AF58" s="220"/>
      <c r="AG58" s="220"/>
      <c r="AH58" s="244"/>
      <c r="AI58" s="220"/>
      <c r="AJ58" s="220"/>
      <c r="AK58" s="220"/>
      <c r="AL58" s="220"/>
      <c r="AM58" s="244"/>
      <c r="AN58" s="220"/>
      <c r="AO58" s="220"/>
      <c r="AP58" s="220"/>
      <c r="AQ58" s="220"/>
      <c r="AR58" s="220"/>
      <c r="AS58" s="244"/>
      <c r="AT58" s="244"/>
      <c r="AU58" s="220"/>
      <c r="AV58" s="220"/>
      <c r="AW58" s="220"/>
      <c r="AX58" s="220"/>
      <c r="AY58" s="220"/>
      <c r="AZ58" s="220"/>
      <c r="BA58" s="220"/>
      <c r="BB58" s="220"/>
      <c r="BC58" s="220"/>
      <c r="BD58" s="244"/>
    </row>
    <row r="59" spans="1:56" ht="12.75" customHeight="1" x14ac:dyDescent="0.25">
      <c r="A59" s="229"/>
      <c r="B59" s="229"/>
      <c r="C59" s="220"/>
      <c r="D59" s="220"/>
      <c r="E59" s="242"/>
      <c r="F59" s="248"/>
      <c r="G59" s="248"/>
      <c r="H59" s="248"/>
      <c r="I59" s="248"/>
      <c r="J59" s="248"/>
      <c r="K59" s="220"/>
      <c r="L59" s="248"/>
      <c r="M59" s="248"/>
      <c r="N59" s="244"/>
      <c r="O59" s="247"/>
      <c r="P59" s="244"/>
      <c r="Q59" s="247"/>
      <c r="R59" s="244"/>
      <c r="S59" s="247"/>
      <c r="T59" s="220"/>
      <c r="U59" s="220"/>
      <c r="V59" s="220"/>
      <c r="W59" s="250"/>
      <c r="X59" s="244"/>
      <c r="Y59" s="220"/>
      <c r="Z59" s="220"/>
      <c r="AA59" s="220"/>
      <c r="AB59" s="220"/>
      <c r="AC59" s="244"/>
      <c r="AD59" s="249"/>
      <c r="AE59" s="247"/>
      <c r="AF59" s="220"/>
      <c r="AG59" s="220"/>
      <c r="AH59" s="244"/>
      <c r="AI59" s="220"/>
      <c r="AJ59" s="220"/>
      <c r="AK59" s="220"/>
      <c r="AL59" s="220"/>
      <c r="AM59" s="244"/>
      <c r="AN59" s="220"/>
      <c r="AO59" s="220"/>
      <c r="AP59" s="220"/>
      <c r="AQ59" s="220"/>
      <c r="AR59" s="220"/>
      <c r="AS59" s="244"/>
      <c r="AT59" s="244"/>
      <c r="AU59" s="220"/>
      <c r="AV59" s="220"/>
      <c r="AW59" s="220"/>
      <c r="AX59" s="220"/>
      <c r="AY59" s="220"/>
      <c r="AZ59" s="220"/>
      <c r="BA59" s="220"/>
      <c r="BB59" s="220"/>
      <c r="BC59" s="220"/>
      <c r="BD59" s="244"/>
    </row>
    <row r="60" spans="1:56" ht="12.75" customHeight="1" x14ac:dyDescent="0.25">
      <c r="A60" s="229"/>
      <c r="B60" s="229"/>
      <c r="C60" s="220"/>
      <c r="D60" s="220"/>
      <c r="E60" s="242"/>
      <c r="F60" s="248"/>
      <c r="G60" s="248"/>
      <c r="H60" s="248"/>
      <c r="I60" s="248"/>
      <c r="J60" s="248"/>
      <c r="K60" s="220"/>
      <c r="L60" s="248"/>
      <c r="M60" s="248"/>
      <c r="N60" s="244"/>
      <c r="O60" s="247"/>
      <c r="P60" s="244"/>
      <c r="Q60" s="247"/>
      <c r="R60" s="244"/>
      <c r="S60" s="247"/>
      <c r="T60" s="220"/>
      <c r="U60" s="220"/>
      <c r="V60" s="220"/>
      <c r="W60" s="250"/>
      <c r="X60" s="244"/>
      <c r="Y60" s="220"/>
      <c r="Z60" s="220"/>
      <c r="AA60" s="220"/>
      <c r="AB60" s="220"/>
      <c r="AC60" s="244"/>
      <c r="AD60" s="249"/>
      <c r="AE60" s="247"/>
      <c r="AF60" s="220"/>
      <c r="AG60" s="220"/>
      <c r="AH60" s="244"/>
      <c r="AI60" s="220"/>
      <c r="AJ60" s="220"/>
      <c r="AK60" s="220"/>
      <c r="AL60" s="220"/>
      <c r="AM60" s="244"/>
      <c r="AN60" s="220"/>
      <c r="AO60" s="220"/>
      <c r="AP60" s="220"/>
      <c r="AQ60" s="220"/>
      <c r="AR60" s="220"/>
      <c r="AS60" s="244"/>
      <c r="AT60" s="244"/>
      <c r="AU60" s="220"/>
      <c r="AV60" s="220"/>
      <c r="AW60" s="220"/>
      <c r="AX60" s="220"/>
      <c r="AY60" s="220"/>
      <c r="AZ60" s="220"/>
      <c r="BA60" s="220"/>
      <c r="BB60" s="220"/>
      <c r="BC60" s="220"/>
      <c r="BD60" s="244"/>
    </row>
    <row r="61" spans="1:56" ht="12.75" customHeight="1" x14ac:dyDescent="0.25">
      <c r="A61" s="229"/>
      <c r="B61" s="229"/>
      <c r="C61" s="220"/>
      <c r="D61" s="220"/>
      <c r="E61" s="242"/>
      <c r="F61" s="248"/>
      <c r="G61" s="248"/>
      <c r="H61" s="248"/>
      <c r="I61" s="248"/>
      <c r="J61" s="248"/>
      <c r="K61" s="220"/>
      <c r="L61" s="248"/>
      <c r="M61" s="248"/>
      <c r="N61" s="244"/>
      <c r="O61" s="247"/>
      <c r="P61" s="244"/>
      <c r="Q61" s="247"/>
      <c r="R61" s="244"/>
      <c r="S61" s="247"/>
      <c r="T61" s="220"/>
      <c r="U61" s="220"/>
      <c r="V61" s="220"/>
      <c r="W61" s="250"/>
      <c r="X61" s="244"/>
      <c r="Y61" s="220"/>
      <c r="Z61" s="220"/>
      <c r="AA61" s="220"/>
      <c r="AB61" s="220"/>
      <c r="AC61" s="244"/>
      <c r="AD61" s="249"/>
      <c r="AE61" s="247"/>
      <c r="AF61" s="220"/>
      <c r="AG61" s="220"/>
      <c r="AH61" s="244"/>
      <c r="AI61" s="220"/>
      <c r="AJ61" s="220"/>
      <c r="AK61" s="220"/>
      <c r="AL61" s="220"/>
      <c r="AM61" s="244"/>
      <c r="AN61" s="220"/>
      <c r="AO61" s="220"/>
      <c r="AP61" s="220"/>
      <c r="AQ61" s="220"/>
      <c r="AR61" s="220"/>
      <c r="AS61" s="244"/>
      <c r="AT61" s="244"/>
      <c r="AU61" s="220"/>
      <c r="AV61" s="220"/>
      <c r="AW61" s="220"/>
      <c r="AX61" s="220"/>
      <c r="AY61" s="220"/>
      <c r="AZ61" s="220"/>
      <c r="BA61" s="220"/>
      <c r="BB61" s="220"/>
      <c r="BC61" s="220"/>
      <c r="BD61" s="244"/>
    </row>
    <row r="62" spans="1:56" ht="12.75" customHeight="1" x14ac:dyDescent="0.25">
      <c r="A62" s="229"/>
      <c r="B62" s="229"/>
      <c r="C62" s="220"/>
      <c r="D62" s="220"/>
      <c r="E62" s="242"/>
      <c r="F62" s="248"/>
      <c r="G62" s="248"/>
      <c r="H62" s="248"/>
      <c r="I62" s="248"/>
      <c r="J62" s="248"/>
      <c r="K62" s="220"/>
      <c r="L62" s="248"/>
      <c r="M62" s="248"/>
      <c r="N62" s="244"/>
      <c r="O62" s="247"/>
      <c r="P62" s="244"/>
      <c r="Q62" s="247"/>
      <c r="R62" s="244"/>
      <c r="S62" s="247"/>
      <c r="T62" s="220"/>
      <c r="U62" s="220"/>
      <c r="V62" s="220"/>
      <c r="W62" s="250"/>
      <c r="X62" s="244"/>
      <c r="Y62" s="220"/>
      <c r="Z62" s="220"/>
      <c r="AA62" s="220"/>
      <c r="AB62" s="220"/>
      <c r="AC62" s="244"/>
      <c r="AD62" s="249"/>
      <c r="AE62" s="247"/>
      <c r="AF62" s="220"/>
      <c r="AG62" s="220"/>
      <c r="AH62" s="244"/>
      <c r="AI62" s="220"/>
      <c r="AJ62" s="220"/>
      <c r="AK62" s="220"/>
      <c r="AL62" s="220"/>
      <c r="AM62" s="244"/>
      <c r="AN62" s="220"/>
      <c r="AO62" s="220"/>
      <c r="AP62" s="220"/>
      <c r="AQ62" s="220"/>
      <c r="AR62" s="220"/>
      <c r="AS62" s="244"/>
      <c r="AT62" s="244"/>
      <c r="AU62" s="220"/>
      <c r="AV62" s="220"/>
      <c r="AW62" s="220"/>
      <c r="AX62" s="220"/>
      <c r="AY62" s="220"/>
      <c r="AZ62" s="220"/>
      <c r="BA62" s="220"/>
      <c r="BB62" s="220"/>
      <c r="BC62" s="220"/>
      <c r="BD62" s="244"/>
    </row>
    <row r="63" spans="1:56" ht="12.75" customHeight="1" x14ac:dyDescent="0.25">
      <c r="A63" s="229"/>
      <c r="B63" s="229"/>
      <c r="C63" s="220"/>
      <c r="D63" s="220"/>
      <c r="E63" s="242"/>
      <c r="F63" s="248"/>
      <c r="G63" s="248"/>
      <c r="H63" s="248"/>
      <c r="I63" s="248"/>
      <c r="J63" s="248"/>
      <c r="K63" s="220"/>
      <c r="L63" s="248"/>
      <c r="M63" s="248"/>
      <c r="N63" s="244"/>
      <c r="O63" s="247"/>
      <c r="P63" s="244"/>
      <c r="Q63" s="247"/>
      <c r="R63" s="244"/>
      <c r="S63" s="247"/>
      <c r="T63" s="220"/>
      <c r="U63" s="220"/>
      <c r="V63" s="220"/>
      <c r="W63" s="250"/>
      <c r="X63" s="244"/>
      <c r="Y63" s="220"/>
      <c r="Z63" s="220"/>
      <c r="AA63" s="220"/>
      <c r="AB63" s="220"/>
      <c r="AC63" s="244"/>
      <c r="AD63" s="249"/>
      <c r="AE63" s="247"/>
      <c r="AF63" s="220"/>
      <c r="AG63" s="220"/>
      <c r="AH63" s="244"/>
      <c r="AI63" s="220"/>
      <c r="AJ63" s="220"/>
      <c r="AK63" s="220"/>
      <c r="AL63" s="220"/>
      <c r="AM63" s="244"/>
      <c r="AN63" s="220"/>
      <c r="AO63" s="220"/>
      <c r="AP63" s="220"/>
      <c r="AQ63" s="220"/>
      <c r="AR63" s="220"/>
      <c r="AS63" s="244"/>
      <c r="AT63" s="244"/>
      <c r="AU63" s="220"/>
      <c r="AV63" s="220"/>
      <c r="AW63" s="220"/>
      <c r="AX63" s="220"/>
      <c r="AY63" s="220"/>
      <c r="AZ63" s="220"/>
      <c r="BA63" s="220"/>
      <c r="BB63" s="220"/>
      <c r="BC63" s="220"/>
      <c r="BD63" s="244"/>
    </row>
    <row r="64" spans="1:56" ht="12.75" customHeight="1" x14ac:dyDescent="0.25">
      <c r="A64" s="229"/>
      <c r="B64" s="229"/>
      <c r="C64" s="220"/>
      <c r="D64" s="220"/>
      <c r="E64" s="242"/>
      <c r="F64" s="248"/>
      <c r="G64" s="248"/>
      <c r="H64" s="248"/>
      <c r="I64" s="248"/>
      <c r="J64" s="248"/>
      <c r="K64" s="220"/>
      <c r="L64" s="248"/>
      <c r="M64" s="248"/>
      <c r="N64" s="244"/>
      <c r="O64" s="247"/>
      <c r="P64" s="244"/>
      <c r="Q64" s="247"/>
      <c r="R64" s="244"/>
      <c r="S64" s="247"/>
      <c r="T64" s="220"/>
      <c r="U64" s="220"/>
      <c r="V64" s="220"/>
      <c r="W64" s="250"/>
      <c r="X64" s="244"/>
      <c r="Y64" s="220"/>
      <c r="Z64" s="220"/>
      <c r="AA64" s="220"/>
      <c r="AB64" s="220"/>
      <c r="AC64" s="244"/>
      <c r="AD64" s="249"/>
      <c r="AE64" s="247"/>
      <c r="AF64" s="220"/>
      <c r="AG64" s="220"/>
      <c r="AH64" s="244"/>
      <c r="AI64" s="220"/>
      <c r="AJ64" s="220"/>
      <c r="AK64" s="220"/>
      <c r="AL64" s="220"/>
      <c r="AM64" s="244"/>
      <c r="AN64" s="220"/>
      <c r="AO64" s="220"/>
      <c r="AP64" s="220"/>
      <c r="AQ64" s="220"/>
      <c r="AR64" s="220"/>
      <c r="AS64" s="244"/>
      <c r="AT64" s="244"/>
      <c r="AU64" s="220"/>
      <c r="AV64" s="220"/>
      <c r="AW64" s="220"/>
      <c r="AX64" s="220"/>
      <c r="AY64" s="220"/>
      <c r="AZ64" s="220"/>
      <c r="BA64" s="220"/>
      <c r="BB64" s="220"/>
      <c r="BC64" s="220"/>
      <c r="BD64" s="244"/>
    </row>
    <row r="65" spans="1:56" ht="12.75" customHeight="1" x14ac:dyDescent="0.25">
      <c r="A65" s="229"/>
      <c r="B65" s="229"/>
      <c r="C65" s="220"/>
      <c r="D65" s="220"/>
      <c r="E65" s="242"/>
      <c r="F65" s="248"/>
      <c r="G65" s="248"/>
      <c r="H65" s="248"/>
      <c r="I65" s="248"/>
      <c r="J65" s="248"/>
      <c r="K65" s="220"/>
      <c r="L65" s="248"/>
      <c r="M65" s="248"/>
      <c r="N65" s="244"/>
      <c r="O65" s="247"/>
      <c r="P65" s="244"/>
      <c r="Q65" s="247"/>
      <c r="R65" s="244"/>
      <c r="S65" s="247"/>
      <c r="T65" s="220"/>
      <c r="U65" s="220"/>
      <c r="V65" s="220"/>
      <c r="W65" s="250"/>
      <c r="X65" s="244"/>
      <c r="Y65" s="220"/>
      <c r="Z65" s="220"/>
      <c r="AA65" s="220"/>
      <c r="AB65" s="220"/>
      <c r="AC65" s="244"/>
      <c r="AD65" s="249"/>
      <c r="AE65" s="247"/>
      <c r="AF65" s="220"/>
      <c r="AG65" s="220"/>
      <c r="AH65" s="244"/>
      <c r="AI65" s="220"/>
      <c r="AJ65" s="220"/>
      <c r="AK65" s="220"/>
      <c r="AL65" s="220"/>
      <c r="AM65" s="244"/>
      <c r="AN65" s="220"/>
      <c r="AO65" s="220"/>
      <c r="AP65" s="220"/>
      <c r="AQ65" s="220"/>
      <c r="AR65" s="220"/>
      <c r="AS65" s="244"/>
      <c r="AT65" s="244"/>
      <c r="AU65" s="220"/>
      <c r="AV65" s="220"/>
      <c r="AW65" s="220"/>
      <c r="AX65" s="220"/>
      <c r="AY65" s="220"/>
      <c r="AZ65" s="220"/>
      <c r="BA65" s="220"/>
      <c r="BB65" s="220"/>
      <c r="BC65" s="220"/>
      <c r="BD65" s="244"/>
    </row>
    <row r="66" spans="1:56" ht="12.75" customHeight="1" x14ac:dyDescent="0.25">
      <c r="A66" s="229"/>
      <c r="B66" s="229"/>
      <c r="C66" s="220"/>
      <c r="D66" s="220"/>
      <c r="E66" s="242"/>
      <c r="F66" s="248"/>
      <c r="G66" s="248"/>
      <c r="H66" s="248"/>
      <c r="I66" s="248"/>
      <c r="J66" s="248"/>
      <c r="K66" s="220"/>
      <c r="L66" s="248"/>
      <c r="M66" s="248"/>
      <c r="N66" s="244"/>
      <c r="O66" s="247"/>
      <c r="P66" s="244"/>
      <c r="Q66" s="247"/>
      <c r="R66" s="244"/>
      <c r="S66" s="247"/>
      <c r="T66" s="220"/>
      <c r="U66" s="220"/>
      <c r="V66" s="220"/>
      <c r="W66" s="250"/>
      <c r="X66" s="244"/>
      <c r="Y66" s="220"/>
      <c r="Z66" s="220"/>
      <c r="AA66" s="220"/>
      <c r="AB66" s="220"/>
      <c r="AC66" s="244"/>
      <c r="AD66" s="249"/>
      <c r="AE66" s="247"/>
      <c r="AF66" s="220"/>
      <c r="AG66" s="220"/>
      <c r="AH66" s="244"/>
      <c r="AI66" s="220"/>
      <c r="AJ66" s="220"/>
      <c r="AK66" s="220"/>
      <c r="AL66" s="220"/>
      <c r="AM66" s="244"/>
      <c r="AN66" s="220"/>
      <c r="AO66" s="220"/>
      <c r="AP66" s="220"/>
      <c r="AQ66" s="220"/>
      <c r="AR66" s="220"/>
      <c r="AS66" s="244"/>
      <c r="AT66" s="244"/>
      <c r="AU66" s="220"/>
      <c r="AV66" s="220"/>
      <c r="AW66" s="220"/>
      <c r="AX66" s="220"/>
      <c r="AY66" s="220"/>
      <c r="AZ66" s="220"/>
      <c r="BA66" s="220"/>
      <c r="BB66" s="220"/>
      <c r="BC66" s="220"/>
      <c r="BD66" s="244"/>
    </row>
    <row r="67" spans="1:56" ht="12.75" customHeight="1" x14ac:dyDescent="0.25">
      <c r="A67" s="229"/>
      <c r="B67" s="229"/>
      <c r="C67" s="220"/>
      <c r="D67" s="220"/>
      <c r="E67" s="242"/>
      <c r="F67" s="248"/>
      <c r="G67" s="248"/>
      <c r="H67" s="248"/>
      <c r="I67" s="248"/>
      <c r="J67" s="248"/>
      <c r="K67" s="220"/>
      <c r="L67" s="248"/>
      <c r="M67" s="248"/>
      <c r="N67" s="244"/>
      <c r="O67" s="247"/>
      <c r="P67" s="244"/>
      <c r="Q67" s="247"/>
      <c r="R67" s="244"/>
      <c r="S67" s="247"/>
      <c r="T67" s="220"/>
      <c r="U67" s="220"/>
      <c r="V67" s="220"/>
      <c r="W67" s="250"/>
      <c r="X67" s="244"/>
      <c r="Y67" s="220"/>
      <c r="Z67" s="220"/>
      <c r="AA67" s="220"/>
      <c r="AB67" s="220"/>
      <c r="AC67" s="244"/>
      <c r="AD67" s="249"/>
      <c r="AE67" s="247"/>
      <c r="AF67" s="220"/>
      <c r="AG67" s="220"/>
      <c r="AH67" s="244"/>
      <c r="AI67" s="220"/>
      <c r="AJ67" s="220"/>
      <c r="AK67" s="220"/>
      <c r="AL67" s="220"/>
      <c r="AM67" s="244"/>
      <c r="AN67" s="220"/>
      <c r="AO67" s="220"/>
      <c r="AP67" s="220"/>
      <c r="AQ67" s="220"/>
      <c r="AR67" s="220"/>
      <c r="AS67" s="244"/>
      <c r="AT67" s="244"/>
      <c r="AU67" s="220"/>
      <c r="AV67" s="220"/>
      <c r="AW67" s="220"/>
      <c r="AX67" s="220"/>
      <c r="AY67" s="220"/>
      <c r="AZ67" s="220"/>
      <c r="BA67" s="220"/>
      <c r="BB67" s="220"/>
      <c r="BC67" s="220"/>
      <c r="BD67" s="244"/>
    </row>
    <row r="68" spans="1:56" ht="12.75" customHeight="1" x14ac:dyDescent="0.25">
      <c r="A68" s="229"/>
      <c r="B68" s="229"/>
      <c r="C68" s="220"/>
      <c r="D68" s="220"/>
      <c r="E68" s="242"/>
      <c r="F68" s="248"/>
      <c r="G68" s="248"/>
      <c r="H68" s="248"/>
      <c r="I68" s="248"/>
      <c r="J68" s="248"/>
      <c r="K68" s="220"/>
      <c r="L68" s="248"/>
      <c r="M68" s="248"/>
      <c r="N68" s="244"/>
      <c r="O68" s="247"/>
      <c r="P68" s="244"/>
      <c r="Q68" s="247"/>
      <c r="R68" s="244"/>
      <c r="S68" s="247"/>
      <c r="T68" s="220"/>
      <c r="U68" s="220"/>
      <c r="V68" s="220"/>
      <c r="W68" s="250"/>
      <c r="X68" s="244"/>
      <c r="Y68" s="220"/>
      <c r="Z68" s="220"/>
      <c r="AA68" s="220"/>
      <c r="AB68" s="220"/>
      <c r="AC68" s="244"/>
      <c r="AD68" s="249"/>
      <c r="AE68" s="247"/>
      <c r="AF68" s="220"/>
      <c r="AG68" s="220"/>
      <c r="AH68" s="244"/>
      <c r="AI68" s="220"/>
      <c r="AJ68" s="220"/>
      <c r="AK68" s="220"/>
      <c r="AL68" s="220"/>
      <c r="AM68" s="244"/>
      <c r="AN68" s="220"/>
      <c r="AO68" s="220"/>
      <c r="AP68" s="220"/>
      <c r="AQ68" s="220"/>
      <c r="AR68" s="220"/>
      <c r="AS68" s="244"/>
      <c r="AT68" s="244"/>
      <c r="AU68" s="220"/>
      <c r="AV68" s="220"/>
      <c r="AW68" s="220"/>
      <c r="AX68" s="220"/>
      <c r="AY68" s="220"/>
      <c r="AZ68" s="220"/>
      <c r="BA68" s="220"/>
      <c r="BB68" s="220"/>
      <c r="BC68" s="220"/>
      <c r="BD68" s="244"/>
    </row>
    <row r="69" spans="1:56" ht="12.75" customHeight="1" x14ac:dyDescent="0.25">
      <c r="A69" s="229"/>
      <c r="B69" s="229"/>
      <c r="C69" s="220"/>
      <c r="D69" s="220"/>
      <c r="E69" s="242"/>
      <c r="F69" s="248"/>
      <c r="G69" s="248"/>
      <c r="H69" s="248"/>
      <c r="I69" s="248"/>
      <c r="J69" s="248"/>
      <c r="K69" s="220"/>
      <c r="L69" s="248"/>
      <c r="M69" s="248"/>
      <c r="N69" s="244"/>
      <c r="O69" s="247"/>
      <c r="P69" s="244"/>
      <c r="Q69" s="247"/>
      <c r="R69" s="244"/>
      <c r="S69" s="247"/>
      <c r="T69" s="220"/>
      <c r="U69" s="220"/>
      <c r="V69" s="220"/>
      <c r="W69" s="250"/>
      <c r="X69" s="244"/>
      <c r="Y69" s="220"/>
      <c r="Z69" s="220"/>
      <c r="AA69" s="220"/>
      <c r="AB69" s="220"/>
      <c r="AC69" s="244"/>
      <c r="AD69" s="249"/>
      <c r="AE69" s="247"/>
      <c r="AF69" s="220"/>
      <c r="AG69" s="220"/>
      <c r="AH69" s="244"/>
      <c r="AI69" s="220"/>
      <c r="AJ69" s="220"/>
      <c r="AK69" s="220"/>
      <c r="AL69" s="220"/>
      <c r="AM69" s="244"/>
      <c r="AN69" s="220"/>
      <c r="AO69" s="220"/>
      <c r="AP69" s="220"/>
      <c r="AQ69" s="220"/>
      <c r="AR69" s="220"/>
      <c r="AS69" s="244"/>
      <c r="AT69" s="244"/>
      <c r="AU69" s="220"/>
      <c r="AV69" s="220"/>
      <c r="AW69" s="220"/>
      <c r="AX69" s="220"/>
      <c r="AY69" s="220"/>
      <c r="AZ69" s="220"/>
      <c r="BA69" s="220"/>
      <c r="BB69" s="220"/>
      <c r="BC69" s="220"/>
      <c r="BD69" s="244"/>
    </row>
    <row r="70" spans="1:56" ht="12.75" customHeight="1" x14ac:dyDescent="0.25">
      <c r="A70" s="229"/>
      <c r="B70" s="229"/>
      <c r="C70" s="220"/>
      <c r="D70" s="220"/>
      <c r="E70" s="242"/>
      <c r="F70" s="248"/>
      <c r="G70" s="248"/>
      <c r="H70" s="248"/>
      <c r="I70" s="248"/>
      <c r="J70" s="248"/>
      <c r="K70" s="220"/>
      <c r="L70" s="248"/>
      <c r="M70" s="248"/>
      <c r="N70" s="244"/>
      <c r="O70" s="247"/>
      <c r="P70" s="244"/>
      <c r="Q70" s="247"/>
      <c r="R70" s="244"/>
      <c r="S70" s="247"/>
      <c r="T70" s="220"/>
      <c r="U70" s="220"/>
      <c r="V70" s="220"/>
      <c r="W70" s="250"/>
      <c r="X70" s="244"/>
      <c r="Y70" s="220"/>
      <c r="Z70" s="220"/>
      <c r="AA70" s="220"/>
      <c r="AB70" s="220"/>
      <c r="AC70" s="244"/>
      <c r="AD70" s="249"/>
      <c r="AE70" s="247"/>
      <c r="AF70" s="220"/>
      <c r="AG70" s="220"/>
      <c r="AH70" s="244"/>
      <c r="AI70" s="220"/>
      <c r="AJ70" s="220"/>
      <c r="AK70" s="220"/>
      <c r="AL70" s="220"/>
      <c r="AM70" s="244"/>
      <c r="AN70" s="220"/>
      <c r="AO70" s="220"/>
      <c r="AP70" s="220"/>
      <c r="AQ70" s="220"/>
      <c r="AR70" s="220"/>
      <c r="AS70" s="244"/>
      <c r="AT70" s="244"/>
      <c r="AU70" s="220"/>
      <c r="AV70" s="220"/>
      <c r="AW70" s="220"/>
      <c r="AX70" s="220"/>
      <c r="AY70" s="220"/>
      <c r="AZ70" s="220"/>
      <c r="BA70" s="220"/>
      <c r="BB70" s="220"/>
      <c r="BC70" s="220"/>
      <c r="BD70" s="244"/>
    </row>
    <row r="71" spans="1:56" ht="12.75" customHeight="1" x14ac:dyDescent="0.25">
      <c r="A71" s="229"/>
      <c r="B71" s="229"/>
      <c r="C71" s="220"/>
      <c r="D71" s="220"/>
      <c r="E71" s="242"/>
      <c r="F71" s="248"/>
      <c r="G71" s="248"/>
      <c r="H71" s="248"/>
      <c r="I71" s="248"/>
      <c r="J71" s="248"/>
      <c r="K71" s="220"/>
      <c r="L71" s="248"/>
      <c r="M71" s="248"/>
      <c r="N71" s="244"/>
      <c r="O71" s="247"/>
      <c r="P71" s="244"/>
      <c r="Q71" s="247"/>
      <c r="R71" s="244"/>
      <c r="S71" s="247"/>
      <c r="T71" s="220"/>
      <c r="U71" s="220"/>
      <c r="V71" s="220"/>
      <c r="W71" s="250"/>
      <c r="X71" s="244"/>
      <c r="Y71" s="220"/>
      <c r="Z71" s="220"/>
      <c r="AA71" s="220"/>
      <c r="AB71" s="220"/>
      <c r="AC71" s="244"/>
      <c r="AD71" s="249"/>
      <c r="AE71" s="247"/>
      <c r="AF71" s="220"/>
      <c r="AG71" s="220"/>
      <c r="AH71" s="244"/>
      <c r="AI71" s="220"/>
      <c r="AJ71" s="220"/>
      <c r="AK71" s="220"/>
      <c r="AL71" s="220"/>
      <c r="AM71" s="244"/>
      <c r="AN71" s="220"/>
      <c r="AO71" s="220"/>
      <c r="AP71" s="220"/>
      <c r="AQ71" s="220"/>
      <c r="AR71" s="220"/>
      <c r="AS71" s="244"/>
      <c r="AT71" s="244"/>
      <c r="AU71" s="220"/>
      <c r="AV71" s="220"/>
      <c r="AW71" s="220"/>
      <c r="AX71" s="220"/>
      <c r="AY71" s="220"/>
      <c r="AZ71" s="220"/>
      <c r="BA71" s="220"/>
      <c r="BB71" s="220"/>
      <c r="BC71" s="220"/>
      <c r="BD71" s="244"/>
    </row>
    <row r="72" spans="1:56" ht="12.75" customHeight="1" x14ac:dyDescent="0.25">
      <c r="A72" s="229"/>
      <c r="B72" s="229"/>
      <c r="C72" s="220"/>
      <c r="D72" s="220"/>
      <c r="E72" s="242"/>
      <c r="F72" s="248"/>
      <c r="G72" s="248"/>
      <c r="H72" s="248"/>
      <c r="I72" s="248"/>
      <c r="J72" s="248"/>
      <c r="K72" s="220"/>
      <c r="L72" s="248"/>
      <c r="M72" s="248"/>
      <c r="N72" s="244"/>
      <c r="O72" s="247"/>
      <c r="P72" s="244"/>
      <c r="Q72" s="247"/>
      <c r="R72" s="244"/>
      <c r="S72" s="247"/>
      <c r="T72" s="220"/>
      <c r="U72" s="220"/>
      <c r="V72" s="220"/>
      <c r="W72" s="250"/>
      <c r="X72" s="244"/>
      <c r="Y72" s="220"/>
      <c r="Z72" s="220"/>
      <c r="AA72" s="220"/>
      <c r="AB72" s="220"/>
      <c r="AC72" s="244"/>
      <c r="AD72" s="249"/>
      <c r="AE72" s="247"/>
      <c r="AF72" s="220"/>
      <c r="AG72" s="220"/>
      <c r="AH72" s="244"/>
      <c r="AI72" s="220"/>
      <c r="AJ72" s="220"/>
      <c r="AK72" s="220"/>
      <c r="AL72" s="220"/>
      <c r="AM72" s="244"/>
      <c r="AN72" s="220"/>
      <c r="AO72" s="220"/>
      <c r="AP72" s="220"/>
      <c r="AQ72" s="220"/>
      <c r="AR72" s="220"/>
      <c r="AS72" s="244"/>
      <c r="AT72" s="244"/>
      <c r="AU72" s="220"/>
      <c r="AV72" s="220"/>
      <c r="AW72" s="220"/>
      <c r="AX72" s="220"/>
      <c r="AY72" s="220"/>
      <c r="AZ72" s="220"/>
      <c r="BA72" s="220"/>
      <c r="BB72" s="220"/>
      <c r="BC72" s="220"/>
      <c r="BD72" s="244"/>
    </row>
    <row r="73" spans="1:56" ht="12.75" customHeight="1" x14ac:dyDescent="0.25">
      <c r="A73" s="229"/>
      <c r="B73" s="229"/>
      <c r="C73" s="220"/>
      <c r="D73" s="220"/>
      <c r="E73" s="242"/>
      <c r="F73" s="248"/>
      <c r="G73" s="248"/>
      <c r="H73" s="248"/>
      <c r="I73" s="248"/>
      <c r="J73" s="248"/>
      <c r="K73" s="220"/>
      <c r="L73" s="248"/>
      <c r="M73" s="248"/>
      <c r="N73" s="244"/>
      <c r="O73" s="247"/>
      <c r="P73" s="244"/>
      <c r="Q73" s="247"/>
      <c r="R73" s="244"/>
      <c r="S73" s="247"/>
      <c r="T73" s="220"/>
      <c r="U73" s="220"/>
      <c r="V73" s="220"/>
      <c r="W73" s="250"/>
      <c r="X73" s="244"/>
      <c r="Y73" s="220"/>
      <c r="Z73" s="220"/>
      <c r="AA73" s="220"/>
      <c r="AB73" s="220"/>
      <c r="AC73" s="244"/>
      <c r="AD73" s="249"/>
      <c r="AE73" s="247"/>
      <c r="AF73" s="220"/>
      <c r="AG73" s="220"/>
      <c r="AH73" s="244"/>
      <c r="AI73" s="220"/>
      <c r="AJ73" s="220"/>
      <c r="AK73" s="220"/>
      <c r="AL73" s="220"/>
      <c r="AM73" s="244"/>
      <c r="AN73" s="220"/>
      <c r="AO73" s="220"/>
      <c r="AP73" s="220"/>
      <c r="AQ73" s="220"/>
      <c r="AR73" s="220"/>
      <c r="AS73" s="244"/>
      <c r="AT73" s="244"/>
      <c r="AU73" s="220"/>
      <c r="AV73" s="220"/>
      <c r="AW73" s="220"/>
      <c r="AX73" s="220"/>
      <c r="AY73" s="220"/>
      <c r="AZ73" s="220"/>
      <c r="BA73" s="220"/>
      <c r="BB73" s="220"/>
      <c r="BC73" s="220"/>
      <c r="BD73" s="244"/>
    </row>
    <row r="74" spans="1:56" ht="12.75" customHeight="1" x14ac:dyDescent="0.25">
      <c r="A74" s="229"/>
      <c r="B74" s="229"/>
      <c r="C74" s="220"/>
      <c r="D74" s="220"/>
      <c r="E74" s="242"/>
      <c r="F74" s="248"/>
      <c r="G74" s="248"/>
      <c r="H74" s="248"/>
      <c r="I74" s="248"/>
      <c r="J74" s="248"/>
      <c r="K74" s="220"/>
      <c r="L74" s="248"/>
      <c r="M74" s="248"/>
      <c r="N74" s="244"/>
      <c r="O74" s="247"/>
      <c r="P74" s="244"/>
      <c r="Q74" s="247"/>
      <c r="R74" s="244"/>
      <c r="S74" s="247"/>
      <c r="T74" s="220"/>
      <c r="U74" s="220"/>
      <c r="V74" s="220"/>
      <c r="W74" s="250"/>
      <c r="X74" s="244"/>
      <c r="Y74" s="220"/>
      <c r="Z74" s="220"/>
      <c r="AA74" s="220"/>
      <c r="AB74" s="220"/>
      <c r="AC74" s="244"/>
      <c r="AD74" s="249"/>
      <c r="AE74" s="247"/>
      <c r="AF74" s="220"/>
      <c r="AG74" s="220"/>
      <c r="AH74" s="244"/>
      <c r="AI74" s="220"/>
      <c r="AJ74" s="220"/>
      <c r="AK74" s="220"/>
      <c r="AL74" s="220"/>
      <c r="AM74" s="244"/>
      <c r="AN74" s="220"/>
      <c r="AO74" s="220"/>
      <c r="AP74" s="220"/>
      <c r="AQ74" s="220"/>
      <c r="AR74" s="220"/>
      <c r="AS74" s="244"/>
      <c r="AT74" s="244"/>
      <c r="AU74" s="220"/>
      <c r="AV74" s="220"/>
      <c r="AW74" s="220"/>
      <c r="AX74" s="220"/>
      <c r="AY74" s="220"/>
      <c r="AZ74" s="220"/>
      <c r="BA74" s="220"/>
      <c r="BB74" s="220"/>
      <c r="BC74" s="220"/>
      <c r="BD74" s="244"/>
    </row>
    <row r="75" spans="1:56" ht="12.75" customHeight="1" x14ac:dyDescent="0.25">
      <c r="A75" s="229"/>
      <c r="B75" s="229"/>
      <c r="C75" s="220"/>
      <c r="D75" s="220"/>
      <c r="E75" s="242"/>
      <c r="F75" s="248"/>
      <c r="G75" s="248"/>
      <c r="H75" s="248"/>
      <c r="I75" s="248"/>
      <c r="J75" s="248"/>
      <c r="K75" s="220"/>
      <c r="L75" s="248"/>
      <c r="M75" s="248"/>
      <c r="N75" s="244"/>
      <c r="O75" s="247"/>
      <c r="P75" s="244"/>
      <c r="Q75" s="247"/>
      <c r="R75" s="244"/>
      <c r="S75" s="247"/>
      <c r="T75" s="220"/>
      <c r="U75" s="220"/>
      <c r="V75" s="220"/>
      <c r="W75" s="250"/>
      <c r="X75" s="244"/>
      <c r="Y75" s="220"/>
      <c r="Z75" s="220"/>
      <c r="AA75" s="220"/>
      <c r="AB75" s="220"/>
      <c r="AC75" s="244"/>
      <c r="AD75" s="249"/>
      <c r="AE75" s="247"/>
      <c r="AF75" s="220"/>
      <c r="AG75" s="220"/>
      <c r="AH75" s="244"/>
      <c r="AI75" s="220"/>
      <c r="AJ75" s="220"/>
      <c r="AK75" s="220"/>
      <c r="AL75" s="220"/>
      <c r="AM75" s="244"/>
      <c r="AN75" s="220"/>
      <c r="AO75" s="220"/>
      <c r="AP75" s="220"/>
      <c r="AQ75" s="220"/>
      <c r="AR75" s="220"/>
      <c r="AS75" s="244"/>
      <c r="AT75" s="244"/>
      <c r="AU75" s="220"/>
      <c r="AV75" s="220"/>
      <c r="AW75" s="220"/>
      <c r="AX75" s="220"/>
      <c r="AY75" s="220"/>
      <c r="AZ75" s="220"/>
      <c r="BA75" s="220"/>
      <c r="BB75" s="220"/>
      <c r="BC75" s="220"/>
      <c r="BD75" s="244"/>
    </row>
    <row r="76" spans="1:56" ht="12.75" customHeight="1" x14ac:dyDescent="0.25">
      <c r="A76" s="229"/>
      <c r="B76" s="229"/>
      <c r="C76" s="220"/>
      <c r="D76" s="220"/>
      <c r="E76" s="242"/>
      <c r="F76" s="248"/>
      <c r="G76" s="248"/>
      <c r="H76" s="248"/>
      <c r="I76" s="248"/>
      <c r="J76" s="248"/>
      <c r="K76" s="220"/>
      <c r="L76" s="248"/>
      <c r="M76" s="248"/>
      <c r="N76" s="244"/>
      <c r="O76" s="247"/>
      <c r="P76" s="244"/>
      <c r="Q76" s="247"/>
      <c r="R76" s="244"/>
      <c r="S76" s="247"/>
      <c r="T76" s="220"/>
      <c r="U76" s="220"/>
      <c r="V76" s="220"/>
      <c r="W76" s="250"/>
      <c r="X76" s="244"/>
      <c r="Y76" s="220"/>
      <c r="Z76" s="220"/>
      <c r="AA76" s="220"/>
      <c r="AB76" s="220"/>
      <c r="AC76" s="244"/>
      <c r="AD76" s="249"/>
      <c r="AE76" s="247"/>
      <c r="AF76" s="220"/>
      <c r="AG76" s="220"/>
      <c r="AH76" s="244"/>
      <c r="AI76" s="220"/>
      <c r="AJ76" s="220"/>
      <c r="AK76" s="220"/>
      <c r="AL76" s="220"/>
      <c r="AM76" s="244"/>
      <c r="AN76" s="220"/>
      <c r="AO76" s="220"/>
      <c r="AP76" s="220"/>
      <c r="AQ76" s="220"/>
      <c r="AR76" s="220"/>
      <c r="AS76" s="244"/>
      <c r="AT76" s="244"/>
      <c r="AU76" s="220"/>
      <c r="AV76" s="220"/>
      <c r="AW76" s="220"/>
      <c r="AX76" s="220"/>
      <c r="AY76" s="220"/>
      <c r="AZ76" s="220"/>
      <c r="BA76" s="220"/>
      <c r="BB76" s="220"/>
      <c r="BC76" s="220"/>
      <c r="BD76" s="244"/>
    </row>
    <row r="77" spans="1:56" ht="12.75" customHeight="1" x14ac:dyDescent="0.25">
      <c r="A77" s="229"/>
      <c r="B77" s="229"/>
      <c r="C77" s="220"/>
      <c r="D77" s="220"/>
      <c r="E77" s="242"/>
      <c r="F77" s="248"/>
      <c r="G77" s="248"/>
      <c r="H77" s="248"/>
      <c r="I77" s="248"/>
      <c r="J77" s="248"/>
      <c r="K77" s="220"/>
      <c r="L77" s="248"/>
      <c r="M77" s="248"/>
      <c r="N77" s="244"/>
      <c r="O77" s="247"/>
      <c r="P77" s="244"/>
      <c r="Q77" s="247"/>
      <c r="R77" s="244"/>
      <c r="S77" s="247"/>
      <c r="T77" s="220"/>
      <c r="U77" s="220"/>
      <c r="V77" s="220"/>
      <c r="W77" s="250"/>
      <c r="X77" s="244"/>
      <c r="Y77" s="220"/>
      <c r="Z77" s="220"/>
      <c r="AA77" s="220"/>
      <c r="AB77" s="220"/>
      <c r="AC77" s="244"/>
      <c r="AD77" s="249"/>
      <c r="AE77" s="247"/>
      <c r="AF77" s="220"/>
      <c r="AG77" s="220"/>
      <c r="AH77" s="244"/>
      <c r="AI77" s="220"/>
      <c r="AJ77" s="220"/>
      <c r="AK77" s="220"/>
      <c r="AL77" s="220"/>
      <c r="AM77" s="244"/>
      <c r="AN77" s="220"/>
      <c r="AO77" s="220"/>
      <c r="AP77" s="220"/>
      <c r="AQ77" s="220"/>
      <c r="AR77" s="220"/>
      <c r="AS77" s="244"/>
      <c r="AT77" s="244"/>
      <c r="AU77" s="220"/>
      <c r="AV77" s="220"/>
      <c r="AW77" s="220"/>
      <c r="AX77" s="220"/>
      <c r="AY77" s="220"/>
      <c r="AZ77" s="220"/>
      <c r="BA77" s="220"/>
      <c r="BB77" s="220"/>
      <c r="BC77" s="220"/>
      <c r="BD77" s="244"/>
    </row>
    <row r="78" spans="1:56" ht="12.75" customHeight="1" x14ac:dyDescent="0.25">
      <c r="A78" s="229"/>
      <c r="B78" s="229"/>
      <c r="C78" s="220"/>
      <c r="D78" s="220"/>
      <c r="E78" s="242"/>
      <c r="F78" s="248"/>
      <c r="G78" s="248"/>
      <c r="H78" s="248"/>
      <c r="I78" s="248"/>
      <c r="J78" s="248"/>
      <c r="K78" s="220"/>
      <c r="L78" s="248"/>
      <c r="M78" s="248"/>
      <c r="N78" s="244"/>
      <c r="O78" s="247"/>
      <c r="P78" s="244"/>
      <c r="Q78" s="247"/>
      <c r="R78" s="244"/>
      <c r="S78" s="247"/>
      <c r="T78" s="220"/>
      <c r="U78" s="220"/>
      <c r="V78" s="220"/>
      <c r="W78" s="250"/>
      <c r="X78" s="244"/>
      <c r="Y78" s="220"/>
      <c r="Z78" s="220"/>
      <c r="AA78" s="220"/>
      <c r="AB78" s="220"/>
      <c r="AC78" s="244"/>
      <c r="AD78" s="249"/>
      <c r="AE78" s="247"/>
      <c r="AF78" s="220"/>
      <c r="AG78" s="220"/>
      <c r="AH78" s="244"/>
      <c r="AI78" s="220"/>
      <c r="AJ78" s="220"/>
      <c r="AK78" s="220"/>
      <c r="AL78" s="220"/>
      <c r="AM78" s="244"/>
      <c r="AN78" s="220"/>
      <c r="AO78" s="220"/>
      <c r="AP78" s="220"/>
      <c r="AQ78" s="220"/>
      <c r="AR78" s="220"/>
      <c r="AS78" s="244"/>
      <c r="AT78" s="244"/>
      <c r="AU78" s="220"/>
      <c r="AV78" s="220"/>
      <c r="AW78" s="220"/>
      <c r="AX78" s="220"/>
      <c r="AY78" s="220"/>
      <c r="AZ78" s="220"/>
      <c r="BA78" s="220"/>
      <c r="BB78" s="220"/>
      <c r="BC78" s="220"/>
      <c r="BD78" s="244"/>
    </row>
    <row r="79" spans="1:56" ht="12.75" customHeight="1" x14ac:dyDescent="0.25">
      <c r="A79" s="229"/>
      <c r="B79" s="229"/>
      <c r="C79" s="220"/>
      <c r="D79" s="220"/>
      <c r="E79" s="242"/>
      <c r="F79" s="248"/>
      <c r="G79" s="248"/>
      <c r="H79" s="248"/>
      <c r="I79" s="248"/>
      <c r="J79" s="248"/>
      <c r="K79" s="220"/>
      <c r="L79" s="248"/>
      <c r="M79" s="248"/>
      <c r="N79" s="244"/>
      <c r="O79" s="247"/>
      <c r="P79" s="244"/>
      <c r="Q79" s="247"/>
      <c r="R79" s="244"/>
      <c r="S79" s="247"/>
      <c r="T79" s="220"/>
      <c r="U79" s="220"/>
      <c r="V79" s="220"/>
      <c r="W79" s="250"/>
      <c r="X79" s="244"/>
      <c r="Y79" s="220"/>
      <c r="Z79" s="220"/>
      <c r="AA79" s="220"/>
      <c r="AB79" s="220"/>
      <c r="AC79" s="244"/>
      <c r="AD79" s="249"/>
      <c r="AE79" s="247"/>
      <c r="AF79" s="220"/>
      <c r="AG79" s="220"/>
      <c r="AH79" s="244"/>
      <c r="AI79" s="220"/>
      <c r="AJ79" s="220"/>
      <c r="AK79" s="220"/>
      <c r="AL79" s="220"/>
      <c r="AM79" s="244"/>
      <c r="AN79" s="220"/>
      <c r="AO79" s="220"/>
      <c r="AP79" s="220"/>
      <c r="AQ79" s="220"/>
      <c r="AR79" s="220"/>
      <c r="AS79" s="244"/>
      <c r="AT79" s="244"/>
      <c r="AU79" s="220"/>
      <c r="AV79" s="220"/>
      <c r="AW79" s="220"/>
      <c r="AX79" s="220"/>
      <c r="AY79" s="220"/>
      <c r="AZ79" s="220"/>
      <c r="BA79" s="220"/>
      <c r="BB79" s="220"/>
      <c r="BC79" s="220"/>
      <c r="BD79" s="244"/>
    </row>
    <row r="80" spans="1:56" ht="12.75" customHeight="1" x14ac:dyDescent="0.25">
      <c r="A80" s="229"/>
      <c r="B80" s="229"/>
      <c r="C80" s="220"/>
      <c r="D80" s="220"/>
      <c r="E80" s="242"/>
      <c r="F80" s="248"/>
      <c r="G80" s="248"/>
      <c r="H80" s="248"/>
      <c r="I80" s="248"/>
      <c r="J80" s="248"/>
      <c r="K80" s="220"/>
      <c r="L80" s="248"/>
      <c r="M80" s="248"/>
      <c r="N80" s="244"/>
      <c r="O80" s="247"/>
      <c r="P80" s="244"/>
      <c r="Q80" s="247"/>
      <c r="R80" s="244"/>
      <c r="S80" s="247"/>
      <c r="T80" s="220"/>
      <c r="U80" s="220"/>
      <c r="V80" s="220"/>
      <c r="W80" s="250"/>
      <c r="X80" s="244"/>
      <c r="Y80" s="220"/>
      <c r="Z80" s="220"/>
      <c r="AA80" s="220"/>
      <c r="AB80" s="220"/>
      <c r="AC80" s="244"/>
      <c r="AD80" s="249"/>
      <c r="AE80" s="247"/>
      <c r="AF80" s="220"/>
      <c r="AG80" s="220"/>
      <c r="AH80" s="244"/>
      <c r="AI80" s="220"/>
      <c r="AJ80" s="220"/>
      <c r="AK80" s="220"/>
      <c r="AL80" s="220"/>
      <c r="AM80" s="244"/>
      <c r="AN80" s="220"/>
      <c r="AO80" s="220"/>
      <c r="AP80" s="220"/>
      <c r="AQ80" s="220"/>
      <c r="AR80" s="220"/>
      <c r="AS80" s="244"/>
      <c r="AT80" s="244"/>
      <c r="AU80" s="220"/>
      <c r="AV80" s="220"/>
      <c r="AW80" s="220"/>
      <c r="AX80" s="220"/>
      <c r="AY80" s="220"/>
      <c r="AZ80" s="220"/>
      <c r="BA80" s="220"/>
      <c r="BB80" s="220"/>
      <c r="BC80" s="220"/>
      <c r="BD80" s="244"/>
    </row>
    <row r="81" spans="1:56" ht="12.75" customHeight="1" x14ac:dyDescent="0.25">
      <c r="A81" s="229"/>
      <c r="B81" s="229"/>
      <c r="C81" s="220"/>
      <c r="D81" s="220"/>
      <c r="E81" s="242"/>
      <c r="F81" s="248"/>
      <c r="G81" s="248"/>
      <c r="H81" s="248"/>
      <c r="I81" s="248"/>
      <c r="J81" s="248"/>
      <c r="K81" s="220"/>
      <c r="L81" s="248"/>
      <c r="M81" s="248"/>
      <c r="N81" s="244"/>
      <c r="O81" s="247"/>
      <c r="P81" s="244"/>
      <c r="Q81" s="247"/>
      <c r="R81" s="244"/>
      <c r="S81" s="247"/>
      <c r="T81" s="220"/>
      <c r="U81" s="220"/>
      <c r="V81" s="220"/>
      <c r="W81" s="250"/>
      <c r="X81" s="244"/>
      <c r="Y81" s="220"/>
      <c r="Z81" s="220"/>
      <c r="AA81" s="220"/>
      <c r="AB81" s="220"/>
      <c r="AC81" s="244"/>
      <c r="AD81" s="249"/>
      <c r="AE81" s="247"/>
      <c r="AF81" s="220"/>
      <c r="AG81" s="220"/>
      <c r="AH81" s="244"/>
      <c r="AI81" s="220"/>
      <c r="AJ81" s="220"/>
      <c r="AK81" s="220"/>
      <c r="AL81" s="220"/>
      <c r="AM81" s="244"/>
      <c r="AN81" s="220"/>
      <c r="AO81" s="220"/>
      <c r="AP81" s="220"/>
      <c r="AQ81" s="220"/>
      <c r="AR81" s="220"/>
      <c r="AS81" s="244"/>
      <c r="AT81" s="244"/>
      <c r="AU81" s="220"/>
      <c r="AV81" s="220"/>
      <c r="AW81" s="220"/>
      <c r="AX81" s="220"/>
      <c r="AY81" s="220"/>
      <c r="AZ81" s="220"/>
      <c r="BA81" s="220"/>
      <c r="BB81" s="220"/>
      <c r="BC81" s="220"/>
      <c r="BD81" s="244"/>
    </row>
    <row r="82" spans="1:56" ht="12.75" customHeight="1" x14ac:dyDescent="0.25">
      <c r="A82" s="229"/>
      <c r="B82" s="229"/>
      <c r="C82" s="220"/>
      <c r="D82" s="220"/>
      <c r="E82" s="242"/>
      <c r="F82" s="248"/>
      <c r="G82" s="248"/>
      <c r="H82" s="248"/>
      <c r="I82" s="248"/>
      <c r="J82" s="248"/>
      <c r="K82" s="220"/>
      <c r="L82" s="248"/>
      <c r="M82" s="248"/>
      <c r="N82" s="244"/>
      <c r="O82" s="247"/>
      <c r="P82" s="244"/>
      <c r="Q82" s="247"/>
      <c r="R82" s="244"/>
      <c r="S82" s="247"/>
      <c r="T82" s="220"/>
      <c r="U82" s="220"/>
      <c r="V82" s="220"/>
      <c r="W82" s="250"/>
      <c r="X82" s="244"/>
      <c r="Y82" s="220"/>
      <c r="Z82" s="220"/>
      <c r="AA82" s="220"/>
      <c r="AB82" s="220"/>
      <c r="AC82" s="244"/>
      <c r="AD82" s="249"/>
      <c r="AE82" s="247"/>
      <c r="AF82" s="220"/>
      <c r="AG82" s="220"/>
      <c r="AH82" s="244"/>
      <c r="AI82" s="220"/>
      <c r="AJ82" s="220"/>
      <c r="AK82" s="220"/>
      <c r="AL82" s="220"/>
      <c r="AM82" s="244"/>
      <c r="AN82" s="220"/>
      <c r="AO82" s="220"/>
      <c r="AP82" s="220"/>
      <c r="AQ82" s="220"/>
      <c r="AR82" s="220"/>
      <c r="AS82" s="244"/>
      <c r="AT82" s="244"/>
      <c r="AU82" s="220"/>
      <c r="AV82" s="220"/>
      <c r="AW82" s="220"/>
      <c r="AX82" s="220"/>
      <c r="AY82" s="220"/>
      <c r="AZ82" s="220"/>
      <c r="BA82" s="220"/>
      <c r="BB82" s="220"/>
      <c r="BC82" s="220"/>
      <c r="BD82" s="244"/>
    </row>
    <row r="83" spans="1:56" ht="12.75" customHeight="1" x14ac:dyDescent="0.25">
      <c r="A83" s="229"/>
      <c r="B83" s="229"/>
      <c r="C83" s="220"/>
      <c r="D83" s="220"/>
      <c r="E83" s="242"/>
      <c r="F83" s="248"/>
      <c r="G83" s="248"/>
      <c r="H83" s="248"/>
      <c r="I83" s="248"/>
      <c r="J83" s="248"/>
      <c r="K83" s="220"/>
      <c r="L83" s="248"/>
      <c r="M83" s="248"/>
      <c r="N83" s="244"/>
      <c r="O83" s="247"/>
      <c r="P83" s="244"/>
      <c r="Q83" s="247"/>
      <c r="R83" s="244"/>
      <c r="S83" s="247"/>
      <c r="T83" s="220"/>
      <c r="U83" s="220"/>
      <c r="V83" s="220"/>
      <c r="W83" s="250"/>
      <c r="X83" s="244"/>
      <c r="Y83" s="220"/>
      <c r="Z83" s="220"/>
      <c r="AA83" s="220"/>
      <c r="AB83" s="220"/>
      <c r="AC83" s="244"/>
      <c r="AD83" s="249"/>
      <c r="AE83" s="247"/>
      <c r="AF83" s="220"/>
      <c r="AG83" s="220"/>
      <c r="AH83" s="244"/>
      <c r="AI83" s="220"/>
      <c r="AJ83" s="220"/>
      <c r="AK83" s="220"/>
      <c r="AL83" s="220"/>
      <c r="AM83" s="244"/>
      <c r="AN83" s="220"/>
      <c r="AO83" s="220"/>
      <c r="AP83" s="220"/>
      <c r="AQ83" s="220"/>
      <c r="AR83" s="220"/>
      <c r="AS83" s="244"/>
      <c r="AT83" s="244"/>
      <c r="AU83" s="220"/>
      <c r="AV83" s="220"/>
      <c r="AW83" s="220"/>
      <c r="AX83" s="220"/>
      <c r="AY83" s="220"/>
      <c r="AZ83" s="220"/>
      <c r="BA83" s="220"/>
      <c r="BB83" s="220"/>
      <c r="BC83" s="220"/>
      <c r="BD83" s="244"/>
    </row>
    <row r="84" spans="1:56" ht="12.75" customHeight="1" x14ac:dyDescent="0.25">
      <c r="A84" s="229"/>
      <c r="B84" s="229"/>
      <c r="C84" s="220"/>
      <c r="D84" s="220"/>
      <c r="E84" s="242"/>
      <c r="F84" s="248"/>
      <c r="G84" s="248"/>
      <c r="H84" s="248"/>
      <c r="I84" s="248"/>
      <c r="J84" s="248"/>
      <c r="K84" s="220"/>
      <c r="L84" s="248"/>
      <c r="M84" s="248"/>
      <c r="N84" s="244"/>
      <c r="O84" s="247"/>
      <c r="P84" s="244"/>
      <c r="Q84" s="247"/>
      <c r="R84" s="244"/>
      <c r="S84" s="247"/>
      <c r="T84" s="220"/>
      <c r="U84" s="220"/>
      <c r="V84" s="220"/>
      <c r="W84" s="250"/>
      <c r="X84" s="244"/>
      <c r="Y84" s="220"/>
      <c r="Z84" s="220"/>
      <c r="AA84" s="220"/>
      <c r="AB84" s="220"/>
      <c r="AC84" s="244"/>
      <c r="AD84" s="249"/>
      <c r="AE84" s="247"/>
      <c r="AF84" s="220"/>
      <c r="AG84" s="220"/>
      <c r="AH84" s="244"/>
      <c r="AI84" s="220"/>
      <c r="AJ84" s="220"/>
      <c r="AK84" s="220"/>
      <c r="AL84" s="220"/>
      <c r="AM84" s="244"/>
      <c r="AN84" s="220"/>
      <c r="AO84" s="220"/>
      <c r="AP84" s="220"/>
      <c r="AQ84" s="220"/>
      <c r="AR84" s="220"/>
      <c r="AS84" s="244"/>
      <c r="AT84" s="244"/>
      <c r="AU84" s="220"/>
      <c r="AV84" s="220"/>
      <c r="AW84" s="220"/>
      <c r="AX84" s="220"/>
      <c r="AY84" s="220"/>
      <c r="AZ84" s="220"/>
      <c r="BA84" s="220"/>
      <c r="BB84" s="220"/>
      <c r="BC84" s="220"/>
      <c r="BD84" s="244"/>
    </row>
    <row r="85" spans="1:56" ht="12.75" customHeight="1" x14ac:dyDescent="0.25">
      <c r="A85" s="229"/>
      <c r="B85" s="229"/>
      <c r="C85" s="220"/>
      <c r="D85" s="220"/>
      <c r="E85" s="242"/>
      <c r="F85" s="248"/>
      <c r="G85" s="248"/>
      <c r="H85" s="248"/>
      <c r="I85" s="248"/>
      <c r="J85" s="248"/>
      <c r="K85" s="220"/>
      <c r="L85" s="248"/>
      <c r="M85" s="248"/>
      <c r="N85" s="244"/>
      <c r="O85" s="247"/>
      <c r="P85" s="244"/>
      <c r="Q85" s="247"/>
      <c r="R85" s="244"/>
      <c r="S85" s="247"/>
      <c r="T85" s="220"/>
      <c r="U85" s="220"/>
      <c r="V85" s="220"/>
      <c r="W85" s="250"/>
      <c r="X85" s="244"/>
      <c r="Y85" s="220"/>
      <c r="Z85" s="220"/>
      <c r="AA85" s="220"/>
      <c r="AB85" s="220"/>
      <c r="AC85" s="244"/>
      <c r="AD85" s="249"/>
      <c r="AE85" s="247"/>
      <c r="AF85" s="220"/>
      <c r="AG85" s="220"/>
      <c r="AH85" s="244"/>
      <c r="AI85" s="220"/>
      <c r="AJ85" s="220"/>
      <c r="AK85" s="220"/>
      <c r="AL85" s="220"/>
      <c r="AM85" s="244"/>
      <c r="AN85" s="220"/>
      <c r="AO85" s="220"/>
      <c r="AP85" s="220"/>
      <c r="AQ85" s="220"/>
      <c r="AR85" s="220"/>
      <c r="AS85" s="244"/>
      <c r="AT85" s="244"/>
      <c r="AU85" s="220"/>
      <c r="AV85" s="220"/>
      <c r="AW85" s="220"/>
      <c r="AX85" s="220"/>
      <c r="AY85" s="220"/>
      <c r="AZ85" s="220"/>
      <c r="BA85" s="220"/>
      <c r="BB85" s="220"/>
      <c r="BC85" s="220"/>
      <c r="BD85" s="244"/>
    </row>
    <row r="86" spans="1:56" ht="12.75" customHeight="1" x14ac:dyDescent="0.25">
      <c r="A86" s="229"/>
      <c r="B86" s="229"/>
      <c r="C86" s="220"/>
      <c r="D86" s="220"/>
      <c r="E86" s="242"/>
      <c r="F86" s="248"/>
      <c r="G86" s="248"/>
      <c r="H86" s="248"/>
      <c r="I86" s="248"/>
      <c r="J86" s="248"/>
      <c r="K86" s="220"/>
      <c r="L86" s="248"/>
      <c r="M86" s="248"/>
      <c r="N86" s="244"/>
      <c r="O86" s="247"/>
      <c r="P86" s="244"/>
      <c r="Q86" s="247"/>
      <c r="R86" s="244"/>
      <c r="S86" s="247"/>
      <c r="T86" s="220"/>
      <c r="U86" s="220"/>
      <c r="V86" s="220"/>
      <c r="W86" s="250"/>
      <c r="X86" s="244"/>
      <c r="Y86" s="220"/>
      <c r="Z86" s="220"/>
      <c r="AA86" s="220"/>
      <c r="AB86" s="220"/>
      <c r="AC86" s="244"/>
      <c r="AD86" s="249"/>
      <c r="AE86" s="247"/>
      <c r="AF86" s="220"/>
      <c r="AG86" s="220"/>
      <c r="AH86" s="244"/>
      <c r="AI86" s="220"/>
      <c r="AJ86" s="220"/>
      <c r="AK86" s="220"/>
      <c r="AL86" s="220"/>
      <c r="AM86" s="244"/>
      <c r="AN86" s="220"/>
      <c r="AO86" s="220"/>
      <c r="AP86" s="220"/>
      <c r="AQ86" s="220"/>
      <c r="AR86" s="220"/>
      <c r="AS86" s="244"/>
      <c r="AT86" s="244"/>
      <c r="AU86" s="220"/>
      <c r="AV86" s="220"/>
      <c r="AW86" s="220"/>
      <c r="AX86" s="220"/>
      <c r="AY86" s="220"/>
      <c r="AZ86" s="220"/>
      <c r="BA86" s="220"/>
      <c r="BB86" s="220"/>
      <c r="BC86" s="220"/>
      <c r="BD86" s="244"/>
    </row>
    <row r="87" spans="1:56" ht="12.75" customHeight="1" x14ac:dyDescent="0.25">
      <c r="A87" s="229"/>
      <c r="B87" s="229"/>
      <c r="C87" s="220"/>
      <c r="D87" s="220"/>
      <c r="E87" s="242"/>
      <c r="F87" s="248"/>
      <c r="G87" s="248"/>
      <c r="H87" s="248"/>
      <c r="I87" s="248"/>
      <c r="J87" s="248"/>
      <c r="K87" s="220"/>
      <c r="L87" s="248"/>
      <c r="M87" s="248"/>
      <c r="N87" s="244"/>
      <c r="O87" s="247"/>
      <c r="P87" s="244"/>
      <c r="Q87" s="247"/>
      <c r="R87" s="244"/>
      <c r="S87" s="247"/>
      <c r="T87" s="220"/>
      <c r="U87" s="220"/>
      <c r="V87" s="220"/>
      <c r="W87" s="250"/>
      <c r="X87" s="244"/>
      <c r="Y87" s="220"/>
      <c r="Z87" s="220"/>
      <c r="AA87" s="220"/>
      <c r="AB87" s="220"/>
      <c r="AC87" s="244"/>
      <c r="AD87" s="249"/>
      <c r="AE87" s="247"/>
      <c r="AF87" s="220"/>
      <c r="AG87" s="220"/>
      <c r="AH87" s="244"/>
      <c r="AI87" s="220"/>
      <c r="AJ87" s="220"/>
      <c r="AK87" s="220"/>
      <c r="AL87" s="220"/>
      <c r="AM87" s="244"/>
      <c r="AN87" s="220"/>
      <c r="AO87" s="220"/>
      <c r="AP87" s="220"/>
      <c r="AQ87" s="220"/>
      <c r="AR87" s="220"/>
      <c r="AS87" s="244"/>
      <c r="AT87" s="244"/>
      <c r="AU87" s="220"/>
      <c r="AV87" s="220"/>
      <c r="AW87" s="220"/>
      <c r="AX87" s="220"/>
      <c r="AY87" s="220"/>
      <c r="AZ87" s="220"/>
      <c r="BA87" s="220"/>
      <c r="BB87" s="220"/>
      <c r="BC87" s="220"/>
      <c r="BD87" s="244"/>
    </row>
    <row r="88" spans="1:56" ht="12.75" customHeight="1" x14ac:dyDescent="0.25">
      <c r="A88" s="229"/>
      <c r="B88" s="229"/>
      <c r="C88" s="220"/>
      <c r="D88" s="220"/>
      <c r="E88" s="242"/>
      <c r="F88" s="248"/>
      <c r="G88" s="248"/>
      <c r="H88" s="248"/>
      <c r="I88" s="248"/>
      <c r="J88" s="248"/>
      <c r="K88" s="220"/>
      <c r="L88" s="248"/>
      <c r="M88" s="248"/>
      <c r="N88" s="244"/>
      <c r="O88" s="247"/>
      <c r="P88" s="244"/>
      <c r="Q88" s="247"/>
      <c r="R88" s="244"/>
      <c r="S88" s="247"/>
      <c r="T88" s="220"/>
      <c r="U88" s="220"/>
      <c r="V88" s="220"/>
      <c r="W88" s="250"/>
      <c r="X88" s="244"/>
      <c r="Y88" s="220"/>
      <c r="Z88" s="220"/>
      <c r="AA88" s="220"/>
      <c r="AB88" s="220"/>
      <c r="AC88" s="244"/>
      <c r="AD88" s="249"/>
      <c r="AE88" s="247"/>
      <c r="AF88" s="220"/>
      <c r="AG88" s="220"/>
      <c r="AH88" s="244"/>
      <c r="AI88" s="220"/>
      <c r="AJ88" s="220"/>
      <c r="AK88" s="220"/>
      <c r="AL88" s="220"/>
      <c r="AM88" s="244"/>
      <c r="AN88" s="220"/>
      <c r="AO88" s="220"/>
      <c r="AP88" s="220"/>
      <c r="AQ88" s="220"/>
      <c r="AR88" s="220"/>
      <c r="AS88" s="244"/>
      <c r="AT88" s="244"/>
      <c r="AU88" s="220"/>
      <c r="AV88" s="220"/>
      <c r="AW88" s="220"/>
      <c r="AX88" s="220"/>
      <c r="AY88" s="220"/>
      <c r="AZ88" s="220"/>
      <c r="BA88" s="220"/>
      <c r="BB88" s="220"/>
      <c r="BC88" s="220"/>
      <c r="BD88" s="244"/>
    </row>
    <row r="89" spans="1:56" ht="12.75" customHeight="1" x14ac:dyDescent="0.25">
      <c r="A89" s="229"/>
      <c r="B89" s="229"/>
      <c r="C89" s="220"/>
      <c r="D89" s="220"/>
      <c r="E89" s="242"/>
      <c r="F89" s="248"/>
      <c r="G89" s="248"/>
      <c r="H89" s="248"/>
      <c r="I89" s="248"/>
      <c r="J89" s="248"/>
      <c r="K89" s="220"/>
      <c r="L89" s="248"/>
      <c r="M89" s="248"/>
      <c r="N89" s="244"/>
      <c r="O89" s="247"/>
      <c r="P89" s="244"/>
      <c r="Q89" s="247"/>
      <c r="R89" s="244"/>
      <c r="S89" s="247"/>
      <c r="T89" s="220"/>
      <c r="U89" s="220"/>
      <c r="V89" s="220"/>
      <c r="W89" s="250"/>
      <c r="X89" s="244"/>
      <c r="Y89" s="220"/>
      <c r="Z89" s="220"/>
      <c r="AA89" s="220"/>
      <c r="AB89" s="220"/>
      <c r="AC89" s="244"/>
      <c r="AD89" s="249"/>
      <c r="AE89" s="247"/>
      <c r="AF89" s="220"/>
      <c r="AG89" s="220"/>
      <c r="AH89" s="244"/>
      <c r="AI89" s="220"/>
      <c r="AJ89" s="220"/>
      <c r="AK89" s="220"/>
      <c r="AL89" s="220"/>
      <c r="AM89" s="244"/>
      <c r="AN89" s="220"/>
      <c r="AO89" s="220"/>
      <c r="AP89" s="220"/>
      <c r="AQ89" s="220"/>
      <c r="AR89" s="220"/>
      <c r="AS89" s="244"/>
      <c r="AT89" s="244"/>
      <c r="AU89" s="220"/>
      <c r="AV89" s="220"/>
      <c r="AW89" s="220"/>
      <c r="AX89" s="220"/>
      <c r="AY89" s="220"/>
      <c r="AZ89" s="220"/>
      <c r="BA89" s="220"/>
      <c r="BB89" s="220"/>
      <c r="BC89" s="220"/>
      <c r="BD89" s="244"/>
    </row>
    <row r="90" spans="1:56" ht="12.75" customHeight="1" x14ac:dyDescent="0.25">
      <c r="A90" s="229"/>
      <c r="B90" s="229"/>
      <c r="C90" s="220"/>
      <c r="D90" s="220"/>
      <c r="E90" s="242"/>
      <c r="F90" s="248"/>
      <c r="G90" s="248"/>
      <c r="H90" s="248"/>
      <c r="I90" s="248"/>
      <c r="J90" s="248"/>
      <c r="K90" s="220"/>
      <c r="L90" s="248"/>
      <c r="M90" s="248"/>
      <c r="N90" s="244"/>
      <c r="O90" s="247"/>
      <c r="P90" s="244"/>
      <c r="Q90" s="247"/>
      <c r="R90" s="244"/>
      <c r="S90" s="247"/>
      <c r="T90" s="220"/>
      <c r="U90" s="220"/>
      <c r="V90" s="220"/>
      <c r="W90" s="250"/>
      <c r="X90" s="244"/>
      <c r="Y90" s="220"/>
      <c r="Z90" s="220"/>
      <c r="AA90" s="220"/>
      <c r="AB90" s="220"/>
      <c r="AC90" s="244"/>
      <c r="AD90" s="249"/>
      <c r="AE90" s="247"/>
      <c r="AF90" s="220"/>
      <c r="AG90" s="220"/>
      <c r="AH90" s="244"/>
      <c r="AI90" s="220"/>
      <c r="AJ90" s="220"/>
      <c r="AK90" s="220"/>
      <c r="AL90" s="220"/>
      <c r="AM90" s="244"/>
      <c r="AN90" s="220"/>
      <c r="AO90" s="220"/>
      <c r="AP90" s="220"/>
      <c r="AQ90" s="220"/>
      <c r="AR90" s="220"/>
      <c r="AS90" s="244"/>
      <c r="AT90" s="244"/>
      <c r="AU90" s="220"/>
      <c r="AV90" s="220"/>
      <c r="AW90" s="220"/>
      <c r="AX90" s="220"/>
      <c r="AY90" s="220"/>
      <c r="AZ90" s="220"/>
      <c r="BA90" s="220"/>
      <c r="BB90" s="220"/>
      <c r="BC90" s="220"/>
      <c r="BD90" s="244"/>
    </row>
    <row r="91" spans="1:56" ht="12.75" customHeight="1" x14ac:dyDescent="0.25">
      <c r="A91" s="229"/>
      <c r="B91" s="229"/>
      <c r="C91" s="220"/>
      <c r="D91" s="220"/>
      <c r="E91" s="242"/>
      <c r="F91" s="248"/>
      <c r="G91" s="248"/>
      <c r="H91" s="248"/>
      <c r="I91" s="248"/>
      <c r="J91" s="248"/>
      <c r="K91" s="220"/>
      <c r="L91" s="248"/>
      <c r="M91" s="248"/>
      <c r="N91" s="244"/>
      <c r="O91" s="247"/>
      <c r="P91" s="244"/>
      <c r="Q91" s="247"/>
      <c r="R91" s="244"/>
      <c r="S91" s="247"/>
      <c r="T91" s="220"/>
      <c r="U91" s="220"/>
      <c r="V91" s="220"/>
      <c r="W91" s="250"/>
      <c r="X91" s="244"/>
      <c r="Y91" s="220"/>
      <c r="Z91" s="220"/>
      <c r="AA91" s="220"/>
      <c r="AB91" s="220"/>
      <c r="AC91" s="244"/>
      <c r="AD91" s="249"/>
      <c r="AE91" s="247"/>
      <c r="AF91" s="220"/>
      <c r="AG91" s="220"/>
      <c r="AH91" s="244"/>
      <c r="AI91" s="220"/>
      <c r="AJ91" s="220"/>
      <c r="AK91" s="220"/>
      <c r="AL91" s="220"/>
      <c r="AM91" s="244"/>
      <c r="AN91" s="220"/>
      <c r="AO91" s="220"/>
      <c r="AP91" s="220"/>
      <c r="AQ91" s="220"/>
      <c r="AR91" s="220"/>
      <c r="AS91" s="244"/>
      <c r="AT91" s="244"/>
      <c r="AU91" s="220"/>
      <c r="AV91" s="220"/>
      <c r="AW91" s="220"/>
      <c r="AX91" s="220"/>
      <c r="AY91" s="220"/>
      <c r="AZ91" s="220"/>
      <c r="BA91" s="220"/>
      <c r="BB91" s="220"/>
      <c r="BC91" s="220"/>
      <c r="BD91" s="244"/>
    </row>
    <row r="92" spans="1:56" ht="12.75" customHeight="1" x14ac:dyDescent="0.25">
      <c r="A92" s="229"/>
      <c r="B92" s="229"/>
      <c r="C92" s="220"/>
      <c r="D92" s="220"/>
      <c r="E92" s="242"/>
      <c r="F92" s="248"/>
      <c r="G92" s="248"/>
      <c r="H92" s="248"/>
      <c r="I92" s="248"/>
      <c r="J92" s="248"/>
      <c r="K92" s="220"/>
      <c r="L92" s="248"/>
      <c r="M92" s="248"/>
      <c r="N92" s="244"/>
      <c r="O92" s="247"/>
      <c r="P92" s="244"/>
      <c r="Q92" s="247"/>
      <c r="R92" s="244"/>
      <c r="S92" s="247"/>
      <c r="T92" s="220"/>
      <c r="U92" s="220"/>
      <c r="V92" s="220"/>
      <c r="W92" s="250"/>
      <c r="X92" s="244"/>
      <c r="Y92" s="220"/>
      <c r="Z92" s="220"/>
      <c r="AA92" s="220"/>
      <c r="AB92" s="220"/>
      <c r="AC92" s="244"/>
      <c r="AD92" s="249"/>
      <c r="AE92" s="247"/>
      <c r="AF92" s="220"/>
      <c r="AG92" s="220"/>
      <c r="AH92" s="244"/>
      <c r="AI92" s="220"/>
      <c r="AJ92" s="220"/>
      <c r="AK92" s="220"/>
      <c r="AL92" s="220"/>
      <c r="AM92" s="244"/>
      <c r="AN92" s="220"/>
      <c r="AO92" s="220"/>
      <c r="AP92" s="220"/>
      <c r="AQ92" s="220"/>
      <c r="AR92" s="220"/>
      <c r="AS92" s="244"/>
      <c r="AT92" s="244"/>
      <c r="AU92" s="220"/>
      <c r="AV92" s="220"/>
      <c r="AW92" s="220"/>
      <c r="AX92" s="220"/>
      <c r="AY92" s="220"/>
      <c r="AZ92" s="220"/>
      <c r="BA92" s="220"/>
      <c r="BB92" s="220"/>
      <c r="BC92" s="220"/>
      <c r="BD92" s="244"/>
    </row>
    <row r="93" spans="1:56" ht="12.75" customHeight="1" x14ac:dyDescent="0.25">
      <c r="A93" s="229"/>
      <c r="B93" s="229"/>
      <c r="C93" s="220"/>
      <c r="D93" s="220"/>
      <c r="E93" s="242"/>
      <c r="F93" s="248"/>
      <c r="G93" s="248"/>
      <c r="H93" s="248"/>
      <c r="I93" s="248"/>
      <c r="J93" s="248"/>
      <c r="K93" s="220"/>
      <c r="L93" s="248"/>
      <c r="M93" s="248"/>
      <c r="N93" s="244"/>
      <c r="O93" s="247"/>
      <c r="P93" s="244"/>
      <c r="Q93" s="247"/>
      <c r="R93" s="244"/>
      <c r="S93" s="247"/>
      <c r="T93" s="220"/>
      <c r="U93" s="220"/>
      <c r="V93" s="220"/>
      <c r="W93" s="250"/>
      <c r="X93" s="244"/>
      <c r="Y93" s="220"/>
      <c r="Z93" s="220"/>
      <c r="AA93" s="220"/>
      <c r="AB93" s="220"/>
      <c r="AC93" s="244"/>
      <c r="AD93" s="249"/>
      <c r="AE93" s="247"/>
      <c r="AF93" s="220"/>
      <c r="AG93" s="220"/>
      <c r="AH93" s="244"/>
      <c r="AI93" s="220"/>
      <c r="AJ93" s="220"/>
      <c r="AK93" s="220"/>
      <c r="AL93" s="220"/>
      <c r="AM93" s="244"/>
      <c r="AN93" s="220"/>
      <c r="AO93" s="220"/>
      <c r="AP93" s="220"/>
      <c r="AQ93" s="220"/>
      <c r="AR93" s="220"/>
      <c r="AS93" s="244"/>
      <c r="AT93" s="244"/>
      <c r="AU93" s="220"/>
      <c r="AV93" s="220"/>
      <c r="AW93" s="220"/>
      <c r="AX93" s="220"/>
      <c r="AY93" s="220"/>
      <c r="AZ93" s="220"/>
      <c r="BA93" s="220"/>
      <c r="BB93" s="220"/>
      <c r="BC93" s="220"/>
      <c r="BD93" s="244"/>
    </row>
    <row r="94" spans="1:56" ht="12.75" customHeight="1" x14ac:dyDescent="0.25">
      <c r="A94" s="229"/>
      <c r="B94" s="229"/>
      <c r="C94" s="220"/>
      <c r="D94" s="220"/>
      <c r="E94" s="242"/>
      <c r="F94" s="248"/>
      <c r="G94" s="248"/>
      <c r="H94" s="248"/>
      <c r="I94" s="248"/>
      <c r="J94" s="248"/>
      <c r="K94" s="220"/>
      <c r="L94" s="248"/>
      <c r="M94" s="248"/>
      <c r="N94" s="244"/>
      <c r="O94" s="247"/>
      <c r="P94" s="244"/>
      <c r="Q94" s="247"/>
      <c r="R94" s="244"/>
      <c r="S94" s="247"/>
      <c r="T94" s="220"/>
      <c r="U94" s="220"/>
      <c r="V94" s="220"/>
      <c r="W94" s="250"/>
      <c r="X94" s="244"/>
      <c r="Y94" s="220"/>
      <c r="Z94" s="220"/>
      <c r="AA94" s="220"/>
      <c r="AB94" s="220"/>
      <c r="AC94" s="244"/>
      <c r="AD94" s="249"/>
      <c r="AE94" s="247"/>
      <c r="AF94" s="220"/>
      <c r="AG94" s="220"/>
      <c r="AH94" s="244"/>
      <c r="AI94" s="220"/>
      <c r="AJ94" s="220"/>
      <c r="AK94" s="220"/>
      <c r="AL94" s="220"/>
      <c r="AM94" s="244"/>
      <c r="AN94" s="220"/>
      <c r="AO94" s="220"/>
      <c r="AP94" s="220"/>
      <c r="AQ94" s="220"/>
      <c r="AR94" s="220"/>
      <c r="AS94" s="244"/>
      <c r="AT94" s="244"/>
      <c r="AU94" s="220"/>
      <c r="AV94" s="220"/>
      <c r="AW94" s="220"/>
      <c r="AX94" s="220"/>
      <c r="AY94" s="220"/>
      <c r="AZ94" s="220"/>
      <c r="BA94" s="220"/>
      <c r="BB94" s="220"/>
      <c r="BC94" s="220"/>
      <c r="BD94" s="244"/>
    </row>
    <row r="95" spans="1:56" ht="12.75" customHeight="1" x14ac:dyDescent="0.25">
      <c r="A95" s="229"/>
      <c r="B95" s="229"/>
      <c r="C95" s="220"/>
      <c r="D95" s="220"/>
      <c r="E95" s="242"/>
      <c r="F95" s="248"/>
      <c r="G95" s="248"/>
      <c r="H95" s="248"/>
      <c r="I95" s="248"/>
      <c r="J95" s="248"/>
      <c r="K95" s="220"/>
      <c r="L95" s="248"/>
      <c r="M95" s="248"/>
      <c r="N95" s="244"/>
      <c r="O95" s="247"/>
      <c r="P95" s="244"/>
      <c r="Q95" s="247"/>
      <c r="R95" s="244"/>
      <c r="S95" s="247"/>
      <c r="T95" s="220"/>
      <c r="U95" s="220"/>
      <c r="V95" s="220"/>
      <c r="W95" s="250"/>
      <c r="X95" s="244"/>
      <c r="Y95" s="220"/>
      <c r="Z95" s="220"/>
      <c r="AA95" s="220"/>
      <c r="AB95" s="220"/>
      <c r="AC95" s="244"/>
      <c r="AD95" s="249"/>
      <c r="AE95" s="247"/>
      <c r="AF95" s="220"/>
      <c r="AG95" s="220"/>
      <c r="AH95" s="244"/>
      <c r="AI95" s="220"/>
      <c r="AJ95" s="220"/>
      <c r="AK95" s="220"/>
      <c r="AL95" s="220"/>
      <c r="AM95" s="244"/>
      <c r="AN95" s="220"/>
      <c r="AO95" s="220"/>
      <c r="AP95" s="220"/>
      <c r="AQ95" s="220"/>
      <c r="AR95" s="220"/>
      <c r="AS95" s="244"/>
      <c r="AT95" s="244"/>
      <c r="AU95" s="220"/>
      <c r="AV95" s="220"/>
      <c r="AW95" s="220"/>
      <c r="AX95" s="220"/>
      <c r="AY95" s="220"/>
      <c r="AZ95" s="220"/>
      <c r="BA95" s="220"/>
      <c r="BB95" s="220"/>
      <c r="BC95" s="220"/>
      <c r="BD95" s="244"/>
    </row>
    <row r="96" spans="1:56" ht="12.75" customHeight="1" x14ac:dyDescent="0.25">
      <c r="A96" s="229"/>
      <c r="B96" s="229"/>
      <c r="C96" s="220"/>
      <c r="D96" s="220"/>
      <c r="E96" s="242"/>
      <c r="F96" s="248"/>
      <c r="G96" s="248"/>
      <c r="H96" s="248"/>
      <c r="I96" s="248"/>
      <c r="J96" s="248"/>
      <c r="K96" s="220"/>
      <c r="L96" s="248"/>
      <c r="M96" s="248"/>
      <c r="N96" s="244"/>
      <c r="O96" s="247"/>
      <c r="P96" s="244"/>
      <c r="Q96" s="247"/>
      <c r="R96" s="244"/>
      <c r="S96" s="247"/>
      <c r="T96" s="220"/>
      <c r="U96" s="220"/>
      <c r="V96" s="220"/>
      <c r="W96" s="250"/>
      <c r="X96" s="244"/>
      <c r="Y96" s="220"/>
      <c r="Z96" s="220"/>
      <c r="AA96" s="220"/>
      <c r="AB96" s="220"/>
      <c r="AC96" s="244"/>
      <c r="AD96" s="249"/>
      <c r="AE96" s="247"/>
      <c r="AF96" s="220"/>
      <c r="AG96" s="220"/>
      <c r="AH96" s="244"/>
      <c r="AI96" s="220"/>
      <c r="AJ96" s="220"/>
      <c r="AK96" s="220"/>
      <c r="AL96" s="220"/>
      <c r="AM96" s="244"/>
      <c r="AN96" s="220"/>
      <c r="AO96" s="220"/>
      <c r="AP96" s="220"/>
      <c r="AQ96" s="220"/>
      <c r="AR96" s="220"/>
      <c r="AS96" s="244"/>
      <c r="AT96" s="244"/>
      <c r="AU96" s="220"/>
      <c r="AV96" s="220"/>
      <c r="AW96" s="220"/>
      <c r="AX96" s="220"/>
      <c r="AY96" s="220"/>
      <c r="AZ96" s="220"/>
      <c r="BA96" s="220"/>
      <c r="BB96" s="220"/>
      <c r="BC96" s="220"/>
      <c r="BD96" s="244"/>
    </row>
    <row r="97" spans="1:56" ht="12.75" customHeight="1" x14ac:dyDescent="0.25">
      <c r="A97" s="229"/>
      <c r="B97" s="229"/>
      <c r="C97" s="220"/>
      <c r="D97" s="220"/>
      <c r="E97" s="242"/>
      <c r="F97" s="248"/>
      <c r="G97" s="248"/>
      <c r="H97" s="248"/>
      <c r="I97" s="248"/>
      <c r="J97" s="248"/>
      <c r="K97" s="220"/>
      <c r="L97" s="248"/>
      <c r="M97" s="248"/>
      <c r="N97" s="244"/>
      <c r="O97" s="247"/>
      <c r="P97" s="244"/>
      <c r="Q97" s="247"/>
      <c r="R97" s="244"/>
      <c r="S97" s="247"/>
      <c r="T97" s="220"/>
      <c r="U97" s="220"/>
      <c r="V97" s="220"/>
      <c r="W97" s="250"/>
      <c r="X97" s="244"/>
      <c r="Y97" s="220"/>
      <c r="Z97" s="220"/>
      <c r="AA97" s="220"/>
      <c r="AB97" s="220"/>
      <c r="AC97" s="244"/>
      <c r="AD97" s="249"/>
      <c r="AE97" s="247"/>
      <c r="AF97" s="220"/>
      <c r="AG97" s="220"/>
      <c r="AH97" s="244"/>
      <c r="AI97" s="220"/>
      <c r="AJ97" s="220"/>
      <c r="AK97" s="220"/>
      <c r="AL97" s="220"/>
      <c r="AM97" s="244"/>
      <c r="AN97" s="220"/>
      <c r="AO97" s="220"/>
      <c r="AP97" s="220"/>
      <c r="AQ97" s="220"/>
      <c r="AR97" s="220"/>
      <c r="AS97" s="244"/>
      <c r="AT97" s="244"/>
      <c r="AU97" s="220"/>
      <c r="AV97" s="220"/>
      <c r="AW97" s="220"/>
      <c r="AX97" s="220"/>
      <c r="AY97" s="220"/>
      <c r="AZ97" s="220"/>
      <c r="BA97" s="220"/>
      <c r="BB97" s="220"/>
      <c r="BC97" s="220"/>
      <c r="BD97" s="244"/>
    </row>
    <row r="98" spans="1:56" ht="12.75" customHeight="1" x14ac:dyDescent="0.25">
      <c r="A98" s="229"/>
      <c r="B98" s="229"/>
      <c r="C98" s="220"/>
      <c r="D98" s="220"/>
      <c r="E98" s="242"/>
      <c r="F98" s="248"/>
      <c r="G98" s="248"/>
      <c r="H98" s="248"/>
      <c r="I98" s="248"/>
      <c r="J98" s="248"/>
      <c r="K98" s="220"/>
      <c r="L98" s="248"/>
      <c r="M98" s="248"/>
      <c r="N98" s="244"/>
      <c r="O98" s="247"/>
      <c r="P98" s="244"/>
      <c r="Q98" s="247"/>
      <c r="R98" s="244"/>
      <c r="S98" s="247"/>
      <c r="T98" s="220"/>
      <c r="U98" s="220"/>
      <c r="V98" s="220"/>
      <c r="W98" s="250"/>
      <c r="X98" s="244"/>
      <c r="Y98" s="220"/>
      <c r="Z98" s="220"/>
      <c r="AA98" s="220"/>
      <c r="AB98" s="220"/>
      <c r="AC98" s="244"/>
      <c r="AD98" s="249"/>
      <c r="AE98" s="247"/>
      <c r="AF98" s="220"/>
      <c r="AG98" s="220"/>
      <c r="AH98" s="244"/>
      <c r="AI98" s="220"/>
      <c r="AJ98" s="220"/>
      <c r="AK98" s="220"/>
      <c r="AL98" s="220"/>
      <c r="AM98" s="244"/>
      <c r="AN98" s="220"/>
      <c r="AO98" s="220"/>
      <c r="AP98" s="220"/>
      <c r="AQ98" s="220"/>
      <c r="AR98" s="220"/>
      <c r="AS98" s="244"/>
      <c r="AT98" s="244"/>
      <c r="AU98" s="220"/>
      <c r="AV98" s="220"/>
      <c r="AW98" s="220"/>
      <c r="AX98" s="220"/>
      <c r="AY98" s="220"/>
      <c r="AZ98" s="220"/>
      <c r="BA98" s="220"/>
      <c r="BB98" s="220"/>
      <c r="BC98" s="220"/>
      <c r="BD98" s="244"/>
    </row>
    <row r="99" spans="1:56" ht="12.75" customHeight="1" x14ac:dyDescent="0.25">
      <c r="A99" s="229"/>
      <c r="B99" s="229"/>
      <c r="C99" s="220"/>
      <c r="D99" s="220"/>
      <c r="E99" s="242"/>
      <c r="F99" s="248"/>
      <c r="G99" s="248"/>
      <c r="H99" s="248"/>
      <c r="I99" s="248"/>
      <c r="J99" s="248"/>
      <c r="K99" s="220"/>
      <c r="L99" s="248"/>
      <c r="M99" s="248"/>
      <c r="N99" s="244"/>
      <c r="O99" s="247"/>
      <c r="P99" s="244"/>
      <c r="Q99" s="247"/>
      <c r="R99" s="244"/>
      <c r="S99" s="247"/>
      <c r="T99" s="220"/>
      <c r="U99" s="220"/>
      <c r="V99" s="220"/>
      <c r="W99" s="250"/>
      <c r="X99" s="244"/>
      <c r="Y99" s="220"/>
      <c r="Z99" s="220"/>
      <c r="AA99" s="220"/>
      <c r="AB99" s="220"/>
      <c r="AC99" s="244"/>
      <c r="AD99" s="249"/>
      <c r="AE99" s="247"/>
      <c r="AF99" s="220"/>
      <c r="AG99" s="220"/>
      <c r="AH99" s="244"/>
      <c r="AI99" s="220"/>
      <c r="AJ99" s="220"/>
      <c r="AK99" s="220"/>
      <c r="AL99" s="220"/>
      <c r="AM99" s="244"/>
      <c r="AN99" s="220"/>
      <c r="AO99" s="220"/>
      <c r="AP99" s="220"/>
      <c r="AQ99" s="220"/>
      <c r="AR99" s="220"/>
      <c r="AS99" s="244"/>
      <c r="AT99" s="244"/>
      <c r="AU99" s="220"/>
      <c r="AV99" s="220"/>
      <c r="AW99" s="220"/>
      <c r="AX99" s="220"/>
      <c r="AY99" s="220"/>
      <c r="AZ99" s="220"/>
      <c r="BA99" s="220"/>
      <c r="BB99" s="220"/>
      <c r="BC99" s="220"/>
      <c r="BD99" s="244"/>
    </row>
    <row r="100" spans="1:56" ht="12.75" customHeight="1" x14ac:dyDescent="0.25">
      <c r="A100" s="229"/>
      <c r="B100" s="229"/>
      <c r="C100" s="220"/>
      <c r="D100" s="220"/>
      <c r="E100" s="242"/>
      <c r="F100" s="248"/>
      <c r="G100" s="248"/>
      <c r="H100" s="248"/>
      <c r="I100" s="248"/>
      <c r="J100" s="248"/>
      <c r="K100" s="220"/>
      <c r="L100" s="248"/>
      <c r="M100" s="248"/>
      <c r="N100" s="244"/>
      <c r="O100" s="247"/>
      <c r="P100" s="244"/>
      <c r="Q100" s="247"/>
      <c r="R100" s="244"/>
      <c r="S100" s="247"/>
      <c r="T100" s="220"/>
      <c r="U100" s="220"/>
      <c r="V100" s="220"/>
      <c r="W100" s="250"/>
      <c r="X100" s="244"/>
      <c r="Y100" s="220"/>
      <c r="Z100" s="220"/>
      <c r="AA100" s="220"/>
      <c r="AB100" s="220"/>
      <c r="AC100" s="244"/>
      <c r="AD100" s="249"/>
      <c r="AE100" s="247"/>
      <c r="AF100" s="220"/>
      <c r="AG100" s="220"/>
      <c r="AH100" s="244"/>
      <c r="AI100" s="220"/>
      <c r="AJ100" s="220"/>
      <c r="AK100" s="220"/>
      <c r="AL100" s="220"/>
      <c r="AM100" s="244"/>
      <c r="AN100" s="220"/>
      <c r="AO100" s="220"/>
      <c r="AP100" s="220"/>
      <c r="AQ100" s="220"/>
      <c r="AR100" s="220"/>
      <c r="AS100" s="244"/>
      <c r="AT100" s="244"/>
      <c r="AU100" s="220"/>
      <c r="AV100" s="220"/>
      <c r="AW100" s="220"/>
      <c r="AX100" s="220"/>
      <c r="AY100" s="220"/>
      <c r="AZ100" s="220"/>
      <c r="BA100" s="220"/>
      <c r="BB100" s="220"/>
      <c r="BC100" s="220"/>
      <c r="BD100" s="244"/>
    </row>
    <row r="101" spans="1:56" ht="12.75" customHeight="1" x14ac:dyDescent="0.25">
      <c r="A101" s="229"/>
      <c r="B101" s="229"/>
      <c r="C101" s="220"/>
      <c r="D101" s="220"/>
      <c r="E101" s="242"/>
      <c r="F101" s="248"/>
      <c r="G101" s="248"/>
      <c r="H101" s="248"/>
      <c r="I101" s="248"/>
      <c r="J101" s="248"/>
      <c r="K101" s="220"/>
      <c r="L101" s="248"/>
      <c r="M101" s="248"/>
      <c r="N101" s="244"/>
      <c r="O101" s="247"/>
      <c r="P101" s="244"/>
      <c r="Q101" s="247"/>
      <c r="R101" s="244"/>
      <c r="S101" s="247"/>
      <c r="T101" s="220"/>
      <c r="U101" s="220"/>
      <c r="V101" s="220"/>
      <c r="W101" s="250"/>
      <c r="X101" s="244"/>
      <c r="Y101" s="220"/>
      <c r="Z101" s="220"/>
      <c r="AA101" s="220"/>
      <c r="AB101" s="220"/>
      <c r="AC101" s="244"/>
      <c r="AD101" s="249"/>
      <c r="AE101" s="247"/>
      <c r="AF101" s="220"/>
      <c r="AG101" s="220"/>
      <c r="AH101" s="244"/>
      <c r="AI101" s="220"/>
      <c r="AJ101" s="220"/>
      <c r="AK101" s="220"/>
      <c r="AL101" s="220"/>
      <c r="AM101" s="244"/>
      <c r="AN101" s="220"/>
      <c r="AO101" s="220"/>
      <c r="AP101" s="220"/>
      <c r="AQ101" s="220"/>
      <c r="AR101" s="220"/>
      <c r="AS101" s="244"/>
      <c r="AT101" s="244"/>
      <c r="AU101" s="220"/>
      <c r="AV101" s="220"/>
      <c r="AW101" s="220"/>
      <c r="AX101" s="220"/>
      <c r="AY101" s="220"/>
      <c r="AZ101" s="220"/>
      <c r="BA101" s="220"/>
      <c r="BB101" s="220"/>
      <c r="BC101" s="220"/>
      <c r="BD101" s="244"/>
    </row>
    <row r="102" spans="1:56" ht="12.75" customHeight="1" x14ac:dyDescent="0.25">
      <c r="A102" s="229"/>
      <c r="B102" s="229"/>
      <c r="C102" s="220"/>
      <c r="D102" s="220"/>
      <c r="E102" s="242"/>
      <c r="F102" s="248"/>
      <c r="G102" s="248"/>
      <c r="H102" s="248"/>
      <c r="I102" s="248"/>
      <c r="J102" s="248"/>
      <c r="K102" s="220"/>
      <c r="L102" s="248"/>
      <c r="M102" s="248"/>
      <c r="N102" s="244"/>
      <c r="O102" s="247"/>
      <c r="P102" s="244"/>
      <c r="Q102" s="247"/>
      <c r="R102" s="244"/>
      <c r="S102" s="247"/>
      <c r="T102" s="220"/>
      <c r="U102" s="220"/>
      <c r="V102" s="220"/>
      <c r="W102" s="250"/>
      <c r="X102" s="244"/>
      <c r="Y102" s="220"/>
      <c r="Z102" s="220"/>
      <c r="AA102" s="220"/>
      <c r="AB102" s="220"/>
      <c r="AC102" s="244"/>
      <c r="AD102" s="249"/>
      <c r="AE102" s="247"/>
      <c r="AF102" s="220"/>
      <c r="AG102" s="220"/>
      <c r="AH102" s="244"/>
      <c r="AI102" s="220"/>
      <c r="AJ102" s="220"/>
      <c r="AK102" s="220"/>
      <c r="AL102" s="220"/>
      <c r="AM102" s="244"/>
      <c r="AN102" s="220"/>
      <c r="AO102" s="220"/>
      <c r="AP102" s="220"/>
      <c r="AQ102" s="220"/>
      <c r="AR102" s="220"/>
      <c r="AS102" s="244"/>
      <c r="AT102" s="244"/>
      <c r="AU102" s="220"/>
      <c r="AV102" s="220"/>
      <c r="AW102" s="220"/>
      <c r="AX102" s="220"/>
      <c r="AY102" s="220"/>
      <c r="AZ102" s="220"/>
      <c r="BA102" s="220"/>
      <c r="BB102" s="220"/>
      <c r="BC102" s="220"/>
      <c r="BD102" s="244"/>
    </row>
    <row r="103" spans="1:56" ht="12.75" customHeight="1" x14ac:dyDescent="0.25">
      <c r="A103" s="229"/>
      <c r="B103" s="229"/>
      <c r="C103" s="220"/>
      <c r="D103" s="220"/>
      <c r="E103" s="242"/>
      <c r="F103" s="248"/>
      <c r="G103" s="248"/>
      <c r="H103" s="248"/>
      <c r="I103" s="248"/>
      <c r="J103" s="248"/>
      <c r="K103" s="220"/>
      <c r="L103" s="248"/>
      <c r="M103" s="248"/>
      <c r="N103" s="244"/>
      <c r="O103" s="247"/>
      <c r="P103" s="244"/>
      <c r="Q103" s="247"/>
      <c r="R103" s="244"/>
      <c r="S103" s="247"/>
      <c r="T103" s="220"/>
      <c r="U103" s="220"/>
      <c r="V103" s="220"/>
      <c r="W103" s="250"/>
      <c r="X103" s="244"/>
      <c r="Y103" s="220"/>
      <c r="Z103" s="220"/>
      <c r="AA103" s="220"/>
      <c r="AB103" s="220"/>
      <c r="AC103" s="244"/>
      <c r="AD103" s="249"/>
      <c r="AE103" s="247"/>
      <c r="AF103" s="220"/>
      <c r="AG103" s="220"/>
      <c r="AH103" s="244"/>
      <c r="AI103" s="220"/>
      <c r="AJ103" s="220"/>
      <c r="AK103" s="220"/>
      <c r="AL103" s="220"/>
      <c r="AM103" s="244"/>
      <c r="AN103" s="220"/>
      <c r="AO103" s="220"/>
      <c r="AP103" s="220"/>
      <c r="AQ103" s="220"/>
      <c r="AR103" s="220"/>
      <c r="AS103" s="244"/>
      <c r="AT103" s="244"/>
      <c r="AU103" s="220"/>
      <c r="AV103" s="220"/>
      <c r="AW103" s="220"/>
      <c r="AX103" s="220"/>
      <c r="AY103" s="220"/>
      <c r="AZ103" s="220"/>
      <c r="BA103" s="220"/>
      <c r="BB103" s="220"/>
      <c r="BC103" s="220"/>
      <c r="BD103" s="244"/>
    </row>
    <row r="104" spans="1:56" ht="12.75" customHeight="1" x14ac:dyDescent="0.25">
      <c r="A104" s="229"/>
      <c r="B104" s="229"/>
      <c r="C104" s="220"/>
      <c r="D104" s="220"/>
      <c r="E104" s="242"/>
      <c r="F104" s="248"/>
      <c r="G104" s="248"/>
      <c r="H104" s="248"/>
      <c r="I104" s="248"/>
      <c r="J104" s="248"/>
      <c r="K104" s="220"/>
      <c r="L104" s="248"/>
      <c r="M104" s="248"/>
      <c r="N104" s="244"/>
      <c r="O104" s="247"/>
      <c r="P104" s="244"/>
      <c r="Q104" s="247"/>
      <c r="R104" s="244"/>
      <c r="S104" s="247"/>
      <c r="T104" s="220"/>
      <c r="U104" s="220"/>
      <c r="V104" s="220"/>
      <c r="W104" s="250"/>
      <c r="X104" s="244"/>
      <c r="Y104" s="220"/>
      <c r="Z104" s="220"/>
      <c r="AA104" s="220"/>
      <c r="AB104" s="220"/>
      <c r="AC104" s="244"/>
      <c r="AD104" s="249"/>
      <c r="AE104" s="247"/>
      <c r="AF104" s="220"/>
      <c r="AG104" s="220"/>
      <c r="AH104" s="244"/>
      <c r="AI104" s="220"/>
      <c r="AJ104" s="220"/>
      <c r="AK104" s="220"/>
      <c r="AL104" s="220"/>
      <c r="AM104" s="244"/>
      <c r="AN104" s="220"/>
      <c r="AO104" s="220"/>
      <c r="AP104" s="220"/>
      <c r="AQ104" s="220"/>
      <c r="AR104" s="220"/>
      <c r="AS104" s="244"/>
      <c r="AT104" s="244"/>
      <c r="AU104" s="220"/>
      <c r="AV104" s="220"/>
      <c r="AW104" s="220"/>
      <c r="AX104" s="220"/>
      <c r="AY104" s="220"/>
      <c r="AZ104" s="220"/>
      <c r="BA104" s="220"/>
      <c r="BB104" s="220"/>
      <c r="BC104" s="220"/>
      <c r="BD104" s="244"/>
    </row>
    <row r="105" spans="1:56" ht="12.75" customHeight="1" x14ac:dyDescent="0.25">
      <c r="A105" s="229"/>
      <c r="B105" s="229"/>
      <c r="C105" s="220"/>
      <c r="D105" s="220"/>
      <c r="E105" s="242"/>
      <c r="F105" s="248"/>
      <c r="G105" s="248"/>
      <c r="H105" s="248"/>
      <c r="I105" s="248"/>
      <c r="J105" s="248"/>
      <c r="K105" s="220"/>
      <c r="L105" s="248"/>
      <c r="M105" s="248"/>
      <c r="N105" s="244"/>
      <c r="O105" s="247"/>
      <c r="P105" s="244"/>
      <c r="Q105" s="247"/>
      <c r="R105" s="244"/>
      <c r="S105" s="247"/>
      <c r="T105" s="220"/>
      <c r="U105" s="220"/>
      <c r="V105" s="220"/>
      <c r="W105" s="250"/>
      <c r="X105" s="244"/>
      <c r="Y105" s="220"/>
      <c r="Z105" s="220"/>
      <c r="AA105" s="220"/>
      <c r="AB105" s="220"/>
      <c r="AC105" s="244"/>
      <c r="AD105" s="249"/>
      <c r="AE105" s="247"/>
      <c r="AF105" s="220"/>
      <c r="AG105" s="220"/>
      <c r="AH105" s="244"/>
      <c r="AI105" s="220"/>
      <c r="AJ105" s="220"/>
      <c r="AK105" s="220"/>
      <c r="AL105" s="220"/>
      <c r="AM105" s="244"/>
      <c r="AN105" s="220"/>
      <c r="AO105" s="220"/>
      <c r="AP105" s="220"/>
      <c r="AQ105" s="220"/>
      <c r="AR105" s="220"/>
      <c r="AS105" s="244"/>
      <c r="AT105" s="244"/>
      <c r="AU105" s="220"/>
      <c r="AV105" s="220"/>
      <c r="AW105" s="220"/>
      <c r="AX105" s="220"/>
      <c r="AY105" s="220"/>
      <c r="AZ105" s="220"/>
      <c r="BA105" s="220"/>
      <c r="BB105" s="220"/>
      <c r="BC105" s="220"/>
      <c r="BD105" s="244"/>
    </row>
    <row r="106" spans="1:56" ht="12.75" customHeight="1" x14ac:dyDescent="0.25">
      <c r="A106" s="229"/>
      <c r="B106" s="229"/>
      <c r="C106" s="220"/>
      <c r="D106" s="220"/>
      <c r="E106" s="242"/>
      <c r="F106" s="248"/>
      <c r="G106" s="248"/>
      <c r="H106" s="248"/>
      <c r="I106" s="248"/>
      <c r="J106" s="248"/>
      <c r="K106" s="220"/>
      <c r="L106" s="248"/>
      <c r="M106" s="248"/>
      <c r="N106" s="244"/>
      <c r="O106" s="247"/>
      <c r="P106" s="244"/>
      <c r="Q106" s="247"/>
      <c r="R106" s="244"/>
      <c r="S106" s="247"/>
      <c r="T106" s="220"/>
      <c r="U106" s="220"/>
      <c r="V106" s="220"/>
      <c r="W106" s="250"/>
      <c r="X106" s="244"/>
      <c r="Y106" s="220"/>
      <c r="Z106" s="220"/>
      <c r="AA106" s="220"/>
      <c r="AB106" s="220"/>
      <c r="AC106" s="244"/>
      <c r="AD106" s="249"/>
      <c r="AE106" s="247"/>
      <c r="AF106" s="220"/>
      <c r="AG106" s="220"/>
      <c r="AH106" s="244"/>
      <c r="AI106" s="220"/>
      <c r="AJ106" s="220"/>
      <c r="AK106" s="220"/>
      <c r="AL106" s="220"/>
      <c r="AM106" s="244"/>
      <c r="AN106" s="220"/>
      <c r="AO106" s="220"/>
      <c r="AP106" s="220"/>
      <c r="AQ106" s="220"/>
      <c r="AR106" s="220"/>
      <c r="AS106" s="244"/>
      <c r="AT106" s="244"/>
      <c r="AU106" s="220"/>
      <c r="AV106" s="220"/>
      <c r="AW106" s="220"/>
      <c r="AX106" s="220"/>
      <c r="AY106" s="220"/>
      <c r="AZ106" s="220"/>
      <c r="BA106" s="220"/>
      <c r="BB106" s="220"/>
      <c r="BC106" s="220"/>
      <c r="BD106" s="244"/>
    </row>
    <row r="107" spans="1:56" ht="12.75" customHeight="1" x14ac:dyDescent="0.25">
      <c r="A107" s="229"/>
      <c r="B107" s="229"/>
      <c r="C107" s="220"/>
      <c r="D107" s="220"/>
      <c r="E107" s="242"/>
      <c r="F107" s="248"/>
      <c r="G107" s="248"/>
      <c r="H107" s="248"/>
      <c r="I107" s="248"/>
      <c r="J107" s="248"/>
      <c r="K107" s="220"/>
      <c r="L107" s="248"/>
      <c r="M107" s="248"/>
      <c r="N107" s="244"/>
      <c r="O107" s="247"/>
      <c r="P107" s="244"/>
      <c r="Q107" s="247"/>
      <c r="R107" s="244"/>
      <c r="S107" s="247"/>
      <c r="T107" s="220"/>
      <c r="U107" s="220"/>
      <c r="V107" s="220"/>
      <c r="W107" s="250"/>
      <c r="X107" s="244"/>
      <c r="Y107" s="220"/>
      <c r="Z107" s="220"/>
      <c r="AA107" s="220"/>
      <c r="AB107" s="220"/>
      <c r="AC107" s="244"/>
      <c r="AD107" s="249"/>
      <c r="AE107" s="247"/>
      <c r="AF107" s="220"/>
      <c r="AG107" s="220"/>
      <c r="AH107" s="244"/>
      <c r="AI107" s="220"/>
      <c r="AJ107" s="220"/>
      <c r="AK107" s="220"/>
      <c r="AL107" s="220"/>
      <c r="AM107" s="244"/>
      <c r="AN107" s="220"/>
      <c r="AO107" s="220"/>
      <c r="AP107" s="220"/>
      <c r="AQ107" s="220"/>
      <c r="AR107" s="220"/>
      <c r="AS107" s="244"/>
      <c r="AT107" s="244"/>
      <c r="AU107" s="220"/>
      <c r="AV107" s="220"/>
      <c r="AW107" s="220"/>
      <c r="AX107" s="220"/>
      <c r="AY107" s="220"/>
      <c r="AZ107" s="220"/>
      <c r="BA107" s="220"/>
      <c r="BB107" s="220"/>
      <c r="BC107" s="220"/>
      <c r="BD107" s="244"/>
    </row>
    <row r="108" spans="1:56" ht="12.75" customHeight="1" x14ac:dyDescent="0.25">
      <c r="A108" s="229"/>
      <c r="B108" s="229"/>
      <c r="C108" s="220"/>
      <c r="D108" s="220"/>
      <c r="E108" s="242"/>
      <c r="F108" s="248"/>
      <c r="G108" s="248"/>
      <c r="H108" s="248"/>
      <c r="I108" s="248"/>
      <c r="J108" s="248"/>
      <c r="K108" s="220"/>
      <c r="L108" s="248"/>
      <c r="M108" s="248"/>
      <c r="N108" s="244"/>
      <c r="O108" s="247"/>
      <c r="P108" s="244"/>
      <c r="Q108" s="247"/>
      <c r="R108" s="244"/>
      <c r="S108" s="247"/>
      <c r="T108" s="220"/>
      <c r="U108" s="220"/>
      <c r="V108" s="220"/>
      <c r="W108" s="250"/>
      <c r="X108" s="244"/>
      <c r="Y108" s="220"/>
      <c r="Z108" s="220"/>
      <c r="AA108" s="220"/>
      <c r="AB108" s="220"/>
      <c r="AC108" s="244"/>
      <c r="AD108" s="249"/>
      <c r="AE108" s="247"/>
      <c r="AF108" s="220"/>
      <c r="AG108" s="220"/>
      <c r="AH108" s="244"/>
      <c r="AI108" s="220"/>
      <c r="AJ108" s="220"/>
      <c r="AK108" s="220"/>
      <c r="AL108" s="220"/>
      <c r="AM108" s="244"/>
      <c r="AN108" s="220"/>
      <c r="AO108" s="220"/>
      <c r="AP108" s="220"/>
      <c r="AQ108" s="220"/>
      <c r="AR108" s="220"/>
      <c r="AS108" s="244"/>
      <c r="AT108" s="244"/>
      <c r="AU108" s="220"/>
      <c r="AV108" s="220"/>
      <c r="AW108" s="220"/>
      <c r="AX108" s="220"/>
      <c r="AY108" s="220"/>
      <c r="AZ108" s="220"/>
      <c r="BA108" s="220"/>
      <c r="BB108" s="220"/>
      <c r="BC108" s="220"/>
      <c r="BD108" s="244"/>
    </row>
    <row r="109" spans="1:56" ht="12.75" customHeight="1" x14ac:dyDescent="0.25">
      <c r="A109" s="229"/>
      <c r="B109" s="229"/>
      <c r="C109" s="220"/>
      <c r="D109" s="220"/>
      <c r="E109" s="242"/>
      <c r="F109" s="248"/>
      <c r="G109" s="248"/>
      <c r="H109" s="248"/>
      <c r="I109" s="248"/>
      <c r="J109" s="248"/>
      <c r="K109" s="220"/>
      <c r="L109" s="248"/>
      <c r="M109" s="248"/>
      <c r="N109" s="244"/>
      <c r="O109" s="247"/>
      <c r="P109" s="244"/>
      <c r="Q109" s="247"/>
      <c r="R109" s="244"/>
      <c r="S109" s="247"/>
      <c r="T109" s="220"/>
      <c r="U109" s="220"/>
      <c r="V109" s="220"/>
      <c r="W109" s="250"/>
      <c r="X109" s="244"/>
      <c r="Y109" s="220"/>
      <c r="Z109" s="220"/>
      <c r="AA109" s="220"/>
      <c r="AB109" s="220"/>
      <c r="AC109" s="244"/>
      <c r="AD109" s="249"/>
      <c r="AE109" s="247"/>
      <c r="AF109" s="220"/>
      <c r="AG109" s="220"/>
      <c r="AH109" s="244"/>
      <c r="AI109" s="220"/>
      <c r="AJ109" s="220"/>
      <c r="AK109" s="220"/>
      <c r="AL109" s="220"/>
      <c r="AM109" s="244"/>
      <c r="AN109" s="220"/>
      <c r="AO109" s="220"/>
      <c r="AP109" s="220"/>
      <c r="AQ109" s="220"/>
      <c r="AR109" s="220"/>
      <c r="AS109" s="244"/>
      <c r="AT109" s="244"/>
      <c r="AU109" s="220"/>
      <c r="AV109" s="220"/>
      <c r="AW109" s="220"/>
      <c r="AX109" s="220"/>
      <c r="AY109" s="220"/>
      <c r="AZ109" s="220"/>
      <c r="BA109" s="220"/>
      <c r="BB109" s="220"/>
      <c r="BC109" s="220"/>
      <c r="BD109" s="244"/>
    </row>
    <row r="110" spans="1:56" ht="12.75" customHeight="1" x14ac:dyDescent="0.25">
      <c r="A110" s="229"/>
      <c r="B110" s="229"/>
      <c r="C110" s="220"/>
      <c r="D110" s="220"/>
      <c r="E110" s="242"/>
      <c r="F110" s="248"/>
      <c r="G110" s="248"/>
      <c r="H110" s="248"/>
      <c r="I110" s="248"/>
      <c r="J110" s="248"/>
      <c r="K110" s="220"/>
      <c r="L110" s="248"/>
      <c r="M110" s="248"/>
      <c r="N110" s="244"/>
      <c r="O110" s="247"/>
      <c r="P110" s="244"/>
      <c r="Q110" s="247"/>
      <c r="R110" s="244"/>
      <c r="S110" s="247"/>
      <c r="T110" s="220"/>
      <c r="U110" s="220"/>
      <c r="V110" s="220"/>
      <c r="W110" s="250"/>
      <c r="X110" s="244"/>
      <c r="Y110" s="220"/>
      <c r="Z110" s="220"/>
      <c r="AA110" s="220"/>
      <c r="AB110" s="220"/>
      <c r="AC110" s="244"/>
      <c r="AD110" s="249"/>
      <c r="AE110" s="247"/>
      <c r="AF110" s="220"/>
      <c r="AG110" s="220"/>
      <c r="AH110" s="244"/>
      <c r="AI110" s="220"/>
      <c r="AJ110" s="220"/>
      <c r="AK110" s="220"/>
      <c r="AL110" s="220"/>
      <c r="AM110" s="244"/>
      <c r="AN110" s="220"/>
      <c r="AO110" s="220"/>
      <c r="AP110" s="220"/>
      <c r="AQ110" s="220"/>
      <c r="AR110" s="220"/>
      <c r="AS110" s="244"/>
      <c r="AT110" s="244"/>
      <c r="AU110" s="220"/>
      <c r="AV110" s="220"/>
      <c r="AW110" s="220"/>
      <c r="AX110" s="220"/>
      <c r="AY110" s="220"/>
      <c r="AZ110" s="220"/>
      <c r="BA110" s="220"/>
      <c r="BB110" s="220"/>
      <c r="BC110" s="220"/>
      <c r="BD110" s="244"/>
    </row>
    <row r="111" spans="1:56" ht="12.75" customHeight="1" x14ac:dyDescent="0.25">
      <c r="A111" s="229"/>
      <c r="B111" s="229"/>
      <c r="C111" s="220"/>
      <c r="D111" s="220"/>
      <c r="E111" s="242"/>
      <c r="F111" s="248"/>
      <c r="G111" s="248"/>
      <c r="H111" s="248"/>
      <c r="I111" s="248"/>
      <c r="J111" s="248"/>
      <c r="K111" s="220"/>
      <c r="L111" s="248"/>
      <c r="M111" s="248"/>
      <c r="N111" s="244"/>
      <c r="O111" s="247"/>
      <c r="P111" s="244"/>
      <c r="Q111" s="247"/>
      <c r="R111" s="244"/>
      <c r="S111" s="247"/>
      <c r="T111" s="220"/>
      <c r="U111" s="220"/>
      <c r="V111" s="220"/>
      <c r="W111" s="250"/>
      <c r="X111" s="244"/>
      <c r="Y111" s="220"/>
      <c r="Z111" s="220"/>
      <c r="AA111" s="220"/>
      <c r="AB111" s="220"/>
      <c r="AC111" s="244"/>
      <c r="AD111" s="249"/>
      <c r="AE111" s="247"/>
      <c r="AF111" s="220"/>
      <c r="AG111" s="220"/>
      <c r="AH111" s="244"/>
      <c r="AI111" s="220"/>
      <c r="AJ111" s="220"/>
      <c r="AK111" s="220"/>
      <c r="AL111" s="220"/>
      <c r="AM111" s="244"/>
      <c r="AN111" s="220"/>
      <c r="AO111" s="220"/>
      <c r="AP111" s="220"/>
      <c r="AQ111" s="220"/>
      <c r="AR111" s="220"/>
      <c r="AS111" s="244"/>
      <c r="AT111" s="244"/>
      <c r="AU111" s="220"/>
      <c r="AV111" s="220"/>
      <c r="AW111" s="220"/>
      <c r="AX111" s="220"/>
      <c r="AY111" s="220"/>
      <c r="AZ111" s="220"/>
      <c r="BA111" s="220"/>
      <c r="BB111" s="220"/>
      <c r="BC111" s="220"/>
      <c r="BD111" s="244"/>
    </row>
    <row r="112" spans="1:56" ht="12.75" customHeight="1" x14ac:dyDescent="0.25">
      <c r="A112" s="229"/>
      <c r="B112" s="229"/>
      <c r="C112" s="220"/>
      <c r="D112" s="220"/>
      <c r="E112" s="242"/>
      <c r="F112" s="248"/>
      <c r="G112" s="248"/>
      <c r="H112" s="248"/>
      <c r="I112" s="248"/>
      <c r="J112" s="248"/>
      <c r="K112" s="220"/>
      <c r="L112" s="248"/>
      <c r="M112" s="248"/>
      <c r="N112" s="244"/>
      <c r="O112" s="247"/>
      <c r="P112" s="244"/>
      <c r="Q112" s="247"/>
      <c r="R112" s="244"/>
      <c r="S112" s="247"/>
      <c r="T112" s="220"/>
      <c r="U112" s="220"/>
      <c r="V112" s="220"/>
      <c r="W112" s="250"/>
      <c r="X112" s="244"/>
      <c r="Y112" s="220"/>
      <c r="Z112" s="220"/>
      <c r="AA112" s="220"/>
      <c r="AB112" s="220"/>
      <c r="AC112" s="244"/>
      <c r="AD112" s="249"/>
      <c r="AE112" s="247"/>
      <c r="AF112" s="220"/>
      <c r="AG112" s="220"/>
      <c r="AH112" s="244"/>
      <c r="AI112" s="220"/>
      <c r="AJ112" s="220"/>
      <c r="AK112" s="220"/>
      <c r="AL112" s="220"/>
      <c r="AM112" s="244"/>
      <c r="AN112" s="220"/>
      <c r="AO112" s="220"/>
      <c r="AP112" s="220"/>
      <c r="AQ112" s="220"/>
      <c r="AR112" s="220"/>
      <c r="AS112" s="244"/>
      <c r="AT112" s="244"/>
      <c r="AU112" s="220"/>
      <c r="AV112" s="220"/>
      <c r="AW112" s="220"/>
      <c r="AX112" s="220"/>
      <c r="AY112" s="220"/>
      <c r="AZ112" s="220"/>
      <c r="BA112" s="220"/>
      <c r="BB112" s="220"/>
      <c r="BC112" s="220"/>
      <c r="BD112" s="244"/>
    </row>
    <row r="113" spans="1:56" ht="12.75" customHeight="1" x14ac:dyDescent="0.25">
      <c r="A113" s="229"/>
      <c r="B113" s="229"/>
      <c r="C113" s="220"/>
      <c r="D113" s="220"/>
      <c r="E113" s="242"/>
      <c r="F113" s="248"/>
      <c r="G113" s="248"/>
      <c r="H113" s="248"/>
      <c r="I113" s="248"/>
      <c r="J113" s="248"/>
      <c r="K113" s="220"/>
      <c r="L113" s="248"/>
      <c r="M113" s="248"/>
      <c r="N113" s="244"/>
      <c r="O113" s="247"/>
      <c r="P113" s="244"/>
      <c r="Q113" s="247"/>
      <c r="R113" s="244"/>
      <c r="S113" s="247"/>
      <c r="T113" s="220"/>
      <c r="U113" s="220"/>
      <c r="V113" s="220"/>
      <c r="W113" s="250"/>
      <c r="X113" s="244"/>
      <c r="Y113" s="220"/>
      <c r="Z113" s="220"/>
      <c r="AA113" s="220"/>
      <c r="AB113" s="220"/>
      <c r="AC113" s="244"/>
      <c r="AD113" s="249"/>
      <c r="AE113" s="247"/>
      <c r="AF113" s="220"/>
      <c r="AG113" s="220"/>
      <c r="AH113" s="244"/>
      <c r="AI113" s="220"/>
      <c r="AJ113" s="220"/>
      <c r="AK113" s="220"/>
      <c r="AL113" s="220"/>
      <c r="AM113" s="244"/>
      <c r="AN113" s="220"/>
      <c r="AO113" s="220"/>
      <c r="AP113" s="220"/>
      <c r="AQ113" s="220"/>
      <c r="AR113" s="220"/>
      <c r="AS113" s="244"/>
      <c r="AT113" s="244"/>
      <c r="AU113" s="220"/>
      <c r="AV113" s="220"/>
      <c r="AW113" s="220"/>
      <c r="AX113" s="220"/>
      <c r="AY113" s="220"/>
      <c r="AZ113" s="220"/>
      <c r="BA113" s="220"/>
      <c r="BB113" s="220"/>
      <c r="BC113" s="220"/>
      <c r="BD113" s="244"/>
    </row>
    <row r="114" spans="1:56" ht="12.75" customHeight="1" x14ac:dyDescent="0.25">
      <c r="A114" s="229"/>
      <c r="B114" s="229"/>
      <c r="C114" s="220"/>
      <c r="D114" s="220"/>
      <c r="E114" s="242"/>
      <c r="F114" s="248"/>
      <c r="G114" s="248"/>
      <c r="H114" s="248"/>
      <c r="I114" s="248"/>
      <c r="J114" s="248"/>
      <c r="K114" s="220"/>
      <c r="L114" s="248"/>
      <c r="M114" s="248"/>
      <c r="N114" s="244"/>
      <c r="O114" s="247"/>
      <c r="P114" s="244"/>
      <c r="Q114" s="247"/>
      <c r="R114" s="244"/>
      <c r="S114" s="247"/>
      <c r="T114" s="220"/>
      <c r="U114" s="220"/>
      <c r="V114" s="220"/>
      <c r="W114" s="250"/>
      <c r="X114" s="244"/>
      <c r="Y114" s="220"/>
      <c r="Z114" s="220"/>
      <c r="AA114" s="220"/>
      <c r="AB114" s="220"/>
      <c r="AC114" s="244"/>
      <c r="AD114" s="249"/>
      <c r="AE114" s="247"/>
      <c r="AF114" s="220"/>
      <c r="AG114" s="220"/>
      <c r="AH114" s="244"/>
      <c r="AI114" s="220"/>
      <c r="AJ114" s="220"/>
      <c r="AK114" s="220"/>
      <c r="AL114" s="220"/>
      <c r="AM114" s="244"/>
      <c r="AN114" s="220"/>
      <c r="AO114" s="220"/>
      <c r="AP114" s="220"/>
      <c r="AQ114" s="220"/>
      <c r="AR114" s="220"/>
      <c r="AS114" s="244"/>
      <c r="AT114" s="244"/>
      <c r="AU114" s="220"/>
      <c r="AV114" s="220"/>
      <c r="AW114" s="220"/>
      <c r="AX114" s="220"/>
      <c r="AY114" s="220"/>
      <c r="AZ114" s="220"/>
      <c r="BA114" s="220"/>
      <c r="BB114" s="220"/>
      <c r="BC114" s="220"/>
      <c r="BD114" s="244"/>
    </row>
    <row r="115" spans="1:56" ht="12.75" customHeight="1" x14ac:dyDescent="0.25">
      <c r="A115" s="229"/>
      <c r="B115" s="229"/>
      <c r="C115" s="220"/>
      <c r="D115" s="220"/>
      <c r="E115" s="242"/>
      <c r="F115" s="248"/>
      <c r="G115" s="248"/>
      <c r="H115" s="248"/>
      <c r="I115" s="248"/>
      <c r="J115" s="248"/>
      <c r="K115" s="220"/>
      <c r="L115" s="248"/>
      <c r="M115" s="248"/>
      <c r="N115" s="244"/>
      <c r="O115" s="247"/>
      <c r="P115" s="244"/>
      <c r="Q115" s="247"/>
      <c r="R115" s="244"/>
      <c r="S115" s="247"/>
      <c r="T115" s="220"/>
      <c r="U115" s="220"/>
      <c r="V115" s="220"/>
      <c r="W115" s="250"/>
      <c r="X115" s="244"/>
      <c r="Y115" s="220"/>
      <c r="Z115" s="220"/>
      <c r="AA115" s="220"/>
      <c r="AB115" s="220"/>
      <c r="AC115" s="244"/>
      <c r="AD115" s="249"/>
      <c r="AE115" s="247"/>
      <c r="AF115" s="220"/>
      <c r="AG115" s="220"/>
      <c r="AH115" s="244"/>
      <c r="AI115" s="220"/>
      <c r="AJ115" s="220"/>
      <c r="AK115" s="220"/>
      <c r="AL115" s="220"/>
      <c r="AM115" s="244"/>
      <c r="AN115" s="220"/>
      <c r="AO115" s="220"/>
      <c r="AP115" s="220"/>
      <c r="AQ115" s="220"/>
      <c r="AR115" s="220"/>
      <c r="AS115" s="244"/>
      <c r="AT115" s="244"/>
      <c r="AU115" s="220"/>
      <c r="AV115" s="220"/>
      <c r="AW115" s="220"/>
      <c r="AX115" s="220"/>
      <c r="AY115" s="220"/>
      <c r="AZ115" s="220"/>
      <c r="BA115" s="220"/>
      <c r="BB115" s="220"/>
      <c r="BC115" s="220"/>
      <c r="BD115" s="244"/>
    </row>
    <row r="116" spans="1:56" ht="12.75" customHeight="1" x14ac:dyDescent="0.25">
      <c r="A116" s="229"/>
      <c r="B116" s="229"/>
      <c r="C116" s="220"/>
      <c r="D116" s="220"/>
      <c r="E116" s="242"/>
      <c r="F116" s="248"/>
      <c r="G116" s="248"/>
      <c r="H116" s="248"/>
      <c r="I116" s="248"/>
      <c r="J116" s="248"/>
      <c r="K116" s="220"/>
      <c r="L116" s="248"/>
      <c r="M116" s="248"/>
      <c r="N116" s="244"/>
      <c r="O116" s="247"/>
      <c r="P116" s="244"/>
      <c r="Q116" s="247"/>
      <c r="R116" s="244"/>
      <c r="S116" s="247"/>
      <c r="T116" s="220"/>
      <c r="U116" s="220"/>
      <c r="V116" s="220"/>
      <c r="W116" s="250"/>
      <c r="X116" s="244"/>
      <c r="Y116" s="220"/>
      <c r="Z116" s="220"/>
      <c r="AA116" s="220"/>
      <c r="AB116" s="220"/>
      <c r="AC116" s="244"/>
      <c r="AD116" s="249"/>
      <c r="AE116" s="247"/>
      <c r="AF116" s="220"/>
      <c r="AG116" s="220"/>
      <c r="AH116" s="244"/>
      <c r="AI116" s="220"/>
      <c r="AJ116" s="220"/>
      <c r="AK116" s="220"/>
      <c r="AL116" s="220"/>
      <c r="AM116" s="244"/>
      <c r="AN116" s="220"/>
      <c r="AO116" s="220"/>
      <c r="AP116" s="220"/>
      <c r="AQ116" s="220"/>
      <c r="AR116" s="220"/>
      <c r="AS116" s="244"/>
      <c r="AT116" s="244"/>
      <c r="AU116" s="220"/>
      <c r="AV116" s="220"/>
      <c r="AW116" s="220"/>
      <c r="AX116" s="220"/>
      <c r="AY116" s="220"/>
      <c r="AZ116" s="220"/>
      <c r="BA116" s="220"/>
      <c r="BB116" s="220"/>
      <c r="BC116" s="220"/>
      <c r="BD116" s="244"/>
    </row>
    <row r="117" spans="1:56" ht="12.75" customHeight="1" x14ac:dyDescent="0.25">
      <c r="A117" s="229"/>
      <c r="B117" s="229"/>
      <c r="C117" s="220"/>
      <c r="D117" s="220"/>
      <c r="E117" s="242"/>
      <c r="F117" s="248"/>
      <c r="G117" s="248"/>
      <c r="H117" s="248"/>
      <c r="I117" s="248"/>
      <c r="J117" s="248"/>
      <c r="K117" s="220"/>
      <c r="L117" s="248"/>
      <c r="M117" s="248"/>
      <c r="N117" s="244"/>
      <c r="O117" s="247"/>
      <c r="P117" s="244"/>
      <c r="Q117" s="247"/>
      <c r="R117" s="244"/>
      <c r="S117" s="247"/>
      <c r="T117" s="220"/>
      <c r="U117" s="220"/>
      <c r="V117" s="220"/>
      <c r="W117" s="250"/>
      <c r="X117" s="244"/>
      <c r="Y117" s="220"/>
      <c r="Z117" s="220"/>
      <c r="AA117" s="220"/>
      <c r="AB117" s="220"/>
      <c r="AC117" s="244"/>
      <c r="AD117" s="249"/>
      <c r="AE117" s="247"/>
      <c r="AF117" s="220"/>
      <c r="AG117" s="220"/>
      <c r="AH117" s="244"/>
      <c r="AI117" s="220"/>
      <c r="AJ117" s="220"/>
      <c r="AK117" s="220"/>
      <c r="AL117" s="220"/>
      <c r="AM117" s="244"/>
      <c r="AN117" s="220"/>
      <c r="AO117" s="220"/>
      <c r="AP117" s="220"/>
      <c r="AQ117" s="220"/>
      <c r="AR117" s="220"/>
      <c r="AS117" s="244"/>
      <c r="AT117" s="244"/>
      <c r="AU117" s="220"/>
      <c r="AV117" s="220"/>
      <c r="AW117" s="220"/>
      <c r="AX117" s="220"/>
      <c r="AY117" s="220"/>
      <c r="AZ117" s="220"/>
      <c r="BA117" s="220"/>
      <c r="BB117" s="220"/>
      <c r="BC117" s="220"/>
      <c r="BD117" s="244"/>
    </row>
    <row r="118" spans="1:56" ht="12.75" customHeight="1" x14ac:dyDescent="0.25">
      <c r="A118" s="229"/>
      <c r="B118" s="229"/>
      <c r="C118" s="220"/>
      <c r="D118" s="220"/>
      <c r="E118" s="242"/>
      <c r="F118" s="248"/>
      <c r="G118" s="248"/>
      <c r="H118" s="248"/>
      <c r="I118" s="248"/>
      <c r="J118" s="248"/>
      <c r="K118" s="220"/>
      <c r="L118" s="248"/>
      <c r="M118" s="248"/>
      <c r="N118" s="244"/>
      <c r="O118" s="247"/>
      <c r="P118" s="244"/>
      <c r="Q118" s="247"/>
      <c r="R118" s="244"/>
      <c r="S118" s="247"/>
      <c r="T118" s="220"/>
      <c r="U118" s="220"/>
      <c r="V118" s="220"/>
      <c r="W118" s="250"/>
      <c r="X118" s="244"/>
      <c r="Y118" s="220"/>
      <c r="Z118" s="220"/>
      <c r="AA118" s="220"/>
      <c r="AB118" s="220"/>
      <c r="AC118" s="244"/>
      <c r="AD118" s="249"/>
      <c r="AE118" s="247"/>
      <c r="AF118" s="220"/>
      <c r="AG118" s="220"/>
      <c r="AH118" s="244"/>
      <c r="AI118" s="220"/>
      <c r="AJ118" s="220"/>
      <c r="AK118" s="220"/>
      <c r="AL118" s="220"/>
      <c r="AM118" s="244"/>
      <c r="AN118" s="220"/>
      <c r="AO118" s="220"/>
      <c r="AP118" s="220"/>
      <c r="AQ118" s="220"/>
      <c r="AR118" s="220"/>
      <c r="AS118" s="244"/>
      <c r="AT118" s="244"/>
      <c r="AU118" s="220"/>
      <c r="AV118" s="220"/>
      <c r="AW118" s="220"/>
      <c r="AX118" s="220"/>
      <c r="AY118" s="220"/>
      <c r="AZ118" s="220"/>
      <c r="BA118" s="220"/>
      <c r="BB118" s="220"/>
      <c r="BC118" s="220"/>
      <c r="BD118" s="244"/>
    </row>
    <row r="119" spans="1:56" ht="12.75" customHeight="1" x14ac:dyDescent="0.25">
      <c r="A119" s="229"/>
      <c r="B119" s="229"/>
      <c r="C119" s="220"/>
      <c r="D119" s="220"/>
      <c r="E119" s="242"/>
      <c r="F119" s="248"/>
      <c r="G119" s="248"/>
      <c r="H119" s="248"/>
      <c r="I119" s="248"/>
      <c r="J119" s="248"/>
      <c r="K119" s="220"/>
      <c r="L119" s="248"/>
      <c r="M119" s="248"/>
      <c r="N119" s="244"/>
      <c r="O119" s="247"/>
      <c r="P119" s="244"/>
      <c r="Q119" s="247"/>
      <c r="R119" s="244"/>
      <c r="S119" s="247"/>
      <c r="T119" s="220"/>
      <c r="U119" s="220"/>
      <c r="V119" s="220"/>
      <c r="W119" s="250"/>
      <c r="X119" s="244"/>
      <c r="Y119" s="220"/>
      <c r="Z119" s="220"/>
      <c r="AA119" s="220"/>
      <c r="AB119" s="220"/>
      <c r="AC119" s="244"/>
      <c r="AD119" s="249"/>
      <c r="AE119" s="247"/>
      <c r="AF119" s="220"/>
      <c r="AG119" s="220"/>
      <c r="AH119" s="244"/>
      <c r="AI119" s="220"/>
      <c r="AJ119" s="220"/>
      <c r="AK119" s="220"/>
      <c r="AL119" s="220"/>
      <c r="AM119" s="244"/>
      <c r="AN119" s="220"/>
      <c r="AO119" s="220"/>
      <c r="AP119" s="220"/>
      <c r="AQ119" s="220"/>
      <c r="AR119" s="220"/>
      <c r="AS119" s="244"/>
      <c r="AT119" s="244"/>
      <c r="AU119" s="220"/>
      <c r="AV119" s="220"/>
      <c r="AW119" s="220"/>
      <c r="AX119" s="220"/>
      <c r="AY119" s="220"/>
      <c r="AZ119" s="220"/>
      <c r="BA119" s="220"/>
      <c r="BB119" s="220"/>
      <c r="BC119" s="220"/>
      <c r="BD119" s="244"/>
    </row>
    <row r="120" spans="1:56" ht="12.75" customHeight="1" x14ac:dyDescent="0.25">
      <c r="A120" s="229"/>
      <c r="B120" s="229"/>
      <c r="C120" s="220"/>
      <c r="D120" s="220"/>
      <c r="E120" s="242"/>
      <c r="F120" s="248"/>
      <c r="G120" s="248"/>
      <c r="H120" s="248"/>
      <c r="I120" s="248"/>
      <c r="J120" s="248"/>
      <c r="K120" s="220"/>
      <c r="L120" s="248"/>
      <c r="M120" s="248"/>
      <c r="N120" s="244"/>
      <c r="O120" s="247"/>
      <c r="P120" s="244"/>
      <c r="Q120" s="247"/>
      <c r="R120" s="244"/>
      <c r="S120" s="247"/>
      <c r="T120" s="220"/>
      <c r="U120" s="220"/>
      <c r="V120" s="220"/>
      <c r="W120" s="250"/>
      <c r="X120" s="244"/>
      <c r="Y120" s="220"/>
      <c r="Z120" s="220"/>
      <c r="AA120" s="220"/>
      <c r="AB120" s="220"/>
      <c r="AC120" s="244"/>
      <c r="AD120" s="249"/>
      <c r="AE120" s="247"/>
      <c r="AF120" s="220"/>
      <c r="AG120" s="220"/>
      <c r="AH120" s="244"/>
      <c r="AI120" s="220"/>
      <c r="AJ120" s="220"/>
      <c r="AK120" s="220"/>
      <c r="AL120" s="220"/>
      <c r="AM120" s="244"/>
      <c r="AN120" s="220"/>
      <c r="AO120" s="220"/>
      <c r="AP120" s="220"/>
      <c r="AQ120" s="220"/>
      <c r="AR120" s="220"/>
      <c r="AS120" s="244"/>
      <c r="AT120" s="244"/>
      <c r="AU120" s="220"/>
      <c r="AV120" s="220"/>
      <c r="AW120" s="220"/>
      <c r="AX120" s="220"/>
      <c r="AY120" s="220"/>
      <c r="AZ120" s="220"/>
      <c r="BA120" s="220"/>
      <c r="BB120" s="220"/>
      <c r="BC120" s="220"/>
      <c r="BD120" s="244"/>
    </row>
    <row r="121" spans="1:56" ht="12.75" customHeight="1" x14ac:dyDescent="0.25">
      <c r="A121" s="229"/>
      <c r="B121" s="229"/>
      <c r="C121" s="220"/>
      <c r="D121" s="220"/>
      <c r="E121" s="242"/>
      <c r="F121" s="248"/>
      <c r="G121" s="248"/>
      <c r="H121" s="248"/>
      <c r="I121" s="248"/>
      <c r="J121" s="248"/>
      <c r="K121" s="220"/>
      <c r="L121" s="248"/>
      <c r="M121" s="248"/>
      <c r="N121" s="244"/>
      <c r="O121" s="247"/>
      <c r="P121" s="244"/>
      <c r="Q121" s="247"/>
      <c r="R121" s="244"/>
      <c r="S121" s="247"/>
      <c r="T121" s="220"/>
      <c r="U121" s="220"/>
      <c r="V121" s="220"/>
      <c r="W121" s="250"/>
      <c r="X121" s="244"/>
      <c r="Y121" s="220"/>
      <c r="Z121" s="220"/>
      <c r="AA121" s="220"/>
      <c r="AB121" s="220"/>
      <c r="AC121" s="244"/>
      <c r="AD121" s="249"/>
      <c r="AE121" s="247"/>
      <c r="AF121" s="220"/>
      <c r="AG121" s="220"/>
      <c r="AH121" s="244"/>
      <c r="AI121" s="220"/>
      <c r="AJ121" s="220"/>
      <c r="AK121" s="220"/>
      <c r="AL121" s="220"/>
      <c r="AM121" s="244"/>
      <c r="AN121" s="220"/>
      <c r="AO121" s="220"/>
      <c r="AP121" s="220"/>
      <c r="AQ121" s="220"/>
      <c r="AR121" s="220"/>
      <c r="AS121" s="244"/>
      <c r="AT121" s="244"/>
      <c r="AU121" s="220"/>
      <c r="AV121" s="220"/>
      <c r="AW121" s="220"/>
      <c r="AX121" s="220"/>
      <c r="AY121" s="220"/>
      <c r="AZ121" s="220"/>
      <c r="BA121" s="220"/>
      <c r="BB121" s="220"/>
      <c r="BC121" s="220"/>
      <c r="BD121" s="244"/>
    </row>
    <row r="122" spans="1:56" ht="12.75" customHeight="1" x14ac:dyDescent="0.25">
      <c r="A122" s="229"/>
      <c r="B122" s="229"/>
      <c r="C122" s="220"/>
      <c r="D122" s="220"/>
      <c r="E122" s="242"/>
      <c r="F122" s="248"/>
      <c r="G122" s="248"/>
      <c r="H122" s="248"/>
      <c r="I122" s="248"/>
      <c r="J122" s="248"/>
      <c r="K122" s="220"/>
      <c r="L122" s="248"/>
      <c r="M122" s="248"/>
      <c r="N122" s="244"/>
      <c r="O122" s="247"/>
      <c r="P122" s="244"/>
      <c r="Q122" s="247"/>
      <c r="R122" s="244"/>
      <c r="S122" s="247"/>
      <c r="T122" s="220"/>
      <c r="U122" s="220"/>
      <c r="V122" s="220"/>
      <c r="W122" s="250"/>
      <c r="X122" s="244"/>
      <c r="Y122" s="220"/>
      <c r="Z122" s="220"/>
      <c r="AA122" s="220"/>
      <c r="AB122" s="220"/>
      <c r="AC122" s="244"/>
      <c r="AD122" s="249"/>
      <c r="AE122" s="247"/>
      <c r="AF122" s="220"/>
      <c r="AG122" s="220"/>
      <c r="AH122" s="244"/>
      <c r="AI122" s="220"/>
      <c r="AJ122" s="220"/>
      <c r="AK122" s="220"/>
      <c r="AL122" s="220"/>
      <c r="AM122" s="244"/>
      <c r="AN122" s="220"/>
      <c r="AO122" s="220"/>
      <c r="AP122" s="220"/>
      <c r="AQ122" s="220"/>
      <c r="AR122" s="220"/>
      <c r="AS122" s="244"/>
      <c r="AT122" s="244"/>
      <c r="AU122" s="220"/>
      <c r="AV122" s="220"/>
      <c r="AW122" s="220"/>
      <c r="AX122" s="220"/>
      <c r="AY122" s="220"/>
      <c r="AZ122" s="220"/>
      <c r="BA122" s="220"/>
      <c r="BB122" s="220"/>
      <c r="BC122" s="220"/>
      <c r="BD122" s="244"/>
    </row>
    <row r="123" spans="1:56" ht="12.75" customHeight="1" x14ac:dyDescent="0.25">
      <c r="A123" s="229"/>
      <c r="B123" s="229"/>
      <c r="C123" s="220"/>
      <c r="D123" s="220"/>
      <c r="E123" s="242"/>
      <c r="F123" s="248"/>
      <c r="G123" s="248"/>
      <c r="H123" s="248"/>
      <c r="I123" s="248"/>
      <c r="J123" s="248"/>
      <c r="K123" s="220"/>
      <c r="L123" s="248"/>
      <c r="M123" s="248"/>
      <c r="N123" s="244"/>
      <c r="O123" s="247"/>
      <c r="P123" s="244"/>
      <c r="Q123" s="247"/>
      <c r="R123" s="244"/>
      <c r="S123" s="247"/>
      <c r="T123" s="220"/>
      <c r="U123" s="220"/>
      <c r="V123" s="220"/>
      <c r="W123" s="250"/>
      <c r="X123" s="244"/>
      <c r="Y123" s="220"/>
      <c r="Z123" s="220"/>
      <c r="AA123" s="220"/>
      <c r="AB123" s="220"/>
      <c r="AC123" s="244"/>
      <c r="AD123" s="249"/>
      <c r="AE123" s="247"/>
      <c r="AF123" s="220"/>
      <c r="AG123" s="220"/>
      <c r="AH123" s="244"/>
      <c r="AI123" s="220"/>
      <c r="AJ123" s="220"/>
      <c r="AK123" s="220"/>
      <c r="AL123" s="220"/>
      <c r="AM123" s="244"/>
      <c r="AN123" s="220"/>
      <c r="AO123" s="220"/>
      <c r="AP123" s="220"/>
      <c r="AQ123" s="220"/>
      <c r="AR123" s="220"/>
      <c r="AS123" s="244"/>
      <c r="AT123" s="244"/>
      <c r="AU123" s="220"/>
      <c r="AV123" s="220"/>
      <c r="AW123" s="220"/>
      <c r="AX123" s="220"/>
      <c r="AY123" s="220"/>
      <c r="AZ123" s="220"/>
      <c r="BA123" s="220"/>
      <c r="BB123" s="220"/>
      <c r="BC123" s="220"/>
      <c r="BD123" s="244"/>
    </row>
    <row r="124" spans="1:56" ht="12.75" customHeight="1" x14ac:dyDescent="0.25">
      <c r="A124" s="229"/>
      <c r="B124" s="229"/>
      <c r="C124" s="220"/>
      <c r="D124" s="220"/>
      <c r="E124" s="242"/>
      <c r="F124" s="248"/>
      <c r="G124" s="248"/>
      <c r="H124" s="248"/>
      <c r="I124" s="248"/>
      <c r="J124" s="248"/>
      <c r="K124" s="220"/>
      <c r="L124" s="248"/>
      <c r="M124" s="248"/>
      <c r="N124" s="244"/>
      <c r="O124" s="247"/>
      <c r="P124" s="244"/>
      <c r="Q124" s="247"/>
      <c r="R124" s="244"/>
      <c r="S124" s="247"/>
      <c r="T124" s="220"/>
      <c r="U124" s="220"/>
      <c r="V124" s="220"/>
      <c r="W124" s="250"/>
      <c r="X124" s="244"/>
      <c r="Y124" s="220"/>
      <c r="Z124" s="220"/>
      <c r="AA124" s="220"/>
      <c r="AB124" s="220"/>
      <c r="AC124" s="244"/>
      <c r="AD124" s="249"/>
      <c r="AE124" s="247"/>
      <c r="AF124" s="220"/>
      <c r="AG124" s="220"/>
      <c r="AH124" s="244"/>
      <c r="AI124" s="220"/>
      <c r="AJ124" s="220"/>
      <c r="AK124" s="220"/>
      <c r="AL124" s="220"/>
      <c r="AM124" s="244"/>
      <c r="AN124" s="220"/>
      <c r="AO124" s="220"/>
      <c r="AP124" s="220"/>
      <c r="AQ124" s="220"/>
      <c r="AR124" s="220"/>
      <c r="AS124" s="244"/>
      <c r="AT124" s="244"/>
      <c r="AU124" s="220"/>
      <c r="AV124" s="220"/>
      <c r="AW124" s="220"/>
      <c r="AX124" s="220"/>
      <c r="AY124" s="220"/>
      <c r="AZ124" s="220"/>
      <c r="BA124" s="220"/>
      <c r="BB124" s="220"/>
      <c r="BC124" s="220"/>
      <c r="BD124" s="244"/>
    </row>
    <row r="125" spans="1:56" ht="12.75" customHeight="1" x14ac:dyDescent="0.25">
      <c r="A125" s="229"/>
      <c r="B125" s="229"/>
      <c r="C125" s="220"/>
      <c r="D125" s="220"/>
      <c r="E125" s="242"/>
      <c r="F125" s="248"/>
      <c r="G125" s="248"/>
      <c r="H125" s="248"/>
      <c r="I125" s="248"/>
      <c r="J125" s="248"/>
      <c r="K125" s="220"/>
      <c r="L125" s="248"/>
      <c r="M125" s="248"/>
      <c r="N125" s="244"/>
      <c r="O125" s="247"/>
      <c r="P125" s="244"/>
      <c r="Q125" s="247"/>
      <c r="R125" s="244"/>
      <c r="S125" s="247"/>
      <c r="T125" s="220"/>
      <c r="U125" s="220"/>
      <c r="V125" s="220"/>
      <c r="W125" s="250"/>
      <c r="X125" s="244"/>
      <c r="Y125" s="220"/>
      <c r="Z125" s="220"/>
      <c r="AA125" s="220"/>
      <c r="AB125" s="220"/>
      <c r="AC125" s="244"/>
      <c r="AD125" s="249"/>
      <c r="AE125" s="247"/>
      <c r="AF125" s="220"/>
      <c r="AG125" s="220"/>
      <c r="AH125" s="244"/>
      <c r="AI125" s="220"/>
      <c r="AJ125" s="220"/>
      <c r="AK125" s="220"/>
      <c r="AL125" s="220"/>
      <c r="AM125" s="244"/>
      <c r="AN125" s="220"/>
      <c r="AO125" s="220"/>
      <c r="AP125" s="220"/>
      <c r="AQ125" s="220"/>
      <c r="AR125" s="220"/>
      <c r="AS125" s="244"/>
      <c r="AT125" s="244"/>
      <c r="AU125" s="220"/>
      <c r="AV125" s="220"/>
      <c r="AW125" s="220"/>
      <c r="AX125" s="220"/>
      <c r="AY125" s="220"/>
      <c r="AZ125" s="220"/>
      <c r="BA125" s="220"/>
      <c r="BB125" s="220"/>
      <c r="BC125" s="220"/>
      <c r="BD125" s="244"/>
    </row>
    <row r="126" spans="1:56" ht="12.75" customHeight="1" x14ac:dyDescent="0.25">
      <c r="A126" s="229"/>
      <c r="B126" s="229"/>
      <c r="C126" s="220"/>
      <c r="D126" s="220"/>
      <c r="E126" s="242"/>
      <c r="F126" s="248"/>
      <c r="G126" s="248"/>
      <c r="H126" s="248"/>
      <c r="I126" s="248"/>
      <c r="J126" s="248"/>
      <c r="K126" s="220"/>
      <c r="L126" s="248"/>
      <c r="M126" s="248"/>
      <c r="N126" s="244"/>
      <c r="O126" s="247"/>
      <c r="P126" s="244"/>
      <c r="Q126" s="247"/>
      <c r="R126" s="244"/>
      <c r="S126" s="247"/>
      <c r="T126" s="220"/>
      <c r="U126" s="220"/>
      <c r="V126" s="220"/>
      <c r="W126" s="250"/>
      <c r="X126" s="244"/>
      <c r="Y126" s="220"/>
      <c r="Z126" s="220"/>
      <c r="AA126" s="220"/>
      <c r="AB126" s="220"/>
      <c r="AC126" s="244"/>
      <c r="AD126" s="249"/>
      <c r="AE126" s="247"/>
      <c r="AF126" s="220"/>
      <c r="AG126" s="220"/>
      <c r="AH126" s="244"/>
      <c r="AI126" s="220"/>
      <c r="AJ126" s="220"/>
      <c r="AK126" s="220"/>
      <c r="AL126" s="220"/>
      <c r="AM126" s="244"/>
      <c r="AN126" s="220"/>
      <c r="AO126" s="220"/>
      <c r="AP126" s="220"/>
      <c r="AQ126" s="220"/>
      <c r="AR126" s="220"/>
      <c r="AS126" s="244"/>
      <c r="AT126" s="244"/>
      <c r="AU126" s="220"/>
      <c r="AV126" s="220"/>
      <c r="AW126" s="220"/>
      <c r="AX126" s="220"/>
      <c r="AY126" s="220"/>
      <c r="AZ126" s="220"/>
      <c r="BA126" s="220"/>
      <c r="BB126" s="220"/>
      <c r="BC126" s="220"/>
      <c r="BD126" s="244"/>
    </row>
    <row r="127" spans="1:56" ht="12.75" customHeight="1" x14ac:dyDescent="0.25">
      <c r="A127" s="229"/>
      <c r="B127" s="229"/>
      <c r="C127" s="220"/>
      <c r="D127" s="220"/>
      <c r="E127" s="242"/>
      <c r="F127" s="248"/>
      <c r="G127" s="248"/>
      <c r="H127" s="248"/>
      <c r="I127" s="248"/>
      <c r="J127" s="248"/>
      <c r="K127" s="220"/>
      <c r="L127" s="248"/>
      <c r="M127" s="248"/>
      <c r="N127" s="244"/>
      <c r="O127" s="247"/>
      <c r="P127" s="244"/>
      <c r="Q127" s="247"/>
      <c r="R127" s="244"/>
      <c r="S127" s="247"/>
      <c r="T127" s="220"/>
      <c r="U127" s="220"/>
      <c r="V127" s="220"/>
      <c r="W127" s="250"/>
      <c r="X127" s="244"/>
      <c r="Y127" s="220"/>
      <c r="Z127" s="220"/>
      <c r="AA127" s="220"/>
      <c r="AB127" s="220"/>
      <c r="AC127" s="244"/>
      <c r="AD127" s="249"/>
      <c r="AE127" s="247"/>
      <c r="AF127" s="220"/>
      <c r="AG127" s="220"/>
      <c r="AH127" s="244"/>
      <c r="AI127" s="220"/>
      <c r="AJ127" s="220"/>
      <c r="AK127" s="220"/>
      <c r="AL127" s="220"/>
      <c r="AM127" s="244"/>
      <c r="AN127" s="220"/>
      <c r="AO127" s="220"/>
      <c r="AP127" s="220"/>
      <c r="AQ127" s="220"/>
      <c r="AR127" s="220"/>
      <c r="AS127" s="244"/>
      <c r="AT127" s="244"/>
      <c r="AU127" s="220"/>
      <c r="AV127" s="220"/>
      <c r="AW127" s="220"/>
      <c r="AX127" s="220"/>
      <c r="AY127" s="220"/>
      <c r="AZ127" s="220"/>
      <c r="BA127" s="220"/>
      <c r="BB127" s="220"/>
      <c r="BC127" s="220"/>
      <c r="BD127" s="244"/>
    </row>
    <row r="128" spans="1:56" ht="12.75" customHeight="1" x14ac:dyDescent="0.25">
      <c r="A128" s="229"/>
      <c r="B128" s="229"/>
      <c r="C128" s="220"/>
      <c r="D128" s="220"/>
      <c r="E128" s="242"/>
      <c r="F128" s="248"/>
      <c r="G128" s="248"/>
      <c r="H128" s="248"/>
      <c r="I128" s="248"/>
      <c r="J128" s="248"/>
      <c r="K128" s="220"/>
      <c r="L128" s="248"/>
      <c r="M128" s="248"/>
      <c r="N128" s="244"/>
      <c r="O128" s="247"/>
      <c r="P128" s="244"/>
      <c r="Q128" s="247"/>
      <c r="R128" s="244"/>
      <c r="S128" s="247"/>
      <c r="T128" s="220"/>
      <c r="U128" s="220"/>
      <c r="V128" s="220"/>
      <c r="W128" s="250"/>
      <c r="X128" s="244"/>
      <c r="Y128" s="220"/>
      <c r="Z128" s="220"/>
      <c r="AA128" s="220"/>
      <c r="AB128" s="220"/>
      <c r="AC128" s="244"/>
      <c r="AD128" s="249"/>
      <c r="AE128" s="247"/>
      <c r="AF128" s="220"/>
      <c r="AG128" s="220"/>
      <c r="AH128" s="244"/>
      <c r="AI128" s="220"/>
      <c r="AJ128" s="220"/>
      <c r="AK128" s="220"/>
      <c r="AL128" s="220"/>
      <c r="AM128" s="244"/>
      <c r="AN128" s="220"/>
      <c r="AO128" s="220"/>
      <c r="AP128" s="220"/>
      <c r="AQ128" s="220"/>
      <c r="AR128" s="220"/>
      <c r="AS128" s="244"/>
      <c r="AT128" s="244"/>
      <c r="AU128" s="220"/>
      <c r="AV128" s="220"/>
      <c r="AW128" s="220"/>
      <c r="AX128" s="220"/>
      <c r="AY128" s="220"/>
      <c r="AZ128" s="220"/>
      <c r="BA128" s="220"/>
      <c r="BB128" s="220"/>
      <c r="BC128" s="220"/>
      <c r="BD128" s="244"/>
    </row>
    <row r="129" spans="1:56" ht="12.75" customHeight="1" x14ac:dyDescent="0.25">
      <c r="A129" s="229"/>
      <c r="B129" s="229"/>
      <c r="C129" s="220"/>
      <c r="D129" s="220"/>
      <c r="E129" s="242"/>
      <c r="F129" s="248"/>
      <c r="G129" s="248"/>
      <c r="H129" s="248"/>
      <c r="I129" s="248"/>
      <c r="J129" s="248"/>
      <c r="K129" s="220"/>
      <c r="L129" s="248"/>
      <c r="M129" s="248"/>
      <c r="N129" s="244"/>
      <c r="O129" s="247"/>
      <c r="P129" s="244"/>
      <c r="Q129" s="247"/>
      <c r="R129" s="244"/>
      <c r="S129" s="247"/>
      <c r="T129" s="220"/>
      <c r="U129" s="220"/>
      <c r="V129" s="220"/>
      <c r="W129" s="250"/>
      <c r="X129" s="244"/>
      <c r="Y129" s="220"/>
      <c r="Z129" s="220"/>
      <c r="AA129" s="220"/>
      <c r="AB129" s="220"/>
      <c r="AC129" s="244"/>
      <c r="AD129" s="249"/>
      <c r="AE129" s="247"/>
      <c r="AF129" s="220"/>
      <c r="AG129" s="220"/>
      <c r="AH129" s="244"/>
      <c r="AI129" s="220"/>
      <c r="AJ129" s="220"/>
      <c r="AK129" s="220"/>
      <c r="AL129" s="220"/>
      <c r="AM129" s="244"/>
      <c r="AN129" s="220"/>
      <c r="AO129" s="220"/>
      <c r="AP129" s="220"/>
      <c r="AQ129" s="220"/>
      <c r="AR129" s="220"/>
      <c r="AS129" s="244"/>
      <c r="AT129" s="244"/>
      <c r="AU129" s="220"/>
      <c r="AV129" s="220"/>
      <c r="AW129" s="220"/>
      <c r="AX129" s="220"/>
      <c r="AY129" s="220"/>
      <c r="AZ129" s="220"/>
      <c r="BA129" s="220"/>
      <c r="BB129" s="220"/>
      <c r="BC129" s="220"/>
      <c r="BD129" s="244"/>
    </row>
    <row r="130" spans="1:56" ht="12.75" customHeight="1" x14ac:dyDescent="0.25">
      <c r="A130" s="229"/>
      <c r="B130" s="229"/>
      <c r="C130" s="220"/>
      <c r="D130" s="220"/>
      <c r="E130" s="242"/>
      <c r="F130" s="248"/>
      <c r="G130" s="248"/>
      <c r="H130" s="248"/>
      <c r="I130" s="248"/>
      <c r="J130" s="248"/>
      <c r="K130" s="220"/>
      <c r="L130" s="248"/>
      <c r="M130" s="248"/>
      <c r="N130" s="244"/>
      <c r="O130" s="247"/>
      <c r="P130" s="244"/>
      <c r="Q130" s="247"/>
      <c r="R130" s="244"/>
      <c r="S130" s="247"/>
      <c r="T130" s="220"/>
      <c r="U130" s="220"/>
      <c r="V130" s="220"/>
      <c r="W130" s="250"/>
      <c r="X130" s="244"/>
      <c r="Y130" s="220"/>
      <c r="Z130" s="220"/>
      <c r="AA130" s="220"/>
      <c r="AB130" s="220"/>
      <c r="AC130" s="244"/>
      <c r="AD130" s="249"/>
      <c r="AE130" s="247"/>
      <c r="AF130" s="220"/>
      <c r="AG130" s="220"/>
      <c r="AH130" s="244"/>
      <c r="AI130" s="220"/>
      <c r="AJ130" s="220"/>
      <c r="AK130" s="220"/>
      <c r="AL130" s="220"/>
      <c r="AM130" s="244"/>
      <c r="AN130" s="220"/>
      <c r="AO130" s="220"/>
      <c r="AP130" s="220"/>
      <c r="AQ130" s="220"/>
      <c r="AR130" s="220"/>
      <c r="AS130" s="244"/>
      <c r="AT130" s="244"/>
      <c r="AU130" s="220"/>
      <c r="AV130" s="220"/>
      <c r="AW130" s="220"/>
      <c r="AX130" s="220"/>
      <c r="AY130" s="220"/>
      <c r="AZ130" s="220"/>
      <c r="BA130" s="220"/>
      <c r="BB130" s="220"/>
      <c r="BC130" s="220"/>
      <c r="BD130" s="244"/>
    </row>
    <row r="131" spans="1:56" ht="12.75" customHeight="1" x14ac:dyDescent="0.25">
      <c r="A131" s="229"/>
      <c r="B131" s="229"/>
      <c r="C131" s="220"/>
      <c r="D131" s="220"/>
      <c r="E131" s="242"/>
      <c r="F131" s="248"/>
      <c r="G131" s="248"/>
      <c r="H131" s="248"/>
      <c r="I131" s="248"/>
      <c r="J131" s="248"/>
      <c r="K131" s="220"/>
      <c r="L131" s="248"/>
      <c r="M131" s="248"/>
      <c r="N131" s="244"/>
      <c r="O131" s="247"/>
      <c r="P131" s="244"/>
      <c r="Q131" s="247"/>
      <c r="R131" s="244"/>
      <c r="S131" s="247"/>
      <c r="T131" s="220"/>
      <c r="U131" s="220"/>
      <c r="V131" s="220"/>
      <c r="W131" s="250"/>
      <c r="X131" s="244"/>
      <c r="Y131" s="220"/>
      <c r="Z131" s="220"/>
      <c r="AA131" s="220"/>
      <c r="AB131" s="220"/>
      <c r="AC131" s="244"/>
      <c r="AD131" s="249"/>
      <c r="AE131" s="247"/>
      <c r="AF131" s="220"/>
      <c r="AG131" s="220"/>
      <c r="AH131" s="244"/>
      <c r="AI131" s="220"/>
      <c r="AJ131" s="220"/>
      <c r="AK131" s="220"/>
      <c r="AL131" s="220"/>
      <c r="AM131" s="244"/>
      <c r="AN131" s="220"/>
      <c r="AO131" s="220"/>
      <c r="AP131" s="220"/>
      <c r="AQ131" s="220"/>
      <c r="AR131" s="220"/>
      <c r="AS131" s="244"/>
      <c r="AT131" s="244"/>
      <c r="AU131" s="220"/>
      <c r="AV131" s="220"/>
      <c r="AW131" s="220"/>
      <c r="AX131" s="220"/>
      <c r="AY131" s="220"/>
      <c r="AZ131" s="220"/>
      <c r="BA131" s="220"/>
      <c r="BB131" s="220"/>
      <c r="BC131" s="220"/>
      <c r="BD131" s="244"/>
    </row>
    <row r="132" spans="1:56" ht="12.75" customHeight="1" x14ac:dyDescent="0.25">
      <c r="A132" s="229"/>
      <c r="B132" s="229"/>
      <c r="C132" s="220"/>
      <c r="D132" s="220"/>
      <c r="E132" s="242"/>
      <c r="F132" s="248"/>
      <c r="G132" s="248"/>
      <c r="H132" s="248"/>
      <c r="I132" s="248"/>
      <c r="J132" s="248"/>
      <c r="K132" s="220"/>
      <c r="L132" s="248"/>
      <c r="M132" s="248"/>
      <c r="N132" s="244"/>
      <c r="O132" s="247"/>
      <c r="P132" s="244"/>
      <c r="Q132" s="247"/>
      <c r="R132" s="244"/>
      <c r="S132" s="247"/>
      <c r="T132" s="220"/>
      <c r="U132" s="220"/>
      <c r="V132" s="220"/>
      <c r="W132" s="250"/>
      <c r="X132" s="244"/>
      <c r="Y132" s="220"/>
      <c r="Z132" s="220"/>
      <c r="AA132" s="220"/>
      <c r="AB132" s="220"/>
      <c r="AC132" s="244"/>
      <c r="AD132" s="249"/>
      <c r="AE132" s="247"/>
      <c r="AF132" s="220"/>
      <c r="AG132" s="220"/>
      <c r="AH132" s="244"/>
      <c r="AI132" s="220"/>
      <c r="AJ132" s="220"/>
      <c r="AK132" s="220"/>
      <c r="AL132" s="220"/>
      <c r="AM132" s="244"/>
      <c r="AN132" s="220"/>
      <c r="AO132" s="220"/>
      <c r="AP132" s="220"/>
      <c r="AQ132" s="220"/>
      <c r="AR132" s="220"/>
      <c r="AS132" s="244"/>
      <c r="AT132" s="244"/>
      <c r="AU132" s="220"/>
      <c r="AV132" s="220"/>
      <c r="AW132" s="220"/>
      <c r="AX132" s="220"/>
      <c r="AY132" s="220"/>
      <c r="AZ132" s="220"/>
      <c r="BA132" s="220"/>
      <c r="BB132" s="220"/>
      <c r="BC132" s="220"/>
      <c r="BD132" s="244"/>
    </row>
    <row r="133" spans="1:56" ht="12.75" customHeight="1" x14ac:dyDescent="0.25">
      <c r="A133" s="229"/>
      <c r="B133" s="229"/>
      <c r="C133" s="220"/>
      <c r="D133" s="220"/>
      <c r="E133" s="242"/>
      <c r="F133" s="248"/>
      <c r="G133" s="248"/>
      <c r="H133" s="248"/>
      <c r="I133" s="248"/>
      <c r="J133" s="248"/>
      <c r="K133" s="220"/>
      <c r="L133" s="248"/>
      <c r="M133" s="248"/>
      <c r="N133" s="244"/>
      <c r="O133" s="247"/>
      <c r="P133" s="244"/>
      <c r="Q133" s="247"/>
      <c r="R133" s="244"/>
      <c r="S133" s="247"/>
      <c r="T133" s="220"/>
      <c r="U133" s="220"/>
      <c r="V133" s="220"/>
      <c r="W133" s="250"/>
      <c r="X133" s="244"/>
      <c r="Y133" s="220"/>
      <c r="Z133" s="220"/>
      <c r="AA133" s="220"/>
      <c r="AB133" s="220"/>
      <c r="AC133" s="244"/>
      <c r="AD133" s="249"/>
      <c r="AE133" s="247"/>
      <c r="AF133" s="220"/>
      <c r="AG133" s="220"/>
      <c r="AH133" s="244"/>
      <c r="AI133" s="220"/>
      <c r="AJ133" s="220"/>
      <c r="AK133" s="220"/>
      <c r="AL133" s="220"/>
      <c r="AM133" s="244"/>
      <c r="AN133" s="220"/>
      <c r="AO133" s="220"/>
      <c r="AP133" s="220"/>
      <c r="AQ133" s="220"/>
      <c r="AR133" s="220"/>
      <c r="AS133" s="244"/>
      <c r="AT133" s="244"/>
      <c r="AU133" s="220"/>
      <c r="AV133" s="220"/>
      <c r="AW133" s="220"/>
      <c r="AX133" s="220"/>
      <c r="AY133" s="220"/>
      <c r="AZ133" s="220"/>
      <c r="BA133" s="220"/>
      <c r="BB133" s="220"/>
      <c r="BC133" s="220"/>
      <c r="BD133" s="244"/>
    </row>
    <row r="134" spans="1:56" ht="12.75" customHeight="1" x14ac:dyDescent="0.25">
      <c r="A134" s="229"/>
      <c r="B134" s="229"/>
      <c r="C134" s="220"/>
      <c r="D134" s="220"/>
      <c r="E134" s="242"/>
      <c r="F134" s="248"/>
      <c r="G134" s="248"/>
      <c r="H134" s="248"/>
      <c r="I134" s="248"/>
      <c r="J134" s="248"/>
      <c r="K134" s="220"/>
      <c r="L134" s="248"/>
      <c r="M134" s="248"/>
      <c r="N134" s="244"/>
      <c r="O134" s="247"/>
      <c r="P134" s="244"/>
      <c r="Q134" s="247"/>
      <c r="R134" s="244"/>
      <c r="S134" s="247"/>
      <c r="T134" s="220"/>
      <c r="U134" s="220"/>
      <c r="V134" s="220"/>
      <c r="W134" s="250"/>
      <c r="X134" s="244"/>
      <c r="Y134" s="220"/>
      <c r="Z134" s="220"/>
      <c r="AA134" s="220"/>
      <c r="AB134" s="220"/>
      <c r="AC134" s="244"/>
      <c r="AD134" s="249"/>
      <c r="AE134" s="247"/>
      <c r="AF134" s="220"/>
      <c r="AG134" s="220"/>
      <c r="AH134" s="244"/>
      <c r="AI134" s="220"/>
      <c r="AJ134" s="220"/>
      <c r="AK134" s="220"/>
      <c r="AL134" s="220"/>
      <c r="AM134" s="244"/>
      <c r="AN134" s="220"/>
      <c r="AO134" s="220"/>
      <c r="AP134" s="220"/>
      <c r="AQ134" s="220"/>
      <c r="AR134" s="220"/>
      <c r="AS134" s="244"/>
      <c r="AT134" s="244"/>
      <c r="AU134" s="220"/>
      <c r="AV134" s="220"/>
      <c r="AW134" s="220"/>
      <c r="AX134" s="220"/>
      <c r="AY134" s="220"/>
      <c r="AZ134" s="220"/>
      <c r="BA134" s="220"/>
      <c r="BB134" s="220"/>
      <c r="BC134" s="220"/>
      <c r="BD134" s="244"/>
    </row>
    <row r="135" spans="1:56" ht="12.75" customHeight="1" x14ac:dyDescent="0.25">
      <c r="A135" s="229"/>
      <c r="B135" s="229"/>
      <c r="C135" s="220"/>
      <c r="D135" s="220"/>
      <c r="E135" s="242"/>
      <c r="F135" s="248"/>
      <c r="G135" s="248"/>
      <c r="H135" s="248"/>
      <c r="I135" s="248"/>
      <c r="J135" s="248"/>
      <c r="K135" s="220"/>
      <c r="L135" s="248"/>
      <c r="M135" s="248"/>
      <c r="N135" s="244"/>
      <c r="O135" s="247"/>
      <c r="P135" s="244"/>
      <c r="Q135" s="247"/>
      <c r="R135" s="244"/>
      <c r="S135" s="247"/>
      <c r="T135" s="220"/>
      <c r="U135" s="220"/>
      <c r="V135" s="220"/>
      <c r="W135" s="250"/>
      <c r="X135" s="244"/>
      <c r="Y135" s="220"/>
      <c r="Z135" s="220"/>
      <c r="AA135" s="220"/>
      <c r="AB135" s="220"/>
      <c r="AC135" s="244"/>
      <c r="AD135" s="249"/>
      <c r="AE135" s="247"/>
      <c r="AF135" s="220"/>
      <c r="AG135" s="220"/>
      <c r="AH135" s="244"/>
      <c r="AI135" s="220"/>
      <c r="AJ135" s="220"/>
      <c r="AK135" s="220"/>
      <c r="AL135" s="220"/>
      <c r="AM135" s="244"/>
      <c r="AN135" s="220"/>
      <c r="AO135" s="220"/>
      <c r="AP135" s="220"/>
      <c r="AQ135" s="220"/>
      <c r="AR135" s="220"/>
      <c r="AS135" s="244"/>
      <c r="AT135" s="244"/>
      <c r="AU135" s="220"/>
      <c r="AV135" s="220"/>
      <c r="AW135" s="220"/>
      <c r="AX135" s="220"/>
      <c r="AY135" s="220"/>
      <c r="AZ135" s="220"/>
      <c r="BA135" s="220"/>
      <c r="BB135" s="220"/>
      <c r="BC135" s="220"/>
      <c r="BD135" s="244"/>
    </row>
    <row r="136" spans="1:56" ht="12.75" customHeight="1" x14ac:dyDescent="0.25">
      <c r="A136" s="229"/>
      <c r="B136" s="229"/>
      <c r="C136" s="220"/>
      <c r="D136" s="220"/>
      <c r="E136" s="242"/>
      <c r="F136" s="248"/>
      <c r="G136" s="248"/>
      <c r="H136" s="248"/>
      <c r="I136" s="248"/>
      <c r="J136" s="248"/>
      <c r="K136" s="220"/>
      <c r="L136" s="248"/>
      <c r="M136" s="248"/>
      <c r="N136" s="244"/>
      <c r="O136" s="247"/>
      <c r="P136" s="244"/>
      <c r="Q136" s="247"/>
      <c r="R136" s="244"/>
      <c r="S136" s="247"/>
      <c r="T136" s="220"/>
      <c r="U136" s="220"/>
      <c r="V136" s="220"/>
      <c r="W136" s="250"/>
      <c r="X136" s="244"/>
      <c r="Y136" s="220"/>
      <c r="Z136" s="220"/>
      <c r="AA136" s="220"/>
      <c r="AB136" s="220"/>
      <c r="AC136" s="244"/>
      <c r="AD136" s="249"/>
      <c r="AE136" s="247"/>
      <c r="AF136" s="220"/>
      <c r="AG136" s="220"/>
      <c r="AH136" s="244"/>
      <c r="AI136" s="220"/>
      <c r="AJ136" s="220"/>
      <c r="AK136" s="220"/>
      <c r="AL136" s="220"/>
      <c r="AM136" s="244"/>
      <c r="AN136" s="220"/>
      <c r="AO136" s="220"/>
      <c r="AP136" s="220"/>
      <c r="AQ136" s="220"/>
      <c r="AR136" s="220"/>
      <c r="AS136" s="244"/>
      <c r="AT136" s="244"/>
      <c r="AU136" s="220"/>
      <c r="AV136" s="220"/>
      <c r="AW136" s="220"/>
      <c r="AX136" s="220"/>
      <c r="AY136" s="220"/>
      <c r="AZ136" s="220"/>
      <c r="BA136" s="220"/>
      <c r="BB136" s="220"/>
      <c r="BC136" s="220"/>
      <c r="BD136" s="244"/>
    </row>
    <row r="137" spans="1:56" ht="12.75" customHeight="1" x14ac:dyDescent="0.25">
      <c r="A137" s="229"/>
      <c r="B137" s="229"/>
      <c r="C137" s="220"/>
      <c r="D137" s="220"/>
      <c r="E137" s="242"/>
      <c r="F137" s="248"/>
      <c r="G137" s="248"/>
      <c r="H137" s="248"/>
      <c r="I137" s="248"/>
      <c r="J137" s="248"/>
      <c r="K137" s="220"/>
      <c r="L137" s="248"/>
      <c r="M137" s="248"/>
      <c r="N137" s="244"/>
      <c r="O137" s="247"/>
      <c r="P137" s="244"/>
      <c r="Q137" s="247"/>
      <c r="R137" s="244"/>
      <c r="S137" s="247"/>
      <c r="T137" s="220"/>
      <c r="U137" s="220"/>
      <c r="V137" s="220"/>
      <c r="W137" s="250"/>
      <c r="X137" s="244"/>
      <c r="Y137" s="220"/>
      <c r="Z137" s="220"/>
      <c r="AA137" s="220"/>
      <c r="AB137" s="220"/>
      <c r="AC137" s="244"/>
      <c r="AD137" s="249"/>
      <c r="AE137" s="247"/>
      <c r="AF137" s="220"/>
      <c r="AG137" s="220"/>
      <c r="AH137" s="244"/>
      <c r="AI137" s="220"/>
      <c r="AJ137" s="220"/>
      <c r="AK137" s="220"/>
      <c r="AL137" s="220"/>
      <c r="AM137" s="244"/>
      <c r="AN137" s="220"/>
      <c r="AO137" s="220"/>
      <c r="AP137" s="220"/>
      <c r="AQ137" s="220"/>
      <c r="AR137" s="220"/>
      <c r="AS137" s="244"/>
      <c r="AT137" s="244"/>
      <c r="AU137" s="220"/>
      <c r="AV137" s="220"/>
      <c r="AW137" s="220"/>
      <c r="AX137" s="220"/>
      <c r="AY137" s="220"/>
      <c r="AZ137" s="220"/>
      <c r="BA137" s="220"/>
      <c r="BB137" s="220"/>
      <c r="BC137" s="220"/>
      <c r="BD137" s="244"/>
    </row>
    <row r="138" spans="1:56" ht="12.75" customHeight="1" x14ac:dyDescent="0.25">
      <c r="A138" s="229"/>
      <c r="B138" s="229"/>
      <c r="C138" s="220"/>
      <c r="D138" s="220"/>
      <c r="E138" s="242"/>
      <c r="F138" s="248"/>
      <c r="G138" s="248"/>
      <c r="H138" s="248"/>
      <c r="I138" s="248"/>
      <c r="J138" s="248"/>
      <c r="K138" s="220"/>
      <c r="L138" s="248"/>
      <c r="M138" s="248"/>
      <c r="N138" s="244"/>
      <c r="O138" s="247"/>
      <c r="P138" s="244"/>
      <c r="Q138" s="247"/>
      <c r="R138" s="244"/>
      <c r="S138" s="247"/>
      <c r="T138" s="220"/>
      <c r="U138" s="220"/>
      <c r="V138" s="220"/>
      <c r="W138" s="250"/>
      <c r="X138" s="244"/>
      <c r="Y138" s="220"/>
      <c r="Z138" s="220"/>
      <c r="AA138" s="220"/>
      <c r="AB138" s="220"/>
      <c r="AC138" s="244"/>
      <c r="AD138" s="249"/>
      <c r="AE138" s="247"/>
      <c r="AF138" s="220"/>
      <c r="AG138" s="220"/>
      <c r="AH138" s="244"/>
      <c r="AI138" s="220"/>
      <c r="AJ138" s="220"/>
      <c r="AK138" s="220"/>
      <c r="AL138" s="220"/>
      <c r="AM138" s="244"/>
      <c r="AN138" s="220"/>
      <c r="AO138" s="220"/>
      <c r="AP138" s="220"/>
      <c r="AQ138" s="220"/>
      <c r="AR138" s="220"/>
      <c r="AS138" s="244"/>
      <c r="AT138" s="244"/>
      <c r="AU138" s="220"/>
      <c r="AV138" s="220"/>
      <c r="AW138" s="220"/>
      <c r="AX138" s="220"/>
      <c r="AY138" s="220"/>
      <c r="AZ138" s="220"/>
      <c r="BA138" s="220"/>
      <c r="BB138" s="220"/>
      <c r="BC138" s="220"/>
      <c r="BD138" s="244"/>
    </row>
    <row r="139" spans="1:56" ht="12.75" customHeight="1" x14ac:dyDescent="0.25">
      <c r="A139" s="229"/>
      <c r="B139" s="229"/>
      <c r="C139" s="220"/>
      <c r="D139" s="220"/>
      <c r="E139" s="242"/>
      <c r="F139" s="248"/>
      <c r="G139" s="248"/>
      <c r="H139" s="248"/>
      <c r="I139" s="248"/>
      <c r="J139" s="248"/>
      <c r="K139" s="220"/>
      <c r="L139" s="248"/>
      <c r="M139" s="248"/>
      <c r="N139" s="244"/>
      <c r="O139" s="247"/>
      <c r="P139" s="244"/>
      <c r="Q139" s="247"/>
      <c r="R139" s="244"/>
      <c r="S139" s="247"/>
      <c r="T139" s="220"/>
      <c r="U139" s="220"/>
      <c r="V139" s="220"/>
      <c r="W139" s="250"/>
      <c r="X139" s="244"/>
      <c r="Y139" s="220"/>
      <c r="Z139" s="220"/>
      <c r="AA139" s="220"/>
      <c r="AB139" s="220"/>
      <c r="AC139" s="244"/>
      <c r="AD139" s="249"/>
      <c r="AE139" s="247"/>
      <c r="AF139" s="220"/>
      <c r="AG139" s="220"/>
      <c r="AH139" s="244"/>
      <c r="AI139" s="220"/>
      <c r="AJ139" s="220"/>
      <c r="AK139" s="220"/>
      <c r="AL139" s="220"/>
      <c r="AM139" s="244"/>
      <c r="AN139" s="220"/>
      <c r="AO139" s="220"/>
      <c r="AP139" s="220"/>
      <c r="AQ139" s="220"/>
      <c r="AR139" s="220"/>
      <c r="AS139" s="244"/>
      <c r="AT139" s="244"/>
      <c r="AU139" s="220"/>
      <c r="AV139" s="220"/>
      <c r="AW139" s="220"/>
      <c r="AX139" s="220"/>
      <c r="AY139" s="220"/>
      <c r="AZ139" s="220"/>
      <c r="BA139" s="220"/>
      <c r="BB139" s="220"/>
      <c r="BC139" s="220"/>
      <c r="BD139" s="244"/>
    </row>
    <row r="140" spans="1:56" ht="12.75" customHeight="1" x14ac:dyDescent="0.25">
      <c r="A140" s="229"/>
      <c r="B140" s="229"/>
      <c r="C140" s="220"/>
      <c r="D140" s="220"/>
      <c r="E140" s="242"/>
      <c r="F140" s="248"/>
      <c r="G140" s="248"/>
      <c r="H140" s="248"/>
      <c r="I140" s="248"/>
      <c r="J140" s="248"/>
      <c r="K140" s="220"/>
      <c r="L140" s="248"/>
      <c r="M140" s="248"/>
      <c r="N140" s="244"/>
      <c r="O140" s="247"/>
      <c r="P140" s="244"/>
      <c r="Q140" s="247"/>
      <c r="R140" s="244"/>
      <c r="S140" s="247"/>
      <c r="T140" s="220"/>
      <c r="U140" s="220"/>
      <c r="V140" s="220"/>
      <c r="W140" s="250"/>
      <c r="X140" s="244"/>
      <c r="Y140" s="220"/>
      <c r="Z140" s="220"/>
      <c r="AA140" s="220"/>
      <c r="AB140" s="220"/>
      <c r="AC140" s="244"/>
      <c r="AD140" s="249"/>
      <c r="AE140" s="247"/>
      <c r="AF140" s="220"/>
      <c r="AG140" s="220"/>
      <c r="AH140" s="244"/>
      <c r="AI140" s="220"/>
      <c r="AJ140" s="220"/>
      <c r="AK140" s="220"/>
      <c r="AL140" s="220"/>
      <c r="AM140" s="244"/>
      <c r="AN140" s="220"/>
      <c r="AO140" s="220"/>
      <c r="AP140" s="220"/>
      <c r="AQ140" s="220"/>
      <c r="AR140" s="220"/>
      <c r="AS140" s="244"/>
      <c r="AT140" s="244"/>
      <c r="AU140" s="220"/>
      <c r="AV140" s="220"/>
      <c r="AW140" s="220"/>
      <c r="AX140" s="220"/>
      <c r="AY140" s="220"/>
      <c r="AZ140" s="220"/>
      <c r="BA140" s="220"/>
      <c r="BB140" s="220"/>
      <c r="BC140" s="220"/>
      <c r="BD140" s="244"/>
    </row>
    <row r="141" spans="1:56" ht="12.75" customHeight="1" x14ac:dyDescent="0.25">
      <c r="A141" s="229"/>
      <c r="B141" s="229"/>
      <c r="C141" s="220"/>
      <c r="D141" s="220"/>
      <c r="E141" s="242"/>
      <c r="F141" s="248"/>
      <c r="G141" s="248"/>
      <c r="H141" s="248"/>
      <c r="I141" s="248"/>
      <c r="J141" s="248"/>
      <c r="K141" s="220"/>
      <c r="L141" s="248"/>
      <c r="M141" s="248"/>
      <c r="N141" s="244"/>
      <c r="O141" s="247"/>
      <c r="P141" s="244"/>
      <c r="Q141" s="247"/>
      <c r="R141" s="244"/>
      <c r="S141" s="247"/>
      <c r="T141" s="220"/>
      <c r="U141" s="220"/>
      <c r="V141" s="220"/>
      <c r="W141" s="250"/>
      <c r="X141" s="244"/>
      <c r="Y141" s="220"/>
      <c r="Z141" s="220"/>
      <c r="AA141" s="220"/>
      <c r="AB141" s="220"/>
      <c r="AC141" s="244"/>
      <c r="AD141" s="249"/>
      <c r="AE141" s="247"/>
      <c r="AF141" s="220"/>
      <c r="AG141" s="220"/>
      <c r="AH141" s="244"/>
      <c r="AI141" s="220"/>
      <c r="AJ141" s="220"/>
      <c r="AK141" s="220"/>
      <c r="AL141" s="220"/>
      <c r="AM141" s="244"/>
      <c r="AN141" s="220"/>
      <c r="AO141" s="220"/>
      <c r="AP141" s="220"/>
      <c r="AQ141" s="220"/>
      <c r="AR141" s="220"/>
      <c r="AS141" s="244"/>
      <c r="AT141" s="244"/>
      <c r="AU141" s="220"/>
      <c r="AV141" s="220"/>
      <c r="AW141" s="220"/>
      <c r="AX141" s="220"/>
      <c r="AY141" s="220"/>
      <c r="AZ141" s="220"/>
      <c r="BA141" s="220"/>
      <c r="BB141" s="220"/>
      <c r="BC141" s="220"/>
      <c r="BD141" s="244"/>
    </row>
    <row r="142" spans="1:56" ht="12.75" customHeight="1" x14ac:dyDescent="0.25">
      <c r="A142" s="229"/>
      <c r="B142" s="229"/>
      <c r="C142" s="220"/>
      <c r="D142" s="220"/>
      <c r="E142" s="242"/>
      <c r="F142" s="248"/>
      <c r="G142" s="248"/>
      <c r="H142" s="248"/>
      <c r="I142" s="248"/>
      <c r="J142" s="248"/>
      <c r="K142" s="220"/>
      <c r="L142" s="248"/>
      <c r="M142" s="248"/>
      <c r="N142" s="244"/>
      <c r="O142" s="247"/>
      <c r="P142" s="244"/>
      <c r="Q142" s="247"/>
      <c r="R142" s="244"/>
      <c r="S142" s="247"/>
      <c r="T142" s="220"/>
      <c r="U142" s="220"/>
      <c r="V142" s="220"/>
      <c r="W142" s="250"/>
      <c r="X142" s="244"/>
      <c r="Y142" s="220"/>
      <c r="Z142" s="220"/>
      <c r="AA142" s="220"/>
      <c r="AB142" s="220"/>
      <c r="AC142" s="244"/>
      <c r="AD142" s="249"/>
      <c r="AE142" s="247"/>
      <c r="AF142" s="220"/>
      <c r="AG142" s="220"/>
      <c r="AH142" s="244"/>
      <c r="AI142" s="220"/>
      <c r="AJ142" s="220"/>
      <c r="AK142" s="220"/>
      <c r="AL142" s="220"/>
      <c r="AM142" s="244"/>
      <c r="AN142" s="220"/>
      <c r="AO142" s="220"/>
      <c r="AP142" s="220"/>
      <c r="AQ142" s="220"/>
      <c r="AR142" s="220"/>
      <c r="AS142" s="244"/>
      <c r="AT142" s="244"/>
      <c r="AU142" s="220"/>
      <c r="AV142" s="220"/>
      <c r="AW142" s="220"/>
      <c r="AX142" s="220"/>
      <c r="AY142" s="220"/>
      <c r="AZ142" s="220"/>
      <c r="BA142" s="220"/>
      <c r="BB142" s="220"/>
      <c r="BC142" s="220"/>
      <c r="BD142" s="244"/>
    </row>
    <row r="143" spans="1:56" ht="12.75" customHeight="1" x14ac:dyDescent="0.25">
      <c r="A143" s="229"/>
      <c r="B143" s="229"/>
      <c r="C143" s="220"/>
      <c r="D143" s="220"/>
      <c r="E143" s="242"/>
      <c r="F143" s="248"/>
      <c r="G143" s="248"/>
      <c r="H143" s="248"/>
      <c r="I143" s="248"/>
      <c r="J143" s="248"/>
      <c r="K143" s="220"/>
      <c r="L143" s="248"/>
      <c r="M143" s="248"/>
      <c r="N143" s="244"/>
      <c r="O143" s="247"/>
      <c r="P143" s="244"/>
      <c r="Q143" s="247"/>
      <c r="R143" s="244"/>
      <c r="S143" s="247"/>
      <c r="T143" s="220"/>
      <c r="U143" s="220"/>
      <c r="V143" s="220"/>
      <c r="W143" s="250"/>
      <c r="X143" s="244"/>
      <c r="Y143" s="220"/>
      <c r="Z143" s="220"/>
      <c r="AA143" s="220"/>
      <c r="AB143" s="220"/>
      <c r="AC143" s="244"/>
      <c r="AD143" s="249"/>
      <c r="AE143" s="247"/>
      <c r="AF143" s="220"/>
      <c r="AG143" s="220"/>
      <c r="AH143" s="244"/>
      <c r="AI143" s="220"/>
      <c r="AJ143" s="220"/>
      <c r="AK143" s="220"/>
      <c r="AL143" s="220"/>
      <c r="AM143" s="244"/>
      <c r="AN143" s="220"/>
      <c r="AO143" s="220"/>
      <c r="AP143" s="220"/>
      <c r="AQ143" s="220"/>
      <c r="AR143" s="220"/>
      <c r="AS143" s="244"/>
      <c r="AT143" s="244"/>
      <c r="AU143" s="220"/>
      <c r="AV143" s="220"/>
      <c r="AW143" s="220"/>
      <c r="AX143" s="220"/>
      <c r="AY143" s="220"/>
      <c r="AZ143" s="220"/>
      <c r="BA143" s="220"/>
      <c r="BB143" s="220"/>
      <c r="BC143" s="220"/>
      <c r="BD143" s="244"/>
    </row>
    <row r="144" spans="1:56" ht="12.75" customHeight="1" x14ac:dyDescent="0.25">
      <c r="A144" s="229"/>
      <c r="B144" s="229"/>
      <c r="C144" s="220"/>
      <c r="D144" s="220"/>
      <c r="E144" s="242"/>
      <c r="F144" s="248"/>
      <c r="G144" s="248"/>
      <c r="H144" s="248"/>
      <c r="I144" s="248"/>
      <c r="J144" s="248"/>
      <c r="K144" s="220"/>
      <c r="L144" s="248"/>
      <c r="M144" s="248"/>
      <c r="N144" s="244"/>
      <c r="O144" s="247"/>
      <c r="P144" s="244"/>
      <c r="Q144" s="247"/>
      <c r="R144" s="244"/>
      <c r="S144" s="247"/>
      <c r="T144" s="220"/>
      <c r="U144" s="220"/>
      <c r="V144" s="220"/>
      <c r="W144" s="250"/>
      <c r="X144" s="244"/>
      <c r="Y144" s="220"/>
      <c r="Z144" s="220"/>
      <c r="AA144" s="220"/>
      <c r="AB144" s="220"/>
      <c r="AC144" s="244"/>
      <c r="AD144" s="249"/>
      <c r="AE144" s="247"/>
      <c r="AF144" s="220"/>
      <c r="AG144" s="220"/>
      <c r="AH144" s="244"/>
      <c r="AI144" s="220"/>
      <c r="AJ144" s="220"/>
      <c r="AK144" s="220"/>
      <c r="AL144" s="220"/>
      <c r="AM144" s="244"/>
      <c r="AN144" s="220"/>
      <c r="AO144" s="220"/>
      <c r="AP144" s="220"/>
      <c r="AQ144" s="220"/>
      <c r="AR144" s="220"/>
      <c r="AS144" s="244"/>
      <c r="AT144" s="244"/>
      <c r="AU144" s="220"/>
      <c r="AV144" s="220"/>
      <c r="AW144" s="220"/>
      <c r="AX144" s="220"/>
      <c r="AY144" s="220"/>
      <c r="AZ144" s="220"/>
      <c r="BA144" s="220"/>
      <c r="BB144" s="220"/>
      <c r="BC144" s="220"/>
      <c r="BD144" s="244"/>
    </row>
    <row r="145" spans="1:56" ht="12.75" customHeight="1" x14ac:dyDescent="0.25">
      <c r="A145" s="229"/>
      <c r="B145" s="229"/>
      <c r="C145" s="220"/>
      <c r="D145" s="220"/>
      <c r="E145" s="242"/>
      <c r="F145" s="248"/>
      <c r="G145" s="248"/>
      <c r="H145" s="248"/>
      <c r="I145" s="248"/>
      <c r="J145" s="248"/>
      <c r="K145" s="220"/>
      <c r="L145" s="248"/>
      <c r="M145" s="248"/>
      <c r="N145" s="244"/>
      <c r="O145" s="247"/>
      <c r="P145" s="244"/>
      <c r="Q145" s="247"/>
      <c r="R145" s="244"/>
      <c r="S145" s="247"/>
      <c r="T145" s="220"/>
      <c r="U145" s="220"/>
      <c r="V145" s="220"/>
      <c r="W145" s="250"/>
      <c r="X145" s="244"/>
      <c r="Y145" s="220"/>
      <c r="Z145" s="220"/>
      <c r="AA145" s="220"/>
      <c r="AB145" s="220"/>
      <c r="AC145" s="244"/>
      <c r="AD145" s="249"/>
      <c r="AE145" s="247"/>
      <c r="AF145" s="220"/>
      <c r="AG145" s="220"/>
      <c r="AH145" s="244"/>
      <c r="AI145" s="220"/>
      <c r="AJ145" s="220"/>
      <c r="AK145" s="220"/>
      <c r="AL145" s="220"/>
      <c r="AM145" s="244"/>
      <c r="AN145" s="220"/>
      <c r="AO145" s="220"/>
      <c r="AP145" s="220"/>
      <c r="AQ145" s="220"/>
      <c r="AR145" s="220"/>
      <c r="AS145" s="244"/>
      <c r="AT145" s="244"/>
      <c r="AU145" s="220"/>
      <c r="AV145" s="220"/>
      <c r="AW145" s="220"/>
      <c r="AX145" s="220"/>
      <c r="AY145" s="220"/>
      <c r="AZ145" s="220"/>
      <c r="BA145" s="220"/>
      <c r="BB145" s="220"/>
      <c r="BC145" s="220"/>
      <c r="BD145" s="244"/>
    </row>
    <row r="146" spans="1:56" ht="12.75" customHeight="1" x14ac:dyDescent="0.25">
      <c r="A146" s="229"/>
      <c r="B146" s="229"/>
      <c r="C146" s="220"/>
      <c r="D146" s="220"/>
      <c r="E146" s="242"/>
      <c r="F146" s="248"/>
      <c r="G146" s="248"/>
      <c r="H146" s="248"/>
      <c r="I146" s="248"/>
      <c r="J146" s="248"/>
      <c r="K146" s="220"/>
      <c r="L146" s="248"/>
      <c r="M146" s="248"/>
      <c r="N146" s="244"/>
      <c r="O146" s="247"/>
      <c r="P146" s="244"/>
      <c r="Q146" s="247"/>
      <c r="R146" s="244"/>
      <c r="S146" s="247"/>
      <c r="T146" s="220"/>
      <c r="U146" s="220"/>
      <c r="V146" s="220"/>
      <c r="W146" s="250"/>
      <c r="X146" s="244"/>
      <c r="Y146" s="220"/>
      <c r="Z146" s="220"/>
      <c r="AA146" s="220"/>
      <c r="AB146" s="220"/>
      <c r="AC146" s="244"/>
      <c r="AD146" s="249"/>
      <c r="AE146" s="247"/>
      <c r="AF146" s="220"/>
      <c r="AG146" s="220"/>
      <c r="AH146" s="244"/>
      <c r="AI146" s="220"/>
      <c r="AJ146" s="220"/>
      <c r="AK146" s="220"/>
      <c r="AL146" s="220"/>
      <c r="AM146" s="244"/>
      <c r="AN146" s="220"/>
      <c r="AO146" s="220"/>
      <c r="AP146" s="220"/>
      <c r="AQ146" s="220"/>
      <c r="AR146" s="220"/>
      <c r="AS146" s="244"/>
      <c r="AT146" s="244"/>
      <c r="AU146" s="220"/>
      <c r="AV146" s="220"/>
      <c r="AW146" s="220"/>
      <c r="AX146" s="220"/>
      <c r="AY146" s="220"/>
      <c r="AZ146" s="220"/>
      <c r="BA146" s="220"/>
      <c r="BB146" s="220"/>
      <c r="BC146" s="220"/>
      <c r="BD146" s="244"/>
    </row>
    <row r="147" spans="1:56" ht="12.75" customHeight="1" x14ac:dyDescent="0.25">
      <c r="A147" s="229"/>
      <c r="B147" s="229"/>
      <c r="C147" s="220"/>
      <c r="D147" s="220"/>
      <c r="E147" s="242"/>
      <c r="F147" s="248"/>
      <c r="G147" s="248"/>
      <c r="H147" s="248"/>
      <c r="I147" s="248"/>
      <c r="J147" s="248"/>
      <c r="K147" s="220"/>
      <c r="L147" s="248"/>
      <c r="M147" s="248"/>
      <c r="N147" s="244"/>
      <c r="O147" s="247"/>
      <c r="P147" s="244"/>
      <c r="Q147" s="247"/>
      <c r="R147" s="244"/>
      <c r="S147" s="247"/>
      <c r="T147" s="220"/>
      <c r="U147" s="220"/>
      <c r="V147" s="220"/>
      <c r="W147" s="250"/>
      <c r="X147" s="244"/>
      <c r="Y147" s="220"/>
      <c r="Z147" s="220"/>
      <c r="AA147" s="220"/>
      <c r="AB147" s="220"/>
      <c r="AC147" s="244"/>
      <c r="AD147" s="249"/>
      <c r="AE147" s="247"/>
      <c r="AF147" s="220"/>
      <c r="AG147" s="220"/>
      <c r="AH147" s="244"/>
      <c r="AI147" s="220"/>
      <c r="AJ147" s="220"/>
      <c r="AK147" s="220"/>
      <c r="AL147" s="220"/>
      <c r="AM147" s="244"/>
      <c r="AN147" s="220"/>
      <c r="AO147" s="220"/>
      <c r="AP147" s="220"/>
      <c r="AQ147" s="220"/>
      <c r="AR147" s="220"/>
      <c r="AS147" s="244"/>
      <c r="AT147" s="244"/>
      <c r="AU147" s="220"/>
      <c r="AV147" s="220"/>
      <c r="AW147" s="220"/>
      <c r="AX147" s="220"/>
      <c r="AY147" s="220"/>
      <c r="AZ147" s="220"/>
      <c r="BA147" s="220"/>
      <c r="BB147" s="220"/>
      <c r="BC147" s="220"/>
      <c r="BD147" s="244"/>
    </row>
    <row r="148" spans="1:56" ht="12.75" customHeight="1" x14ac:dyDescent="0.25">
      <c r="A148" s="229"/>
      <c r="B148" s="229"/>
      <c r="C148" s="220"/>
      <c r="D148" s="220"/>
      <c r="E148" s="242"/>
      <c r="F148" s="248"/>
      <c r="G148" s="248"/>
      <c r="H148" s="248"/>
      <c r="I148" s="248"/>
      <c r="J148" s="248"/>
      <c r="K148" s="220"/>
      <c r="L148" s="248"/>
      <c r="M148" s="248"/>
      <c r="N148" s="244"/>
      <c r="O148" s="247"/>
      <c r="P148" s="244"/>
      <c r="Q148" s="247"/>
      <c r="R148" s="244"/>
      <c r="S148" s="247"/>
      <c r="T148" s="220"/>
      <c r="U148" s="220"/>
      <c r="V148" s="220"/>
      <c r="W148" s="250"/>
      <c r="X148" s="244"/>
      <c r="Y148" s="220"/>
      <c r="Z148" s="220"/>
      <c r="AA148" s="220"/>
      <c r="AB148" s="220"/>
      <c r="AC148" s="244"/>
      <c r="AD148" s="249"/>
      <c r="AE148" s="247"/>
      <c r="AF148" s="220"/>
      <c r="AG148" s="220"/>
      <c r="AH148" s="244"/>
      <c r="AI148" s="220"/>
      <c r="AJ148" s="220"/>
      <c r="AK148" s="220"/>
      <c r="AL148" s="220"/>
      <c r="AM148" s="244"/>
      <c r="AN148" s="220"/>
      <c r="AO148" s="220"/>
      <c r="AP148" s="220"/>
      <c r="AQ148" s="220"/>
      <c r="AR148" s="220"/>
      <c r="AS148" s="244"/>
      <c r="AT148" s="244"/>
      <c r="AU148" s="220"/>
      <c r="AV148" s="220"/>
      <c r="AW148" s="220"/>
      <c r="AX148" s="220"/>
      <c r="AY148" s="220"/>
      <c r="AZ148" s="220"/>
      <c r="BA148" s="220"/>
      <c r="BB148" s="220"/>
      <c r="BC148" s="220"/>
      <c r="BD148" s="244"/>
    </row>
    <row r="149" spans="1:56" ht="12.75" customHeight="1" x14ac:dyDescent="0.25">
      <c r="A149" s="229"/>
      <c r="B149" s="229"/>
      <c r="C149" s="220"/>
      <c r="D149" s="220"/>
      <c r="E149" s="242"/>
      <c r="F149" s="248"/>
      <c r="G149" s="248"/>
      <c r="H149" s="248"/>
      <c r="I149" s="248"/>
      <c r="J149" s="248"/>
      <c r="K149" s="220"/>
      <c r="L149" s="248"/>
      <c r="M149" s="248"/>
      <c r="N149" s="244"/>
      <c r="O149" s="247"/>
      <c r="P149" s="244"/>
      <c r="Q149" s="247"/>
      <c r="R149" s="244"/>
      <c r="S149" s="247"/>
      <c r="T149" s="220"/>
      <c r="U149" s="220"/>
      <c r="V149" s="220"/>
      <c r="W149" s="250"/>
      <c r="X149" s="244"/>
      <c r="Y149" s="220"/>
      <c r="Z149" s="220"/>
      <c r="AA149" s="220"/>
      <c r="AB149" s="220"/>
      <c r="AC149" s="244"/>
      <c r="AD149" s="249"/>
      <c r="AE149" s="247"/>
      <c r="AF149" s="220"/>
      <c r="AG149" s="220"/>
      <c r="AH149" s="244"/>
      <c r="AI149" s="220"/>
      <c r="AJ149" s="220"/>
      <c r="AK149" s="220"/>
      <c r="AL149" s="220"/>
      <c r="AM149" s="244"/>
      <c r="AN149" s="220"/>
      <c r="AO149" s="220"/>
      <c r="AP149" s="220"/>
      <c r="AQ149" s="220"/>
      <c r="AR149" s="220"/>
      <c r="AS149" s="244"/>
      <c r="AT149" s="244"/>
      <c r="AU149" s="220"/>
      <c r="AV149" s="220"/>
      <c r="AW149" s="220"/>
      <c r="AX149" s="220"/>
      <c r="AY149" s="220"/>
      <c r="AZ149" s="220"/>
      <c r="BA149" s="220"/>
      <c r="BB149" s="220"/>
      <c r="BC149" s="220"/>
      <c r="BD149" s="244"/>
    </row>
    <row r="150" spans="1:56" ht="12.75" customHeight="1" x14ac:dyDescent="0.25">
      <c r="A150" s="229"/>
      <c r="B150" s="229"/>
      <c r="C150" s="220"/>
      <c r="D150" s="220"/>
      <c r="E150" s="242"/>
      <c r="F150" s="248"/>
      <c r="G150" s="248"/>
      <c r="H150" s="248"/>
      <c r="I150" s="248"/>
      <c r="J150" s="248"/>
      <c r="K150" s="220"/>
      <c r="L150" s="248"/>
      <c r="M150" s="248"/>
      <c r="N150" s="244"/>
      <c r="O150" s="247"/>
      <c r="P150" s="244"/>
      <c r="Q150" s="247"/>
      <c r="R150" s="244"/>
      <c r="S150" s="247"/>
      <c r="T150" s="220"/>
      <c r="U150" s="220"/>
      <c r="V150" s="220"/>
      <c r="W150" s="250"/>
      <c r="X150" s="244"/>
      <c r="Y150" s="220"/>
      <c r="Z150" s="220"/>
      <c r="AA150" s="220"/>
      <c r="AB150" s="220"/>
      <c r="AC150" s="244"/>
      <c r="AD150" s="249"/>
      <c r="AE150" s="247"/>
      <c r="AF150" s="220"/>
      <c r="AG150" s="220"/>
      <c r="AH150" s="244"/>
      <c r="AI150" s="220"/>
      <c r="AJ150" s="220"/>
      <c r="AK150" s="220"/>
      <c r="AL150" s="220"/>
      <c r="AM150" s="244"/>
      <c r="AN150" s="220"/>
      <c r="AO150" s="220"/>
      <c r="AP150" s="220"/>
      <c r="AQ150" s="220"/>
      <c r="AR150" s="220"/>
      <c r="AS150" s="244"/>
      <c r="AT150" s="244"/>
      <c r="AU150" s="220"/>
      <c r="AV150" s="220"/>
      <c r="AW150" s="220"/>
      <c r="AX150" s="220"/>
      <c r="AY150" s="220"/>
      <c r="AZ150" s="220"/>
      <c r="BA150" s="220"/>
      <c r="BB150" s="220"/>
      <c r="BC150" s="220"/>
      <c r="BD150" s="244"/>
    </row>
    <row r="151" spans="1:56" ht="12.75" customHeight="1" x14ac:dyDescent="0.25">
      <c r="A151" s="229"/>
      <c r="B151" s="229"/>
      <c r="C151" s="220"/>
      <c r="D151" s="220"/>
      <c r="E151" s="242"/>
      <c r="F151" s="248"/>
      <c r="G151" s="248"/>
      <c r="H151" s="248"/>
      <c r="I151" s="248"/>
      <c r="J151" s="248"/>
      <c r="K151" s="220"/>
      <c r="L151" s="248"/>
      <c r="M151" s="248"/>
      <c r="N151" s="244"/>
      <c r="O151" s="247"/>
      <c r="P151" s="244"/>
      <c r="Q151" s="247"/>
      <c r="R151" s="244"/>
      <c r="S151" s="247"/>
      <c r="T151" s="220"/>
      <c r="U151" s="220"/>
      <c r="V151" s="220"/>
      <c r="W151" s="250"/>
      <c r="X151" s="244"/>
      <c r="Y151" s="220"/>
      <c r="Z151" s="220"/>
      <c r="AA151" s="220"/>
      <c r="AB151" s="220"/>
      <c r="AC151" s="244"/>
      <c r="AD151" s="249"/>
      <c r="AE151" s="247"/>
      <c r="AF151" s="220"/>
      <c r="AG151" s="220"/>
      <c r="AH151" s="244"/>
      <c r="AI151" s="220"/>
      <c r="AJ151" s="220"/>
      <c r="AK151" s="220"/>
      <c r="AL151" s="220"/>
      <c r="AM151" s="244"/>
      <c r="AN151" s="220"/>
      <c r="AO151" s="220"/>
      <c r="AP151" s="220"/>
      <c r="AQ151" s="220"/>
      <c r="AR151" s="220"/>
      <c r="AS151" s="244"/>
      <c r="AT151" s="244"/>
      <c r="AU151" s="220"/>
      <c r="AV151" s="220"/>
      <c r="AW151" s="220"/>
      <c r="AX151" s="220"/>
      <c r="AY151" s="220"/>
      <c r="AZ151" s="220"/>
      <c r="BA151" s="220"/>
      <c r="BB151" s="220"/>
      <c r="BC151" s="220"/>
      <c r="BD151" s="244"/>
    </row>
    <row r="152" spans="1:56" ht="12.75" customHeight="1" x14ac:dyDescent="0.25">
      <c r="A152" s="229"/>
      <c r="B152" s="229"/>
      <c r="C152" s="220"/>
      <c r="D152" s="220"/>
      <c r="E152" s="242"/>
      <c r="F152" s="248"/>
      <c r="G152" s="248"/>
      <c r="H152" s="248"/>
      <c r="I152" s="248"/>
      <c r="J152" s="248"/>
      <c r="K152" s="220"/>
      <c r="L152" s="248"/>
      <c r="M152" s="248"/>
      <c r="N152" s="244"/>
      <c r="O152" s="247"/>
      <c r="P152" s="244"/>
      <c r="Q152" s="247"/>
      <c r="R152" s="244"/>
      <c r="S152" s="247"/>
      <c r="T152" s="220"/>
      <c r="U152" s="220"/>
      <c r="V152" s="220"/>
      <c r="W152" s="250"/>
      <c r="X152" s="244"/>
      <c r="Y152" s="220"/>
      <c r="Z152" s="220"/>
      <c r="AA152" s="220"/>
      <c r="AB152" s="220"/>
      <c r="AC152" s="244"/>
      <c r="AD152" s="249"/>
      <c r="AE152" s="247"/>
      <c r="AF152" s="220"/>
      <c r="AG152" s="220"/>
      <c r="AH152" s="244"/>
      <c r="AI152" s="220"/>
      <c r="AJ152" s="220"/>
      <c r="AK152" s="220"/>
      <c r="AL152" s="220"/>
      <c r="AM152" s="244"/>
      <c r="AN152" s="220"/>
      <c r="AO152" s="220"/>
      <c r="AP152" s="220"/>
      <c r="AQ152" s="220"/>
      <c r="AR152" s="220"/>
      <c r="AS152" s="244"/>
      <c r="AT152" s="244"/>
      <c r="AU152" s="220"/>
      <c r="AV152" s="220"/>
      <c r="AW152" s="220"/>
      <c r="AX152" s="220"/>
      <c r="AY152" s="220"/>
      <c r="AZ152" s="220"/>
      <c r="BA152" s="220"/>
      <c r="BB152" s="220"/>
      <c r="BC152" s="220"/>
      <c r="BD152" s="244"/>
    </row>
    <row r="153" spans="1:56" ht="12.75" customHeight="1" x14ac:dyDescent="0.25">
      <c r="A153" s="229"/>
      <c r="B153" s="229"/>
      <c r="C153" s="220"/>
      <c r="D153" s="220"/>
      <c r="E153" s="242"/>
      <c r="F153" s="248"/>
      <c r="G153" s="248"/>
      <c r="H153" s="248"/>
      <c r="I153" s="248"/>
      <c r="J153" s="248"/>
      <c r="K153" s="220"/>
      <c r="L153" s="248"/>
      <c r="M153" s="248"/>
      <c r="N153" s="244"/>
      <c r="O153" s="247"/>
      <c r="P153" s="244"/>
      <c r="Q153" s="247"/>
      <c r="R153" s="244"/>
      <c r="S153" s="247"/>
      <c r="T153" s="220"/>
      <c r="U153" s="220"/>
      <c r="V153" s="220"/>
      <c r="W153" s="250"/>
      <c r="X153" s="244"/>
      <c r="Y153" s="220"/>
      <c r="Z153" s="220"/>
      <c r="AA153" s="220"/>
      <c r="AB153" s="220"/>
      <c r="AC153" s="244"/>
      <c r="AD153" s="249"/>
      <c r="AE153" s="247"/>
      <c r="AF153" s="220"/>
      <c r="AG153" s="220"/>
      <c r="AH153" s="244"/>
      <c r="AI153" s="220"/>
      <c r="AJ153" s="220"/>
      <c r="AK153" s="220"/>
      <c r="AL153" s="220"/>
      <c r="AM153" s="244"/>
      <c r="AN153" s="220"/>
      <c r="AO153" s="220"/>
      <c r="AP153" s="220"/>
      <c r="AQ153" s="220"/>
      <c r="AR153" s="220"/>
      <c r="AS153" s="244"/>
      <c r="AT153" s="244"/>
      <c r="AU153" s="220"/>
      <c r="AV153" s="220"/>
      <c r="AW153" s="220"/>
      <c r="AX153" s="220"/>
      <c r="AY153" s="220"/>
      <c r="AZ153" s="220"/>
      <c r="BA153" s="220"/>
      <c r="BB153" s="220"/>
      <c r="BC153" s="220"/>
      <c r="BD153" s="244"/>
    </row>
    <row r="154" spans="1:56" ht="12.75" customHeight="1" x14ac:dyDescent="0.25">
      <c r="A154" s="229"/>
      <c r="B154" s="229"/>
      <c r="C154" s="220"/>
      <c r="D154" s="220"/>
      <c r="E154" s="242"/>
      <c r="F154" s="248"/>
      <c r="G154" s="248"/>
      <c r="H154" s="248"/>
      <c r="I154" s="248"/>
      <c r="J154" s="248"/>
      <c r="K154" s="220"/>
      <c r="L154" s="248"/>
      <c r="M154" s="248"/>
      <c r="N154" s="244"/>
      <c r="O154" s="247"/>
      <c r="P154" s="244"/>
      <c r="Q154" s="247"/>
      <c r="R154" s="244"/>
      <c r="S154" s="247"/>
      <c r="T154" s="220"/>
      <c r="U154" s="220"/>
      <c r="V154" s="220"/>
      <c r="W154" s="250"/>
      <c r="X154" s="244"/>
      <c r="Y154" s="220"/>
      <c r="Z154" s="220"/>
      <c r="AA154" s="220"/>
      <c r="AB154" s="220"/>
      <c r="AC154" s="244"/>
      <c r="AD154" s="249"/>
      <c r="AE154" s="247"/>
      <c r="AF154" s="220"/>
      <c r="AG154" s="220"/>
      <c r="AH154" s="244"/>
      <c r="AI154" s="220"/>
      <c r="AJ154" s="220"/>
      <c r="AK154" s="220"/>
      <c r="AL154" s="220"/>
      <c r="AM154" s="244"/>
      <c r="AN154" s="220"/>
      <c r="AO154" s="220"/>
      <c r="AP154" s="220"/>
      <c r="AQ154" s="220"/>
      <c r="AR154" s="220"/>
      <c r="AS154" s="244"/>
      <c r="AT154" s="244"/>
      <c r="AU154" s="220"/>
      <c r="AV154" s="220"/>
      <c r="AW154" s="220"/>
      <c r="AX154" s="220"/>
      <c r="AY154" s="220"/>
      <c r="AZ154" s="220"/>
      <c r="BA154" s="220"/>
      <c r="BB154" s="220"/>
      <c r="BC154" s="220"/>
      <c r="BD154" s="244"/>
    </row>
    <row r="155" spans="1:56" ht="12.75" customHeight="1" x14ac:dyDescent="0.25">
      <c r="A155" s="229"/>
      <c r="B155" s="229"/>
      <c r="C155" s="220"/>
      <c r="D155" s="220"/>
      <c r="E155" s="242"/>
      <c r="F155" s="248"/>
      <c r="G155" s="248"/>
      <c r="H155" s="248"/>
      <c r="I155" s="248"/>
      <c r="J155" s="248"/>
      <c r="K155" s="220"/>
      <c r="L155" s="248"/>
      <c r="M155" s="248"/>
      <c r="N155" s="244"/>
      <c r="O155" s="247"/>
      <c r="P155" s="244"/>
      <c r="Q155" s="247"/>
      <c r="R155" s="244"/>
      <c r="S155" s="247"/>
      <c r="T155" s="220"/>
      <c r="U155" s="220"/>
      <c r="V155" s="220"/>
      <c r="W155" s="250"/>
      <c r="X155" s="244"/>
      <c r="Y155" s="220"/>
      <c r="Z155" s="220"/>
      <c r="AA155" s="220"/>
      <c r="AB155" s="220"/>
      <c r="AC155" s="244"/>
      <c r="AD155" s="249"/>
      <c r="AE155" s="247"/>
      <c r="AF155" s="220"/>
      <c r="AG155" s="220"/>
      <c r="AH155" s="244"/>
      <c r="AI155" s="220"/>
      <c r="AJ155" s="220"/>
      <c r="AK155" s="220"/>
      <c r="AL155" s="220"/>
      <c r="AM155" s="244"/>
      <c r="AN155" s="220"/>
      <c r="AO155" s="220"/>
      <c r="AP155" s="220"/>
      <c r="AQ155" s="220"/>
      <c r="AR155" s="220"/>
      <c r="AS155" s="244"/>
      <c r="AT155" s="244"/>
      <c r="AU155" s="220"/>
      <c r="AV155" s="220"/>
      <c r="AW155" s="220"/>
      <c r="AX155" s="220"/>
      <c r="AY155" s="220"/>
      <c r="AZ155" s="220"/>
      <c r="BA155" s="220"/>
      <c r="BB155" s="220"/>
      <c r="BC155" s="220"/>
      <c r="BD155" s="244"/>
    </row>
    <row r="156" spans="1:56" ht="12.75" customHeight="1" x14ac:dyDescent="0.25">
      <c r="A156" s="229"/>
      <c r="B156" s="229"/>
      <c r="C156" s="220"/>
      <c r="D156" s="220"/>
      <c r="E156" s="242"/>
      <c r="F156" s="248"/>
      <c r="G156" s="248"/>
      <c r="H156" s="248"/>
      <c r="I156" s="248"/>
      <c r="J156" s="248"/>
      <c r="K156" s="220"/>
      <c r="L156" s="248"/>
      <c r="M156" s="248"/>
      <c r="N156" s="244"/>
      <c r="O156" s="247"/>
      <c r="P156" s="244"/>
      <c r="Q156" s="247"/>
      <c r="R156" s="244"/>
      <c r="S156" s="247"/>
      <c r="T156" s="220"/>
      <c r="U156" s="220"/>
      <c r="V156" s="220"/>
      <c r="W156" s="250"/>
      <c r="X156" s="244"/>
      <c r="Y156" s="220"/>
      <c r="Z156" s="220"/>
      <c r="AA156" s="220"/>
      <c r="AB156" s="220"/>
      <c r="AC156" s="244"/>
      <c r="AD156" s="249"/>
      <c r="AE156" s="247"/>
      <c r="AF156" s="220"/>
      <c r="AG156" s="220"/>
      <c r="AH156" s="244"/>
      <c r="AI156" s="220"/>
      <c r="AJ156" s="220"/>
      <c r="AK156" s="220"/>
      <c r="AL156" s="220"/>
      <c r="AM156" s="244"/>
      <c r="AN156" s="220"/>
      <c r="AO156" s="220"/>
      <c r="AP156" s="220"/>
      <c r="AQ156" s="220"/>
      <c r="AR156" s="220"/>
      <c r="AS156" s="244"/>
      <c r="AT156" s="244"/>
      <c r="AU156" s="220"/>
      <c r="AV156" s="220"/>
      <c r="AW156" s="220"/>
      <c r="AX156" s="220"/>
      <c r="AY156" s="220"/>
      <c r="AZ156" s="220"/>
      <c r="BA156" s="220"/>
      <c r="BB156" s="220"/>
      <c r="BC156" s="220"/>
      <c r="BD156" s="244"/>
    </row>
    <row r="157" spans="1:56" ht="12.75" customHeight="1" x14ac:dyDescent="0.25">
      <c r="A157" s="229"/>
      <c r="B157" s="229"/>
      <c r="C157" s="220"/>
      <c r="D157" s="220"/>
      <c r="E157" s="242"/>
      <c r="F157" s="248"/>
      <c r="G157" s="248"/>
      <c r="H157" s="248"/>
      <c r="I157" s="248"/>
      <c r="J157" s="248"/>
      <c r="K157" s="220"/>
      <c r="L157" s="248"/>
      <c r="M157" s="248"/>
      <c r="N157" s="244"/>
      <c r="O157" s="247"/>
      <c r="P157" s="244"/>
      <c r="Q157" s="247"/>
      <c r="R157" s="244"/>
      <c r="S157" s="247"/>
      <c r="T157" s="220"/>
      <c r="U157" s="220"/>
      <c r="V157" s="220"/>
      <c r="W157" s="250"/>
      <c r="X157" s="244"/>
      <c r="Y157" s="220"/>
      <c r="Z157" s="220"/>
      <c r="AA157" s="220"/>
      <c r="AB157" s="220"/>
      <c r="AC157" s="244"/>
      <c r="AD157" s="249"/>
      <c r="AE157" s="247"/>
      <c r="AF157" s="220"/>
      <c r="AG157" s="220"/>
      <c r="AH157" s="244"/>
      <c r="AI157" s="220"/>
      <c r="AJ157" s="220"/>
      <c r="AK157" s="220"/>
      <c r="AL157" s="220"/>
      <c r="AM157" s="244"/>
      <c r="AN157" s="220"/>
      <c r="AO157" s="220"/>
      <c r="AP157" s="220"/>
      <c r="AQ157" s="220"/>
      <c r="AR157" s="220"/>
      <c r="AS157" s="244"/>
      <c r="AT157" s="244"/>
      <c r="AU157" s="220"/>
      <c r="AV157" s="220"/>
      <c r="AW157" s="220"/>
      <c r="AX157" s="220"/>
      <c r="AY157" s="220"/>
      <c r="AZ157" s="220"/>
      <c r="BA157" s="220"/>
      <c r="BB157" s="220"/>
      <c r="BC157" s="220"/>
      <c r="BD157" s="244"/>
    </row>
    <row r="158" spans="1:56" ht="12.75" customHeight="1" x14ac:dyDescent="0.25">
      <c r="A158" s="229"/>
      <c r="B158" s="229"/>
      <c r="C158" s="220"/>
      <c r="D158" s="220"/>
      <c r="E158" s="242"/>
      <c r="F158" s="248"/>
      <c r="G158" s="248"/>
      <c r="H158" s="248"/>
      <c r="I158" s="248"/>
      <c r="J158" s="248"/>
      <c r="K158" s="220"/>
      <c r="L158" s="248"/>
      <c r="M158" s="248"/>
      <c r="N158" s="244"/>
      <c r="O158" s="247"/>
      <c r="P158" s="244"/>
      <c r="Q158" s="247"/>
      <c r="R158" s="244"/>
      <c r="S158" s="247"/>
      <c r="T158" s="220"/>
      <c r="U158" s="220"/>
      <c r="V158" s="220"/>
      <c r="W158" s="250"/>
      <c r="X158" s="244"/>
      <c r="Y158" s="220"/>
      <c r="Z158" s="220"/>
      <c r="AA158" s="220"/>
      <c r="AB158" s="220"/>
      <c r="AC158" s="244"/>
      <c r="AD158" s="249"/>
      <c r="AE158" s="247"/>
      <c r="AF158" s="220"/>
      <c r="AG158" s="220"/>
      <c r="AH158" s="244"/>
      <c r="AI158" s="220"/>
      <c r="AJ158" s="220"/>
      <c r="AK158" s="220"/>
      <c r="AL158" s="220"/>
      <c r="AM158" s="244"/>
      <c r="AN158" s="220"/>
      <c r="AO158" s="220"/>
      <c r="AP158" s="220"/>
      <c r="AQ158" s="220"/>
      <c r="AR158" s="220"/>
      <c r="AS158" s="244"/>
      <c r="AT158" s="244"/>
      <c r="AU158" s="220"/>
      <c r="AV158" s="220"/>
      <c r="AW158" s="220"/>
      <c r="AX158" s="220"/>
      <c r="AY158" s="220"/>
      <c r="AZ158" s="220"/>
      <c r="BA158" s="220"/>
      <c r="BB158" s="220"/>
      <c r="BC158" s="220"/>
      <c r="BD158" s="244"/>
    </row>
    <row r="159" spans="1:56" ht="12.75" customHeight="1" x14ac:dyDescent="0.25">
      <c r="A159" s="229"/>
      <c r="B159" s="229"/>
      <c r="C159" s="220"/>
      <c r="D159" s="220"/>
      <c r="E159" s="242"/>
      <c r="F159" s="248"/>
      <c r="G159" s="248"/>
      <c r="H159" s="248"/>
      <c r="I159" s="248"/>
      <c r="J159" s="248"/>
      <c r="K159" s="220"/>
      <c r="L159" s="248"/>
      <c r="M159" s="248"/>
      <c r="N159" s="244"/>
      <c r="O159" s="247"/>
      <c r="P159" s="244"/>
      <c r="Q159" s="247"/>
      <c r="R159" s="244"/>
      <c r="S159" s="247"/>
      <c r="T159" s="220"/>
      <c r="U159" s="220"/>
      <c r="V159" s="220"/>
      <c r="W159" s="250"/>
      <c r="X159" s="244"/>
      <c r="Y159" s="220"/>
      <c r="Z159" s="220"/>
      <c r="AA159" s="220"/>
      <c r="AB159" s="220"/>
      <c r="AC159" s="244"/>
      <c r="AD159" s="249"/>
      <c r="AE159" s="247"/>
      <c r="AF159" s="220"/>
      <c r="AG159" s="220"/>
      <c r="AH159" s="244"/>
      <c r="AI159" s="220"/>
      <c r="AJ159" s="220"/>
      <c r="AK159" s="220"/>
      <c r="AL159" s="220"/>
      <c r="AM159" s="244"/>
      <c r="AN159" s="220"/>
      <c r="AO159" s="220"/>
      <c r="AP159" s="220"/>
      <c r="AQ159" s="220"/>
      <c r="AR159" s="220"/>
      <c r="AS159" s="244"/>
      <c r="AT159" s="244"/>
      <c r="AU159" s="220"/>
      <c r="AV159" s="220"/>
      <c r="AW159" s="220"/>
      <c r="AX159" s="220"/>
      <c r="AY159" s="220"/>
      <c r="AZ159" s="220"/>
      <c r="BA159" s="220"/>
      <c r="BB159" s="220"/>
      <c r="BC159" s="220"/>
      <c r="BD159" s="244"/>
    </row>
    <row r="160" spans="1:56" ht="12.75" customHeight="1" x14ac:dyDescent="0.25">
      <c r="A160" s="229"/>
      <c r="B160" s="229"/>
      <c r="C160" s="220"/>
      <c r="D160" s="220"/>
      <c r="E160" s="242"/>
      <c r="F160" s="248"/>
      <c r="G160" s="248"/>
      <c r="H160" s="248"/>
      <c r="I160" s="248"/>
      <c r="J160" s="248"/>
      <c r="K160" s="220"/>
      <c r="L160" s="248"/>
      <c r="M160" s="248"/>
      <c r="N160" s="244"/>
      <c r="O160" s="247"/>
      <c r="P160" s="244"/>
      <c r="Q160" s="247"/>
      <c r="R160" s="244"/>
      <c r="S160" s="247"/>
      <c r="T160" s="220"/>
      <c r="U160" s="220"/>
      <c r="V160" s="220"/>
      <c r="W160" s="250"/>
      <c r="X160" s="244"/>
      <c r="Y160" s="220"/>
      <c r="Z160" s="220"/>
      <c r="AA160" s="220"/>
      <c r="AB160" s="220"/>
      <c r="AC160" s="244"/>
      <c r="AD160" s="249"/>
      <c r="AE160" s="247"/>
      <c r="AF160" s="220"/>
      <c r="AG160" s="220"/>
      <c r="AH160" s="244"/>
      <c r="AI160" s="220"/>
      <c r="AJ160" s="220"/>
      <c r="AK160" s="220"/>
      <c r="AL160" s="220"/>
      <c r="AM160" s="244"/>
      <c r="AN160" s="220"/>
      <c r="AO160" s="220"/>
      <c r="AP160" s="220"/>
      <c r="AQ160" s="220"/>
      <c r="AR160" s="220"/>
      <c r="AS160" s="244"/>
      <c r="AT160" s="244"/>
      <c r="AU160" s="220"/>
      <c r="AV160" s="220"/>
      <c r="AW160" s="220"/>
      <c r="AX160" s="220"/>
      <c r="AY160" s="220"/>
      <c r="AZ160" s="220"/>
      <c r="BA160" s="220"/>
      <c r="BB160" s="220"/>
      <c r="BC160" s="220"/>
      <c r="BD160" s="244"/>
    </row>
    <row r="161" spans="1:56" ht="12.75" customHeight="1" x14ac:dyDescent="0.25">
      <c r="A161" s="229"/>
      <c r="B161" s="229"/>
      <c r="C161" s="220"/>
      <c r="D161" s="220"/>
      <c r="E161" s="242"/>
      <c r="F161" s="248"/>
      <c r="G161" s="248"/>
      <c r="H161" s="248"/>
      <c r="I161" s="248"/>
      <c r="J161" s="248"/>
      <c r="K161" s="220"/>
      <c r="L161" s="248"/>
      <c r="M161" s="248"/>
      <c r="N161" s="244"/>
      <c r="O161" s="247"/>
      <c r="P161" s="244"/>
      <c r="Q161" s="247"/>
      <c r="R161" s="244"/>
      <c r="S161" s="247"/>
      <c r="T161" s="220"/>
      <c r="U161" s="220"/>
      <c r="V161" s="220"/>
      <c r="W161" s="250"/>
      <c r="X161" s="244"/>
      <c r="Y161" s="220"/>
      <c r="Z161" s="220"/>
      <c r="AA161" s="220"/>
      <c r="AB161" s="220"/>
      <c r="AC161" s="244"/>
      <c r="AD161" s="249"/>
      <c r="AE161" s="247"/>
      <c r="AF161" s="220"/>
      <c r="AG161" s="220"/>
      <c r="AH161" s="244"/>
      <c r="AI161" s="220"/>
      <c r="AJ161" s="220"/>
      <c r="AK161" s="220"/>
      <c r="AL161" s="220"/>
      <c r="AM161" s="244"/>
      <c r="AN161" s="220"/>
      <c r="AO161" s="220"/>
      <c r="AP161" s="220"/>
      <c r="AQ161" s="220"/>
      <c r="AR161" s="220"/>
      <c r="AS161" s="244"/>
      <c r="AT161" s="244"/>
      <c r="AU161" s="220"/>
      <c r="AV161" s="220"/>
      <c r="AW161" s="220"/>
      <c r="AX161" s="220"/>
      <c r="AY161" s="220"/>
      <c r="AZ161" s="220"/>
      <c r="BA161" s="220"/>
      <c r="BB161" s="220"/>
      <c r="BC161" s="220"/>
      <c r="BD161" s="244"/>
    </row>
    <row r="162" spans="1:56" ht="12.75" customHeight="1" x14ac:dyDescent="0.25">
      <c r="A162" s="229"/>
      <c r="B162" s="229"/>
      <c r="C162" s="220"/>
      <c r="D162" s="220"/>
      <c r="E162" s="242"/>
      <c r="F162" s="248"/>
      <c r="G162" s="248"/>
      <c r="H162" s="248"/>
      <c r="I162" s="248"/>
      <c r="J162" s="248"/>
      <c r="K162" s="220"/>
      <c r="L162" s="248"/>
      <c r="M162" s="248"/>
      <c r="N162" s="244"/>
      <c r="O162" s="247"/>
      <c r="P162" s="244"/>
      <c r="Q162" s="247"/>
      <c r="R162" s="244"/>
      <c r="S162" s="247"/>
      <c r="T162" s="220"/>
      <c r="U162" s="220"/>
      <c r="V162" s="220"/>
      <c r="W162" s="250"/>
      <c r="X162" s="244"/>
      <c r="Y162" s="220"/>
      <c r="Z162" s="220"/>
      <c r="AA162" s="220"/>
      <c r="AB162" s="220"/>
      <c r="AC162" s="244"/>
      <c r="AD162" s="249"/>
      <c r="AE162" s="247"/>
      <c r="AF162" s="220"/>
      <c r="AG162" s="220"/>
      <c r="AH162" s="244"/>
      <c r="AI162" s="220"/>
      <c r="AJ162" s="220"/>
      <c r="AK162" s="220"/>
      <c r="AL162" s="220"/>
      <c r="AM162" s="244"/>
      <c r="AN162" s="220"/>
      <c r="AO162" s="220"/>
      <c r="AP162" s="220"/>
      <c r="AQ162" s="220"/>
      <c r="AR162" s="220"/>
      <c r="AS162" s="244"/>
      <c r="AT162" s="244"/>
      <c r="AU162" s="220"/>
      <c r="AV162" s="220"/>
      <c r="AW162" s="220"/>
      <c r="AX162" s="220"/>
      <c r="AY162" s="220"/>
      <c r="AZ162" s="220"/>
      <c r="BA162" s="220"/>
      <c r="BB162" s="220"/>
      <c r="BC162" s="220"/>
      <c r="BD162" s="244"/>
    </row>
    <row r="163" spans="1:56" ht="12.75" customHeight="1" x14ac:dyDescent="0.25">
      <c r="A163" s="229"/>
      <c r="B163" s="229"/>
      <c r="C163" s="220"/>
      <c r="D163" s="220"/>
      <c r="E163" s="242"/>
      <c r="F163" s="248"/>
      <c r="G163" s="248"/>
      <c r="H163" s="248"/>
      <c r="I163" s="248"/>
      <c r="J163" s="248"/>
      <c r="K163" s="220"/>
      <c r="L163" s="248"/>
      <c r="M163" s="248"/>
      <c r="N163" s="244"/>
      <c r="O163" s="247"/>
      <c r="P163" s="244"/>
      <c r="Q163" s="247"/>
      <c r="R163" s="244"/>
      <c r="S163" s="247"/>
      <c r="T163" s="220"/>
      <c r="U163" s="220"/>
      <c r="V163" s="220"/>
      <c r="W163" s="250"/>
      <c r="X163" s="244"/>
      <c r="Y163" s="220"/>
      <c r="Z163" s="220"/>
      <c r="AA163" s="220"/>
      <c r="AB163" s="220"/>
      <c r="AC163" s="244"/>
      <c r="AD163" s="249"/>
      <c r="AE163" s="247"/>
      <c r="AF163" s="220"/>
      <c r="AG163" s="220"/>
      <c r="AH163" s="244"/>
      <c r="AI163" s="220"/>
      <c r="AJ163" s="220"/>
      <c r="AK163" s="220"/>
      <c r="AL163" s="220"/>
      <c r="AM163" s="244"/>
      <c r="AN163" s="220"/>
      <c r="AO163" s="220"/>
      <c r="AP163" s="220"/>
      <c r="AQ163" s="220"/>
      <c r="AR163" s="220"/>
      <c r="AS163" s="244"/>
      <c r="AT163" s="244"/>
      <c r="AU163" s="220"/>
      <c r="AV163" s="220"/>
      <c r="AW163" s="220"/>
      <c r="AX163" s="220"/>
      <c r="AY163" s="220"/>
      <c r="AZ163" s="220"/>
      <c r="BA163" s="220"/>
      <c r="BB163" s="220"/>
      <c r="BC163" s="220"/>
      <c r="BD163" s="244"/>
    </row>
    <row r="164" spans="1:56" ht="12.75" customHeight="1" x14ac:dyDescent="0.25">
      <c r="A164" s="229"/>
      <c r="B164" s="229"/>
      <c r="C164" s="220"/>
      <c r="D164" s="220"/>
      <c r="E164" s="242"/>
      <c r="F164" s="248"/>
      <c r="G164" s="248"/>
      <c r="H164" s="248"/>
      <c r="I164" s="248"/>
      <c r="J164" s="248"/>
      <c r="K164" s="220"/>
      <c r="L164" s="248"/>
      <c r="M164" s="248"/>
      <c r="N164" s="244"/>
      <c r="O164" s="247"/>
      <c r="P164" s="244"/>
      <c r="Q164" s="247"/>
      <c r="R164" s="244"/>
      <c r="S164" s="247"/>
      <c r="T164" s="220"/>
      <c r="U164" s="220"/>
      <c r="V164" s="220"/>
      <c r="W164" s="250"/>
      <c r="X164" s="244"/>
      <c r="Y164" s="220"/>
      <c r="Z164" s="220"/>
      <c r="AA164" s="220"/>
      <c r="AB164" s="220"/>
      <c r="AC164" s="244"/>
      <c r="AD164" s="249"/>
      <c r="AE164" s="247"/>
      <c r="AF164" s="220"/>
      <c r="AG164" s="220"/>
      <c r="AH164" s="244"/>
      <c r="AI164" s="220"/>
      <c r="AJ164" s="220"/>
      <c r="AK164" s="220"/>
      <c r="AL164" s="220"/>
      <c r="AM164" s="244"/>
      <c r="AN164" s="220"/>
      <c r="AO164" s="220"/>
      <c r="AP164" s="220"/>
      <c r="AQ164" s="220"/>
      <c r="AR164" s="220"/>
      <c r="AS164" s="244"/>
      <c r="AT164" s="244"/>
      <c r="AU164" s="220"/>
      <c r="AV164" s="220"/>
      <c r="AW164" s="220"/>
      <c r="AX164" s="220"/>
      <c r="AY164" s="220"/>
      <c r="AZ164" s="220"/>
      <c r="BA164" s="220"/>
      <c r="BB164" s="220"/>
      <c r="BC164" s="220"/>
      <c r="BD164" s="244"/>
    </row>
    <row r="165" spans="1:56" ht="12.75" customHeight="1" x14ac:dyDescent="0.25">
      <c r="A165" s="229"/>
      <c r="B165" s="229"/>
      <c r="C165" s="220"/>
      <c r="D165" s="220"/>
      <c r="E165" s="242"/>
      <c r="F165" s="248"/>
      <c r="G165" s="248"/>
      <c r="H165" s="248"/>
      <c r="I165" s="248"/>
      <c r="J165" s="248"/>
      <c r="K165" s="220"/>
      <c r="L165" s="248"/>
      <c r="M165" s="248"/>
      <c r="N165" s="244"/>
      <c r="O165" s="247"/>
      <c r="P165" s="244"/>
      <c r="Q165" s="247"/>
      <c r="R165" s="244"/>
      <c r="S165" s="247"/>
      <c r="T165" s="220"/>
      <c r="U165" s="220"/>
      <c r="V165" s="220"/>
      <c r="W165" s="250"/>
      <c r="X165" s="244"/>
      <c r="Y165" s="220"/>
      <c r="Z165" s="220"/>
      <c r="AA165" s="220"/>
      <c r="AB165" s="220"/>
      <c r="AC165" s="244"/>
      <c r="AD165" s="249"/>
      <c r="AE165" s="247"/>
      <c r="AF165" s="220"/>
      <c r="AG165" s="220"/>
      <c r="AH165" s="244"/>
      <c r="AI165" s="220"/>
      <c r="AJ165" s="220"/>
      <c r="AK165" s="220"/>
      <c r="AL165" s="220"/>
      <c r="AM165" s="244"/>
      <c r="AN165" s="220"/>
      <c r="AO165" s="220"/>
      <c r="AP165" s="220"/>
      <c r="AQ165" s="220"/>
      <c r="AR165" s="220"/>
      <c r="AS165" s="244"/>
      <c r="AT165" s="244"/>
      <c r="AU165" s="220"/>
      <c r="AV165" s="220"/>
      <c r="AW165" s="220"/>
      <c r="AX165" s="220"/>
      <c r="AY165" s="220"/>
      <c r="AZ165" s="220"/>
      <c r="BA165" s="220"/>
      <c r="BB165" s="220"/>
      <c r="BC165" s="220"/>
      <c r="BD165" s="244"/>
    </row>
    <row r="166" spans="1:56" ht="12.75" customHeight="1" x14ac:dyDescent="0.25">
      <c r="A166" s="229"/>
      <c r="B166" s="229"/>
      <c r="C166" s="220"/>
      <c r="D166" s="220"/>
      <c r="E166" s="242"/>
      <c r="F166" s="248"/>
      <c r="G166" s="248"/>
      <c r="H166" s="248"/>
      <c r="I166" s="248"/>
      <c r="J166" s="248"/>
      <c r="K166" s="220"/>
      <c r="L166" s="248"/>
      <c r="M166" s="248"/>
      <c r="N166" s="244"/>
      <c r="O166" s="247"/>
      <c r="P166" s="244"/>
      <c r="Q166" s="247"/>
      <c r="R166" s="244"/>
      <c r="S166" s="247"/>
      <c r="T166" s="220"/>
      <c r="U166" s="220"/>
      <c r="V166" s="220"/>
      <c r="W166" s="250"/>
      <c r="X166" s="244"/>
      <c r="Y166" s="220"/>
      <c r="Z166" s="220"/>
      <c r="AA166" s="220"/>
      <c r="AB166" s="220"/>
      <c r="AC166" s="244"/>
      <c r="AD166" s="249"/>
      <c r="AE166" s="247"/>
      <c r="AF166" s="220"/>
      <c r="AG166" s="220"/>
      <c r="AH166" s="244"/>
      <c r="AI166" s="220"/>
      <c r="AJ166" s="220"/>
      <c r="AK166" s="220"/>
      <c r="AL166" s="220"/>
      <c r="AM166" s="244"/>
      <c r="AN166" s="220"/>
      <c r="AO166" s="220"/>
      <c r="AP166" s="220"/>
      <c r="AQ166" s="220"/>
      <c r="AR166" s="220"/>
      <c r="AS166" s="244"/>
      <c r="AT166" s="244"/>
      <c r="AU166" s="220"/>
      <c r="AV166" s="220"/>
      <c r="AW166" s="220"/>
      <c r="AX166" s="220"/>
      <c r="AY166" s="220"/>
      <c r="AZ166" s="220"/>
      <c r="BA166" s="220"/>
      <c r="BB166" s="220"/>
      <c r="BC166" s="220"/>
      <c r="BD166" s="244"/>
    </row>
    <row r="167" spans="1:56" ht="12.75" customHeight="1" x14ac:dyDescent="0.25">
      <c r="A167" s="229"/>
      <c r="B167" s="229"/>
      <c r="C167" s="220"/>
      <c r="D167" s="220"/>
      <c r="E167" s="242"/>
      <c r="F167" s="248"/>
      <c r="G167" s="248"/>
      <c r="H167" s="248"/>
      <c r="I167" s="248"/>
      <c r="J167" s="248"/>
      <c r="K167" s="220"/>
      <c r="L167" s="248"/>
      <c r="M167" s="248"/>
      <c r="N167" s="244"/>
      <c r="O167" s="247"/>
      <c r="P167" s="244"/>
      <c r="Q167" s="247"/>
      <c r="R167" s="244"/>
      <c r="S167" s="247"/>
      <c r="T167" s="220"/>
      <c r="U167" s="220"/>
      <c r="V167" s="220"/>
      <c r="W167" s="250"/>
      <c r="X167" s="244"/>
      <c r="Y167" s="220"/>
      <c r="Z167" s="220"/>
      <c r="AA167" s="220"/>
      <c r="AB167" s="220"/>
      <c r="AC167" s="244"/>
      <c r="AD167" s="249"/>
      <c r="AE167" s="247"/>
      <c r="AF167" s="220"/>
      <c r="AG167" s="220"/>
      <c r="AH167" s="244"/>
      <c r="AI167" s="220"/>
      <c r="AJ167" s="220"/>
      <c r="AK167" s="220"/>
      <c r="AL167" s="220"/>
      <c r="AM167" s="244"/>
      <c r="AN167" s="220"/>
      <c r="AO167" s="220"/>
      <c r="AP167" s="220"/>
      <c r="AQ167" s="220"/>
      <c r="AR167" s="220"/>
      <c r="AS167" s="244"/>
      <c r="AT167" s="244"/>
      <c r="AU167" s="220"/>
      <c r="AV167" s="220"/>
      <c r="AW167" s="220"/>
      <c r="AX167" s="220"/>
      <c r="AY167" s="220"/>
      <c r="AZ167" s="220"/>
      <c r="BA167" s="220"/>
      <c r="BB167" s="220"/>
      <c r="BC167" s="220"/>
      <c r="BD167" s="244"/>
    </row>
    <row r="168" spans="1:56" ht="12.75" customHeight="1" x14ac:dyDescent="0.25">
      <c r="A168" s="229"/>
      <c r="B168" s="229"/>
      <c r="C168" s="220"/>
      <c r="D168" s="220"/>
      <c r="E168" s="242"/>
      <c r="F168" s="248"/>
      <c r="G168" s="248"/>
      <c r="H168" s="248"/>
      <c r="I168" s="248"/>
      <c r="J168" s="248"/>
      <c r="K168" s="220"/>
      <c r="L168" s="248"/>
      <c r="M168" s="248"/>
      <c r="N168" s="244"/>
      <c r="O168" s="247"/>
      <c r="P168" s="244"/>
      <c r="Q168" s="247"/>
      <c r="R168" s="244"/>
      <c r="S168" s="247"/>
      <c r="T168" s="220"/>
      <c r="U168" s="220"/>
      <c r="V168" s="220"/>
      <c r="W168" s="250"/>
      <c r="X168" s="244"/>
      <c r="Y168" s="220"/>
      <c r="Z168" s="220"/>
      <c r="AA168" s="220"/>
      <c r="AB168" s="220"/>
      <c r="AC168" s="244"/>
      <c r="AD168" s="249"/>
      <c r="AE168" s="247"/>
      <c r="AF168" s="220"/>
      <c r="AG168" s="220"/>
      <c r="AH168" s="244"/>
      <c r="AI168" s="220"/>
      <c r="AJ168" s="220"/>
      <c r="AK168" s="220"/>
      <c r="AL168" s="220"/>
      <c r="AM168" s="244"/>
      <c r="AN168" s="220"/>
      <c r="AO168" s="220"/>
      <c r="AP168" s="220"/>
      <c r="AQ168" s="220"/>
      <c r="AR168" s="220"/>
      <c r="AS168" s="244"/>
      <c r="AT168" s="244"/>
      <c r="AU168" s="220"/>
      <c r="AV168" s="220"/>
      <c r="AW168" s="220"/>
      <c r="AX168" s="220"/>
      <c r="AY168" s="220"/>
      <c r="AZ168" s="220"/>
      <c r="BA168" s="220"/>
      <c r="BB168" s="220"/>
      <c r="BC168" s="220"/>
      <c r="BD168" s="244"/>
    </row>
    <row r="169" spans="1:56" ht="12.75" customHeight="1" x14ac:dyDescent="0.25">
      <c r="A169" s="229"/>
      <c r="B169" s="229"/>
      <c r="C169" s="220"/>
      <c r="D169" s="220"/>
      <c r="E169" s="242"/>
      <c r="F169" s="248"/>
      <c r="G169" s="248"/>
      <c r="H169" s="248"/>
      <c r="I169" s="248"/>
      <c r="J169" s="248"/>
      <c r="K169" s="220"/>
      <c r="L169" s="248"/>
      <c r="M169" s="248"/>
      <c r="N169" s="244"/>
      <c r="O169" s="247"/>
      <c r="P169" s="244"/>
      <c r="Q169" s="247"/>
      <c r="R169" s="244"/>
      <c r="S169" s="247"/>
      <c r="T169" s="220"/>
      <c r="U169" s="220"/>
      <c r="V169" s="220"/>
      <c r="W169" s="250"/>
      <c r="X169" s="244"/>
      <c r="Y169" s="220"/>
      <c r="Z169" s="220"/>
      <c r="AA169" s="220"/>
      <c r="AB169" s="220"/>
      <c r="AC169" s="244"/>
      <c r="AD169" s="249"/>
      <c r="AE169" s="247"/>
      <c r="AF169" s="220"/>
      <c r="AG169" s="220"/>
      <c r="AH169" s="244"/>
      <c r="AI169" s="220"/>
      <c r="AJ169" s="220"/>
      <c r="AK169" s="220"/>
      <c r="AL169" s="220"/>
      <c r="AM169" s="244"/>
      <c r="AN169" s="220"/>
      <c r="AO169" s="220"/>
      <c r="AP169" s="220"/>
      <c r="AQ169" s="220"/>
      <c r="AR169" s="220"/>
      <c r="AS169" s="244"/>
      <c r="AT169" s="244"/>
      <c r="AU169" s="220"/>
      <c r="AV169" s="220"/>
      <c r="AW169" s="220"/>
      <c r="AX169" s="220"/>
      <c r="AY169" s="220"/>
      <c r="AZ169" s="220"/>
      <c r="BA169" s="220"/>
      <c r="BB169" s="220"/>
      <c r="BC169" s="220"/>
      <c r="BD169" s="244"/>
    </row>
    <row r="170" spans="1:56" ht="12.75" customHeight="1" x14ac:dyDescent="0.25">
      <c r="A170" s="229"/>
      <c r="B170" s="229"/>
      <c r="C170" s="220"/>
      <c r="D170" s="220"/>
      <c r="E170" s="242"/>
      <c r="F170" s="248"/>
      <c r="G170" s="248"/>
      <c r="H170" s="248"/>
      <c r="I170" s="248"/>
      <c r="J170" s="248"/>
      <c r="K170" s="220"/>
      <c r="L170" s="248"/>
      <c r="M170" s="248"/>
      <c r="N170" s="244"/>
      <c r="O170" s="247"/>
      <c r="P170" s="244"/>
      <c r="Q170" s="247"/>
      <c r="R170" s="244"/>
      <c r="S170" s="247"/>
      <c r="T170" s="220"/>
      <c r="U170" s="220"/>
      <c r="V170" s="220"/>
      <c r="W170" s="250"/>
      <c r="X170" s="244"/>
      <c r="Y170" s="220"/>
      <c r="Z170" s="220"/>
      <c r="AA170" s="220"/>
      <c r="AB170" s="220"/>
      <c r="AC170" s="244"/>
      <c r="AD170" s="249"/>
      <c r="AE170" s="247"/>
      <c r="AF170" s="220"/>
      <c r="AG170" s="220"/>
      <c r="AH170" s="244"/>
      <c r="AI170" s="220"/>
      <c r="AJ170" s="220"/>
      <c r="AK170" s="220"/>
      <c r="AL170" s="220"/>
      <c r="AM170" s="244"/>
      <c r="AN170" s="220"/>
      <c r="AO170" s="220"/>
      <c r="AP170" s="220"/>
      <c r="AQ170" s="220"/>
      <c r="AR170" s="220"/>
      <c r="AS170" s="244"/>
      <c r="AT170" s="244"/>
      <c r="AU170" s="220"/>
      <c r="AV170" s="220"/>
      <c r="AW170" s="220"/>
      <c r="AX170" s="220"/>
      <c r="AY170" s="220"/>
      <c r="AZ170" s="220"/>
      <c r="BA170" s="220"/>
      <c r="BB170" s="220"/>
      <c r="BC170" s="220"/>
      <c r="BD170" s="244"/>
    </row>
    <row r="171" spans="1:56" ht="12.75" customHeight="1" x14ac:dyDescent="0.25">
      <c r="A171" s="229"/>
      <c r="B171" s="229"/>
      <c r="C171" s="220"/>
      <c r="D171" s="220"/>
      <c r="E171" s="242"/>
      <c r="F171" s="248"/>
      <c r="G171" s="248"/>
      <c r="H171" s="248"/>
      <c r="I171" s="248"/>
      <c r="J171" s="248"/>
      <c r="K171" s="220"/>
      <c r="L171" s="248"/>
      <c r="M171" s="248"/>
      <c r="N171" s="244"/>
      <c r="O171" s="247"/>
      <c r="P171" s="244"/>
      <c r="Q171" s="247"/>
      <c r="R171" s="244"/>
      <c r="S171" s="247"/>
      <c r="T171" s="220"/>
      <c r="U171" s="220"/>
      <c r="V171" s="220"/>
      <c r="W171" s="250"/>
      <c r="X171" s="244"/>
      <c r="Y171" s="220"/>
      <c r="Z171" s="220"/>
      <c r="AA171" s="220"/>
      <c r="AB171" s="220"/>
      <c r="AC171" s="244"/>
      <c r="AD171" s="249"/>
      <c r="AE171" s="247"/>
      <c r="AF171" s="220"/>
      <c r="AG171" s="220"/>
      <c r="AH171" s="244"/>
      <c r="AI171" s="220"/>
      <c r="AJ171" s="220"/>
      <c r="AK171" s="220"/>
      <c r="AL171" s="220"/>
      <c r="AM171" s="244"/>
      <c r="AN171" s="220"/>
      <c r="AO171" s="220"/>
      <c r="AP171" s="220"/>
      <c r="AQ171" s="220"/>
      <c r="AR171" s="220"/>
      <c r="AS171" s="244"/>
      <c r="AT171" s="244"/>
      <c r="AU171" s="220"/>
      <c r="AV171" s="220"/>
      <c r="AW171" s="220"/>
      <c r="AX171" s="220"/>
      <c r="AY171" s="220"/>
      <c r="AZ171" s="220"/>
      <c r="BA171" s="220"/>
      <c r="BB171" s="220"/>
      <c r="BC171" s="220"/>
      <c r="BD171" s="244"/>
    </row>
    <row r="172" spans="1:56" ht="12.75" customHeight="1" x14ac:dyDescent="0.25">
      <c r="A172" s="229"/>
      <c r="B172" s="229"/>
      <c r="C172" s="220"/>
      <c r="D172" s="220"/>
      <c r="E172" s="242"/>
      <c r="F172" s="248"/>
      <c r="G172" s="248"/>
      <c r="H172" s="248"/>
      <c r="I172" s="248"/>
      <c r="J172" s="248"/>
      <c r="K172" s="220"/>
      <c r="L172" s="248"/>
      <c r="M172" s="248"/>
      <c r="N172" s="244"/>
      <c r="O172" s="247"/>
      <c r="P172" s="244"/>
      <c r="Q172" s="247"/>
      <c r="R172" s="244"/>
      <c r="S172" s="247"/>
      <c r="T172" s="220"/>
      <c r="U172" s="220"/>
      <c r="V172" s="220"/>
      <c r="W172" s="250"/>
      <c r="X172" s="244"/>
      <c r="Y172" s="220"/>
      <c r="Z172" s="220"/>
      <c r="AA172" s="220"/>
      <c r="AB172" s="220"/>
      <c r="AC172" s="244"/>
      <c r="AD172" s="249"/>
      <c r="AE172" s="247"/>
      <c r="AF172" s="220"/>
      <c r="AG172" s="220"/>
      <c r="AH172" s="244"/>
      <c r="AI172" s="220"/>
      <c r="AJ172" s="220"/>
      <c r="AK172" s="220"/>
      <c r="AL172" s="220"/>
      <c r="AM172" s="244"/>
      <c r="AN172" s="220"/>
      <c r="AO172" s="220"/>
      <c r="AP172" s="220"/>
      <c r="AQ172" s="220"/>
      <c r="AR172" s="220"/>
      <c r="AS172" s="244"/>
      <c r="AT172" s="244"/>
      <c r="AU172" s="220"/>
      <c r="AV172" s="220"/>
      <c r="AW172" s="220"/>
      <c r="AX172" s="220"/>
      <c r="AY172" s="220"/>
      <c r="AZ172" s="220"/>
      <c r="BA172" s="220"/>
      <c r="BB172" s="220"/>
      <c r="BC172" s="220"/>
      <c r="BD172" s="244"/>
    </row>
    <row r="173" spans="1:56" ht="12.75" customHeight="1" x14ac:dyDescent="0.25">
      <c r="A173" s="229"/>
      <c r="B173" s="229"/>
      <c r="C173" s="220"/>
      <c r="D173" s="220"/>
      <c r="E173" s="242"/>
      <c r="F173" s="248"/>
      <c r="G173" s="248"/>
      <c r="H173" s="248"/>
      <c r="I173" s="248"/>
      <c r="J173" s="248"/>
      <c r="K173" s="220"/>
      <c r="L173" s="248"/>
      <c r="M173" s="248"/>
      <c r="N173" s="244"/>
      <c r="O173" s="247"/>
      <c r="P173" s="244"/>
      <c r="Q173" s="247"/>
      <c r="R173" s="244"/>
      <c r="S173" s="247"/>
      <c r="T173" s="220"/>
      <c r="U173" s="220"/>
      <c r="V173" s="220"/>
      <c r="W173" s="250"/>
      <c r="X173" s="244"/>
      <c r="Y173" s="220"/>
      <c r="Z173" s="220"/>
      <c r="AA173" s="220"/>
      <c r="AB173" s="220"/>
      <c r="AC173" s="244"/>
      <c r="AD173" s="249"/>
      <c r="AE173" s="247"/>
      <c r="AF173" s="220"/>
      <c r="AG173" s="220"/>
      <c r="AH173" s="244"/>
      <c r="AI173" s="220"/>
      <c r="AJ173" s="220"/>
      <c r="AK173" s="220"/>
      <c r="AL173" s="220"/>
      <c r="AM173" s="244"/>
      <c r="AN173" s="220"/>
      <c r="AO173" s="220"/>
      <c r="AP173" s="220"/>
      <c r="AQ173" s="220"/>
      <c r="AR173" s="220"/>
      <c r="AS173" s="244"/>
      <c r="AT173" s="244"/>
      <c r="AU173" s="220"/>
      <c r="AV173" s="220"/>
      <c r="AW173" s="220"/>
      <c r="AX173" s="220"/>
      <c r="AY173" s="220"/>
      <c r="AZ173" s="220"/>
      <c r="BA173" s="220"/>
      <c r="BB173" s="220"/>
      <c r="BC173" s="220"/>
      <c r="BD173" s="244"/>
    </row>
    <row r="174" spans="1:56" ht="12.75" customHeight="1" x14ac:dyDescent="0.25">
      <c r="A174" s="229"/>
      <c r="B174" s="229"/>
      <c r="C174" s="220"/>
      <c r="D174" s="220"/>
      <c r="E174" s="242"/>
      <c r="F174" s="248"/>
      <c r="G174" s="248"/>
      <c r="H174" s="248"/>
      <c r="I174" s="248"/>
      <c r="J174" s="248"/>
      <c r="K174" s="220"/>
      <c r="L174" s="248"/>
      <c r="M174" s="248"/>
      <c r="N174" s="244"/>
      <c r="O174" s="247"/>
      <c r="P174" s="244"/>
      <c r="Q174" s="247"/>
      <c r="R174" s="244"/>
      <c r="S174" s="247"/>
      <c r="T174" s="220"/>
      <c r="U174" s="220"/>
      <c r="V174" s="220"/>
      <c r="W174" s="250"/>
      <c r="X174" s="244"/>
      <c r="Y174" s="220"/>
      <c r="Z174" s="220"/>
      <c r="AA174" s="220"/>
      <c r="AB174" s="220"/>
      <c r="AC174" s="244"/>
      <c r="AD174" s="249"/>
      <c r="AE174" s="247"/>
      <c r="AF174" s="220"/>
      <c r="AG174" s="220"/>
      <c r="AH174" s="244"/>
      <c r="AI174" s="220"/>
      <c r="AJ174" s="220"/>
      <c r="AK174" s="220"/>
      <c r="AL174" s="220"/>
      <c r="AM174" s="244"/>
      <c r="AN174" s="220"/>
      <c r="AO174" s="220"/>
      <c r="AP174" s="220"/>
      <c r="AQ174" s="220"/>
      <c r="AR174" s="220"/>
      <c r="AS174" s="244"/>
      <c r="AT174" s="244"/>
      <c r="AU174" s="220"/>
      <c r="AV174" s="220"/>
      <c r="AW174" s="220"/>
      <c r="AX174" s="220"/>
      <c r="AY174" s="220"/>
      <c r="AZ174" s="220"/>
      <c r="BA174" s="220"/>
      <c r="BB174" s="220"/>
      <c r="BC174" s="220"/>
      <c r="BD174" s="244"/>
    </row>
    <row r="175" spans="1:56" ht="12.75" customHeight="1" x14ac:dyDescent="0.25">
      <c r="A175" s="229"/>
      <c r="B175" s="229"/>
      <c r="C175" s="220"/>
      <c r="D175" s="220"/>
      <c r="E175" s="242"/>
      <c r="F175" s="248"/>
      <c r="G175" s="248"/>
      <c r="H175" s="248"/>
      <c r="I175" s="248"/>
      <c r="J175" s="248"/>
      <c r="K175" s="220"/>
      <c r="L175" s="248"/>
      <c r="M175" s="248"/>
      <c r="N175" s="244"/>
      <c r="O175" s="247"/>
      <c r="P175" s="244"/>
      <c r="Q175" s="247"/>
      <c r="R175" s="244"/>
      <c r="S175" s="247"/>
      <c r="T175" s="220"/>
      <c r="U175" s="220"/>
      <c r="V175" s="220"/>
      <c r="W175" s="250"/>
      <c r="X175" s="244"/>
      <c r="Y175" s="220"/>
      <c r="Z175" s="220"/>
      <c r="AA175" s="220"/>
      <c r="AB175" s="220"/>
      <c r="AC175" s="244"/>
      <c r="AD175" s="249"/>
      <c r="AE175" s="247"/>
      <c r="AF175" s="220"/>
      <c r="AG175" s="220"/>
      <c r="AH175" s="244"/>
      <c r="AI175" s="220"/>
      <c r="AJ175" s="220"/>
      <c r="AK175" s="220"/>
      <c r="AL175" s="220"/>
      <c r="AM175" s="244"/>
      <c r="AN175" s="220"/>
      <c r="AO175" s="220"/>
      <c r="AP175" s="220"/>
      <c r="AQ175" s="220"/>
      <c r="AR175" s="220"/>
      <c r="AS175" s="244"/>
      <c r="AT175" s="244"/>
      <c r="AU175" s="220"/>
      <c r="AV175" s="220"/>
      <c r="AW175" s="220"/>
      <c r="AX175" s="220"/>
      <c r="AY175" s="220"/>
      <c r="AZ175" s="220"/>
      <c r="BA175" s="220"/>
      <c r="BB175" s="220"/>
      <c r="BC175" s="220"/>
      <c r="BD175" s="244"/>
    </row>
    <row r="176" spans="1:56" ht="12.75" customHeight="1" x14ac:dyDescent="0.25">
      <c r="A176" s="229"/>
      <c r="B176" s="229"/>
      <c r="C176" s="220"/>
      <c r="D176" s="220"/>
      <c r="E176" s="242"/>
      <c r="F176" s="248"/>
      <c r="G176" s="248"/>
      <c r="H176" s="248"/>
      <c r="I176" s="248"/>
      <c r="J176" s="248"/>
      <c r="K176" s="220"/>
      <c r="L176" s="248"/>
      <c r="M176" s="248"/>
      <c r="N176" s="244"/>
      <c r="O176" s="247"/>
      <c r="P176" s="244"/>
      <c r="Q176" s="247"/>
      <c r="R176" s="244"/>
      <c r="S176" s="247"/>
      <c r="T176" s="220"/>
      <c r="U176" s="220"/>
      <c r="V176" s="220"/>
      <c r="W176" s="250"/>
      <c r="X176" s="244"/>
      <c r="Y176" s="220"/>
      <c r="Z176" s="220"/>
      <c r="AA176" s="220"/>
      <c r="AB176" s="220"/>
      <c r="AC176" s="244"/>
      <c r="AD176" s="249"/>
      <c r="AE176" s="247"/>
      <c r="AF176" s="220"/>
      <c r="AG176" s="220"/>
      <c r="AH176" s="244"/>
      <c r="AI176" s="220"/>
      <c r="AJ176" s="220"/>
      <c r="AK176" s="220"/>
      <c r="AL176" s="220"/>
      <c r="AM176" s="244"/>
      <c r="AN176" s="220"/>
      <c r="AO176" s="220"/>
      <c r="AP176" s="220"/>
      <c r="AQ176" s="220"/>
      <c r="AR176" s="220"/>
      <c r="AS176" s="244"/>
      <c r="AT176" s="244"/>
      <c r="AU176" s="220"/>
      <c r="AV176" s="220"/>
      <c r="AW176" s="220"/>
      <c r="AX176" s="220"/>
      <c r="AY176" s="220"/>
      <c r="AZ176" s="220"/>
      <c r="BA176" s="220"/>
      <c r="BB176" s="220"/>
      <c r="BC176" s="220"/>
      <c r="BD176" s="244"/>
    </row>
    <row r="177" spans="1:56" ht="12.75" customHeight="1" x14ac:dyDescent="0.25">
      <c r="A177" s="229"/>
      <c r="B177" s="229"/>
      <c r="C177" s="220"/>
      <c r="D177" s="220"/>
      <c r="E177" s="242"/>
      <c r="F177" s="248"/>
      <c r="G177" s="248"/>
      <c r="H177" s="248"/>
      <c r="I177" s="248"/>
      <c r="J177" s="248"/>
      <c r="K177" s="220"/>
      <c r="L177" s="248"/>
      <c r="M177" s="248"/>
      <c r="N177" s="244"/>
      <c r="O177" s="247"/>
      <c r="P177" s="244"/>
      <c r="Q177" s="247"/>
      <c r="R177" s="244"/>
      <c r="S177" s="247"/>
      <c r="T177" s="220"/>
      <c r="U177" s="220"/>
      <c r="V177" s="220"/>
      <c r="W177" s="250"/>
      <c r="X177" s="244"/>
      <c r="Y177" s="220"/>
      <c r="Z177" s="220"/>
      <c r="AA177" s="220"/>
      <c r="AB177" s="220"/>
      <c r="AC177" s="244"/>
      <c r="AD177" s="249"/>
      <c r="AE177" s="247"/>
      <c r="AF177" s="220"/>
      <c r="AG177" s="220"/>
      <c r="AH177" s="244"/>
      <c r="AI177" s="220"/>
      <c r="AJ177" s="220"/>
      <c r="AK177" s="220"/>
      <c r="AL177" s="220"/>
      <c r="AM177" s="244"/>
      <c r="AN177" s="220"/>
      <c r="AO177" s="220"/>
      <c r="AP177" s="220"/>
      <c r="AQ177" s="220"/>
      <c r="AR177" s="220"/>
      <c r="AS177" s="244"/>
      <c r="AT177" s="244"/>
      <c r="AU177" s="220"/>
      <c r="AV177" s="220"/>
      <c r="AW177" s="220"/>
      <c r="AX177" s="220"/>
      <c r="AY177" s="220"/>
      <c r="AZ177" s="220"/>
      <c r="BA177" s="220"/>
      <c r="BB177" s="220"/>
      <c r="BC177" s="220"/>
      <c r="BD177" s="244"/>
    </row>
    <row r="178" spans="1:56" ht="12.75" customHeight="1" x14ac:dyDescent="0.25">
      <c r="A178" s="229"/>
      <c r="B178" s="229"/>
      <c r="C178" s="220"/>
      <c r="D178" s="220"/>
      <c r="E178" s="242"/>
      <c r="F178" s="248"/>
      <c r="G178" s="248"/>
      <c r="H178" s="248"/>
      <c r="I178" s="248"/>
      <c r="J178" s="248"/>
      <c r="K178" s="220"/>
      <c r="L178" s="248"/>
      <c r="M178" s="248"/>
      <c r="N178" s="244"/>
      <c r="O178" s="247"/>
      <c r="P178" s="244"/>
      <c r="Q178" s="247"/>
      <c r="R178" s="244"/>
      <c r="S178" s="247"/>
      <c r="T178" s="220"/>
      <c r="U178" s="220"/>
      <c r="V178" s="220"/>
      <c r="W178" s="250"/>
      <c r="X178" s="244"/>
      <c r="Y178" s="220"/>
      <c r="Z178" s="220"/>
      <c r="AA178" s="220"/>
      <c r="AB178" s="220"/>
      <c r="AC178" s="244"/>
      <c r="AD178" s="249"/>
      <c r="AE178" s="247"/>
      <c r="AF178" s="220"/>
      <c r="AG178" s="220"/>
      <c r="AH178" s="244"/>
      <c r="AI178" s="220"/>
      <c r="AJ178" s="220"/>
      <c r="AK178" s="220"/>
      <c r="AL178" s="220"/>
      <c r="AM178" s="244"/>
      <c r="AN178" s="220"/>
      <c r="AO178" s="220"/>
      <c r="AP178" s="220"/>
      <c r="AQ178" s="220"/>
      <c r="AR178" s="220"/>
      <c r="AS178" s="244"/>
      <c r="AT178" s="244"/>
      <c r="AU178" s="220"/>
      <c r="AV178" s="220"/>
      <c r="AW178" s="220"/>
      <c r="AX178" s="220"/>
      <c r="AY178" s="220"/>
      <c r="AZ178" s="220"/>
      <c r="BA178" s="220"/>
      <c r="BB178" s="220"/>
      <c r="BC178" s="220"/>
      <c r="BD178" s="244"/>
    </row>
    <row r="179" spans="1:56" ht="12.75" customHeight="1" x14ac:dyDescent="0.25">
      <c r="A179" s="229"/>
      <c r="B179" s="229"/>
      <c r="C179" s="220"/>
      <c r="D179" s="220"/>
      <c r="E179" s="242"/>
      <c r="F179" s="248"/>
      <c r="G179" s="248"/>
      <c r="H179" s="248"/>
      <c r="I179" s="248"/>
      <c r="J179" s="248"/>
      <c r="K179" s="220"/>
      <c r="L179" s="248"/>
      <c r="M179" s="248"/>
      <c r="N179" s="244"/>
      <c r="O179" s="247"/>
      <c r="P179" s="244"/>
      <c r="Q179" s="247"/>
      <c r="R179" s="244"/>
      <c r="S179" s="247"/>
      <c r="T179" s="220"/>
      <c r="U179" s="220"/>
      <c r="V179" s="220"/>
      <c r="W179" s="250"/>
      <c r="X179" s="244"/>
      <c r="Y179" s="220"/>
      <c r="Z179" s="220"/>
      <c r="AA179" s="220"/>
      <c r="AB179" s="220"/>
      <c r="AC179" s="244"/>
      <c r="AD179" s="249"/>
      <c r="AE179" s="247"/>
      <c r="AF179" s="220"/>
      <c r="AG179" s="220"/>
      <c r="AH179" s="244"/>
      <c r="AI179" s="220"/>
      <c r="AJ179" s="220"/>
      <c r="AK179" s="220"/>
      <c r="AL179" s="220"/>
      <c r="AM179" s="244"/>
      <c r="AN179" s="220"/>
      <c r="AO179" s="220"/>
      <c r="AP179" s="220"/>
      <c r="AQ179" s="220"/>
      <c r="AR179" s="220"/>
      <c r="AS179" s="244"/>
      <c r="AT179" s="244"/>
      <c r="AU179" s="220"/>
      <c r="AV179" s="220"/>
      <c r="AW179" s="220"/>
      <c r="AX179" s="220"/>
      <c r="AY179" s="220"/>
      <c r="AZ179" s="220"/>
      <c r="BA179" s="220"/>
      <c r="BB179" s="220"/>
      <c r="BC179" s="220"/>
      <c r="BD179" s="244"/>
    </row>
    <row r="180" spans="1:56" ht="12.75" customHeight="1" x14ac:dyDescent="0.25">
      <c r="A180" s="229"/>
      <c r="B180" s="229"/>
      <c r="C180" s="220"/>
      <c r="D180" s="220"/>
      <c r="E180" s="242"/>
      <c r="F180" s="248"/>
      <c r="G180" s="248"/>
      <c r="H180" s="248"/>
      <c r="I180" s="248"/>
      <c r="J180" s="248"/>
      <c r="K180" s="220"/>
      <c r="L180" s="248"/>
      <c r="M180" s="248"/>
      <c r="N180" s="244"/>
      <c r="O180" s="247"/>
      <c r="P180" s="244"/>
      <c r="Q180" s="247"/>
      <c r="R180" s="244"/>
      <c r="S180" s="247"/>
      <c r="T180" s="220"/>
      <c r="U180" s="220"/>
      <c r="V180" s="220"/>
      <c r="W180" s="250"/>
      <c r="X180" s="244"/>
      <c r="Y180" s="220"/>
      <c r="Z180" s="220"/>
      <c r="AA180" s="220"/>
      <c r="AB180" s="220"/>
      <c r="AC180" s="244"/>
      <c r="AD180" s="249"/>
      <c r="AE180" s="247"/>
      <c r="AF180" s="220"/>
      <c r="AG180" s="220"/>
      <c r="AH180" s="244"/>
      <c r="AI180" s="220"/>
      <c r="AJ180" s="220"/>
      <c r="AK180" s="220"/>
      <c r="AL180" s="220"/>
      <c r="AM180" s="244"/>
      <c r="AN180" s="220"/>
      <c r="AO180" s="220"/>
      <c r="AP180" s="220"/>
      <c r="AQ180" s="220"/>
      <c r="AR180" s="220"/>
      <c r="AS180" s="244"/>
      <c r="AT180" s="244"/>
      <c r="AU180" s="220"/>
      <c r="AV180" s="220"/>
      <c r="AW180" s="220"/>
      <c r="AX180" s="220"/>
      <c r="AY180" s="220"/>
      <c r="AZ180" s="220"/>
      <c r="BA180" s="220"/>
      <c r="BB180" s="220"/>
      <c r="BC180" s="220"/>
      <c r="BD180" s="244"/>
    </row>
    <row r="181" spans="1:56" ht="12.75" customHeight="1" x14ac:dyDescent="0.25">
      <c r="A181" s="229"/>
      <c r="B181" s="229"/>
      <c r="C181" s="220"/>
      <c r="D181" s="220"/>
      <c r="E181" s="242"/>
      <c r="F181" s="248"/>
      <c r="G181" s="248"/>
      <c r="H181" s="248"/>
      <c r="I181" s="248"/>
      <c r="J181" s="248"/>
      <c r="K181" s="220"/>
      <c r="L181" s="248"/>
      <c r="M181" s="248"/>
      <c r="N181" s="244"/>
      <c r="O181" s="247"/>
      <c r="P181" s="244"/>
      <c r="Q181" s="247"/>
      <c r="R181" s="244"/>
      <c r="S181" s="247"/>
      <c r="T181" s="220"/>
      <c r="U181" s="220"/>
      <c r="V181" s="220"/>
      <c r="W181" s="250"/>
      <c r="X181" s="244"/>
      <c r="Y181" s="220"/>
      <c r="Z181" s="220"/>
      <c r="AA181" s="220"/>
      <c r="AB181" s="220"/>
      <c r="AC181" s="244"/>
      <c r="AD181" s="249"/>
      <c r="AE181" s="247"/>
      <c r="AF181" s="220"/>
      <c r="AG181" s="220"/>
      <c r="AH181" s="244"/>
      <c r="AI181" s="220"/>
      <c r="AJ181" s="220"/>
      <c r="AK181" s="220"/>
      <c r="AL181" s="220"/>
      <c r="AM181" s="244"/>
      <c r="AN181" s="220"/>
      <c r="AO181" s="220"/>
      <c r="AP181" s="220"/>
      <c r="AQ181" s="220"/>
      <c r="AR181" s="220"/>
      <c r="AS181" s="244"/>
      <c r="AT181" s="244"/>
      <c r="AU181" s="220"/>
      <c r="AV181" s="220"/>
      <c r="AW181" s="220"/>
      <c r="AX181" s="220"/>
      <c r="AY181" s="220"/>
      <c r="AZ181" s="220"/>
      <c r="BA181" s="220"/>
      <c r="BB181" s="220"/>
      <c r="BC181" s="220"/>
      <c r="BD181" s="244"/>
    </row>
    <row r="182" spans="1:56" ht="12.75" customHeight="1" x14ac:dyDescent="0.25">
      <c r="A182" s="229"/>
      <c r="B182" s="229"/>
      <c r="C182" s="220"/>
      <c r="D182" s="220"/>
      <c r="E182" s="242"/>
      <c r="F182" s="248"/>
      <c r="G182" s="248"/>
      <c r="H182" s="248"/>
      <c r="I182" s="248"/>
      <c r="J182" s="248"/>
      <c r="K182" s="220"/>
      <c r="L182" s="248"/>
      <c r="M182" s="248"/>
      <c r="N182" s="244"/>
      <c r="O182" s="247"/>
      <c r="P182" s="244"/>
      <c r="Q182" s="247"/>
      <c r="R182" s="244"/>
      <c r="S182" s="247"/>
      <c r="T182" s="220"/>
      <c r="U182" s="220"/>
      <c r="V182" s="220"/>
      <c r="W182" s="250"/>
      <c r="X182" s="244"/>
      <c r="Y182" s="220"/>
      <c r="Z182" s="220"/>
      <c r="AA182" s="220"/>
      <c r="AB182" s="220"/>
      <c r="AC182" s="244"/>
      <c r="AD182" s="249"/>
      <c r="AE182" s="247"/>
      <c r="AF182" s="220"/>
      <c r="AG182" s="220"/>
      <c r="AH182" s="244"/>
      <c r="AI182" s="220"/>
      <c r="AJ182" s="220"/>
      <c r="AK182" s="220"/>
      <c r="AL182" s="220"/>
      <c r="AM182" s="244"/>
      <c r="AN182" s="220"/>
      <c r="AO182" s="220"/>
      <c r="AP182" s="220"/>
      <c r="AQ182" s="220"/>
      <c r="AR182" s="220"/>
      <c r="AS182" s="244"/>
      <c r="AT182" s="244"/>
      <c r="AU182" s="220"/>
      <c r="AV182" s="220"/>
      <c r="AW182" s="220"/>
      <c r="AX182" s="220"/>
      <c r="AY182" s="220"/>
      <c r="AZ182" s="220"/>
      <c r="BA182" s="220"/>
      <c r="BB182" s="220"/>
      <c r="BC182" s="220"/>
      <c r="BD182" s="244"/>
    </row>
    <row r="183" spans="1:56" ht="12.75" customHeight="1" x14ac:dyDescent="0.25">
      <c r="A183" s="229"/>
      <c r="B183" s="229"/>
      <c r="C183" s="220"/>
      <c r="D183" s="220"/>
      <c r="E183" s="242"/>
      <c r="F183" s="248"/>
      <c r="G183" s="248"/>
      <c r="H183" s="248"/>
      <c r="I183" s="248"/>
      <c r="J183" s="248"/>
      <c r="K183" s="220"/>
      <c r="L183" s="248"/>
      <c r="M183" s="248"/>
      <c r="N183" s="244"/>
      <c r="O183" s="247"/>
      <c r="P183" s="244"/>
      <c r="Q183" s="247"/>
      <c r="R183" s="244"/>
      <c r="S183" s="247"/>
      <c r="T183" s="220"/>
      <c r="U183" s="220"/>
      <c r="V183" s="220"/>
      <c r="W183" s="250"/>
      <c r="X183" s="244"/>
      <c r="Y183" s="220"/>
      <c r="Z183" s="220"/>
      <c r="AA183" s="220"/>
      <c r="AB183" s="220"/>
      <c r="AC183" s="244"/>
      <c r="AD183" s="249"/>
      <c r="AE183" s="247"/>
      <c r="AF183" s="220"/>
      <c r="AG183" s="220"/>
      <c r="AH183" s="244"/>
      <c r="AI183" s="220"/>
      <c r="AJ183" s="220"/>
      <c r="AK183" s="220"/>
      <c r="AL183" s="220"/>
      <c r="AM183" s="244"/>
      <c r="AN183" s="220"/>
      <c r="AO183" s="220"/>
      <c r="AP183" s="220"/>
      <c r="AQ183" s="220"/>
      <c r="AR183" s="220"/>
      <c r="AS183" s="244"/>
      <c r="AT183" s="244"/>
      <c r="AU183" s="220"/>
      <c r="AV183" s="220"/>
      <c r="AW183" s="220"/>
      <c r="AX183" s="220"/>
      <c r="AY183" s="220"/>
      <c r="AZ183" s="220"/>
      <c r="BA183" s="220"/>
      <c r="BB183" s="220"/>
      <c r="BC183" s="220"/>
      <c r="BD183" s="244"/>
    </row>
    <row r="184" spans="1:56" ht="12.75" customHeight="1" x14ac:dyDescent="0.25">
      <c r="A184" s="229"/>
      <c r="B184" s="229"/>
      <c r="C184" s="220"/>
      <c r="D184" s="220"/>
      <c r="E184" s="242"/>
      <c r="F184" s="248"/>
      <c r="G184" s="248"/>
      <c r="H184" s="248"/>
      <c r="I184" s="248"/>
      <c r="J184" s="248"/>
      <c r="K184" s="220"/>
      <c r="L184" s="248"/>
      <c r="M184" s="248"/>
      <c r="N184" s="244"/>
      <c r="O184" s="247"/>
      <c r="P184" s="244"/>
      <c r="Q184" s="247"/>
      <c r="R184" s="244"/>
      <c r="S184" s="247"/>
      <c r="T184" s="220"/>
      <c r="U184" s="220"/>
      <c r="V184" s="220"/>
      <c r="W184" s="250"/>
      <c r="X184" s="244"/>
      <c r="Y184" s="220"/>
      <c r="Z184" s="220"/>
      <c r="AA184" s="220"/>
      <c r="AB184" s="220"/>
      <c r="AC184" s="244"/>
      <c r="AD184" s="249"/>
      <c r="AE184" s="247"/>
      <c r="AF184" s="220"/>
      <c r="AG184" s="220"/>
      <c r="AH184" s="244"/>
      <c r="AI184" s="220"/>
      <c r="AJ184" s="220"/>
      <c r="AK184" s="220"/>
      <c r="AL184" s="220"/>
      <c r="AM184" s="244"/>
      <c r="AN184" s="220"/>
      <c r="AO184" s="220"/>
      <c r="AP184" s="220"/>
      <c r="AQ184" s="220"/>
      <c r="AR184" s="220"/>
      <c r="AS184" s="244"/>
      <c r="AT184" s="244"/>
      <c r="AU184" s="220"/>
      <c r="AV184" s="220"/>
      <c r="AW184" s="220"/>
      <c r="AX184" s="220"/>
      <c r="AY184" s="220"/>
      <c r="AZ184" s="220"/>
      <c r="BA184" s="220"/>
      <c r="BB184" s="220"/>
      <c r="BC184" s="220"/>
      <c r="BD184" s="244"/>
    </row>
    <row r="185" spans="1:56" ht="12.75" customHeight="1" x14ac:dyDescent="0.25">
      <c r="A185" s="229"/>
      <c r="B185" s="229"/>
      <c r="C185" s="220"/>
      <c r="D185" s="220"/>
      <c r="E185" s="242"/>
      <c r="F185" s="248"/>
      <c r="G185" s="248"/>
      <c r="H185" s="248"/>
      <c r="I185" s="248"/>
      <c r="J185" s="248"/>
      <c r="K185" s="220"/>
      <c r="L185" s="248"/>
      <c r="M185" s="248"/>
      <c r="N185" s="244"/>
      <c r="O185" s="247"/>
      <c r="P185" s="244"/>
      <c r="Q185" s="247"/>
      <c r="R185" s="244"/>
      <c r="S185" s="247"/>
      <c r="T185" s="220"/>
      <c r="U185" s="220"/>
      <c r="V185" s="220"/>
      <c r="W185" s="250"/>
      <c r="X185" s="244"/>
      <c r="Y185" s="220"/>
      <c r="Z185" s="220"/>
      <c r="AA185" s="220"/>
      <c r="AB185" s="220"/>
      <c r="AC185" s="244"/>
      <c r="AD185" s="249"/>
      <c r="AE185" s="247"/>
      <c r="AF185" s="220"/>
      <c r="AG185" s="220"/>
      <c r="AH185" s="244"/>
      <c r="AI185" s="220"/>
      <c r="AJ185" s="220"/>
      <c r="AK185" s="220"/>
      <c r="AL185" s="220"/>
      <c r="AM185" s="244"/>
      <c r="AN185" s="220"/>
      <c r="AO185" s="220"/>
      <c r="AP185" s="220"/>
      <c r="AQ185" s="220"/>
      <c r="AR185" s="220"/>
      <c r="AS185" s="244"/>
      <c r="AT185" s="244"/>
      <c r="AU185" s="220"/>
      <c r="AV185" s="220"/>
      <c r="AW185" s="220"/>
      <c r="AX185" s="220"/>
      <c r="AY185" s="220"/>
      <c r="AZ185" s="220"/>
      <c r="BA185" s="220"/>
      <c r="BB185" s="220"/>
      <c r="BC185" s="220"/>
      <c r="BD185" s="244"/>
    </row>
    <row r="186" spans="1:56" ht="12.75" customHeight="1" x14ac:dyDescent="0.25">
      <c r="A186" s="229"/>
      <c r="B186" s="229"/>
      <c r="C186" s="220"/>
      <c r="D186" s="220"/>
      <c r="E186" s="242"/>
      <c r="F186" s="248"/>
      <c r="G186" s="248"/>
      <c r="H186" s="248"/>
      <c r="I186" s="248"/>
      <c r="J186" s="248"/>
      <c r="K186" s="220"/>
      <c r="L186" s="248"/>
      <c r="M186" s="248"/>
      <c r="N186" s="244"/>
      <c r="O186" s="247"/>
      <c r="P186" s="244"/>
      <c r="Q186" s="247"/>
      <c r="R186" s="244"/>
      <c r="S186" s="247"/>
      <c r="T186" s="220"/>
      <c r="U186" s="220"/>
      <c r="V186" s="220"/>
      <c r="W186" s="250"/>
      <c r="X186" s="244"/>
      <c r="Y186" s="220"/>
      <c r="Z186" s="220"/>
      <c r="AA186" s="220"/>
      <c r="AB186" s="220"/>
      <c r="AC186" s="244"/>
      <c r="AD186" s="249"/>
      <c r="AE186" s="247"/>
      <c r="AF186" s="220"/>
      <c r="AG186" s="220"/>
      <c r="AH186" s="244"/>
      <c r="AI186" s="220"/>
      <c r="AJ186" s="220"/>
      <c r="AK186" s="220"/>
      <c r="AL186" s="220"/>
      <c r="AM186" s="244"/>
      <c r="AN186" s="220"/>
      <c r="AO186" s="220"/>
      <c r="AP186" s="220"/>
      <c r="AQ186" s="220"/>
      <c r="AR186" s="220"/>
      <c r="AS186" s="244"/>
      <c r="AT186" s="244"/>
      <c r="AU186" s="220"/>
      <c r="AV186" s="220"/>
      <c r="AW186" s="220"/>
      <c r="AX186" s="220"/>
      <c r="AY186" s="220"/>
      <c r="AZ186" s="220"/>
      <c r="BA186" s="220"/>
      <c r="BB186" s="220"/>
      <c r="BC186" s="220"/>
      <c r="BD186" s="244"/>
    </row>
    <row r="187" spans="1:56" ht="12.75" customHeight="1" x14ac:dyDescent="0.25">
      <c r="A187" s="229"/>
      <c r="B187" s="229"/>
      <c r="C187" s="220"/>
      <c r="D187" s="220"/>
      <c r="E187" s="242"/>
      <c r="F187" s="248"/>
      <c r="G187" s="248"/>
      <c r="H187" s="248"/>
      <c r="I187" s="248"/>
      <c r="J187" s="248"/>
      <c r="K187" s="220"/>
      <c r="L187" s="248"/>
      <c r="M187" s="248"/>
      <c r="N187" s="244"/>
      <c r="O187" s="247"/>
      <c r="P187" s="244"/>
      <c r="Q187" s="247"/>
      <c r="R187" s="244"/>
      <c r="S187" s="247"/>
      <c r="T187" s="220"/>
      <c r="U187" s="220"/>
      <c r="V187" s="220"/>
      <c r="W187" s="250"/>
      <c r="X187" s="244"/>
      <c r="Y187" s="220"/>
      <c r="Z187" s="220"/>
      <c r="AA187" s="220"/>
      <c r="AB187" s="220"/>
      <c r="AC187" s="244"/>
      <c r="AD187" s="249"/>
      <c r="AE187" s="247"/>
      <c r="AF187" s="220"/>
      <c r="AG187" s="220"/>
      <c r="AH187" s="244"/>
      <c r="AI187" s="220"/>
      <c r="AJ187" s="220"/>
      <c r="AK187" s="220"/>
      <c r="AL187" s="220"/>
      <c r="AM187" s="244"/>
      <c r="AN187" s="220"/>
      <c r="AO187" s="220"/>
      <c r="AP187" s="220"/>
      <c r="AQ187" s="220"/>
      <c r="AR187" s="220"/>
      <c r="AS187" s="244"/>
      <c r="AT187" s="244"/>
      <c r="AU187" s="220"/>
      <c r="AV187" s="220"/>
      <c r="AW187" s="220"/>
      <c r="AX187" s="220"/>
      <c r="AY187" s="220"/>
      <c r="AZ187" s="220"/>
      <c r="BA187" s="220"/>
      <c r="BB187" s="220"/>
      <c r="BC187" s="220"/>
      <c r="BD187" s="244"/>
    </row>
    <row r="188" spans="1:56" ht="12.75" customHeight="1" x14ac:dyDescent="0.25">
      <c r="A188" s="229"/>
      <c r="B188" s="229"/>
      <c r="C188" s="220"/>
      <c r="D188" s="220"/>
      <c r="E188" s="242"/>
      <c r="F188" s="248"/>
      <c r="G188" s="248"/>
      <c r="H188" s="248"/>
      <c r="I188" s="248"/>
      <c r="J188" s="248"/>
      <c r="K188" s="220"/>
      <c r="L188" s="248"/>
      <c r="M188" s="248"/>
      <c r="N188" s="244"/>
      <c r="O188" s="247"/>
      <c r="P188" s="244"/>
      <c r="Q188" s="247"/>
      <c r="R188" s="244"/>
      <c r="S188" s="247"/>
      <c r="T188" s="220"/>
      <c r="U188" s="220"/>
      <c r="V188" s="220"/>
      <c r="W188" s="250"/>
      <c r="X188" s="244"/>
      <c r="Y188" s="220"/>
      <c r="Z188" s="220"/>
      <c r="AA188" s="220"/>
      <c r="AB188" s="220"/>
      <c r="AC188" s="244"/>
      <c r="AD188" s="249"/>
      <c r="AE188" s="247"/>
      <c r="AF188" s="220"/>
      <c r="AG188" s="220"/>
      <c r="AH188" s="244"/>
      <c r="AI188" s="220"/>
      <c r="AJ188" s="220"/>
      <c r="AK188" s="220"/>
      <c r="AL188" s="220"/>
      <c r="AM188" s="244"/>
      <c r="AN188" s="220"/>
      <c r="AO188" s="220"/>
      <c r="AP188" s="220"/>
      <c r="AQ188" s="220"/>
      <c r="AR188" s="220"/>
      <c r="AS188" s="244"/>
      <c r="AT188" s="244"/>
      <c r="AU188" s="220"/>
      <c r="AV188" s="220"/>
      <c r="AW188" s="220"/>
      <c r="AX188" s="220"/>
      <c r="AY188" s="220"/>
      <c r="AZ188" s="220"/>
      <c r="BA188" s="220"/>
      <c r="BB188" s="220"/>
      <c r="BC188" s="220"/>
      <c r="BD188" s="244"/>
    </row>
    <row r="189" spans="1:56" ht="12.75" customHeight="1" x14ac:dyDescent="0.25">
      <c r="A189" s="229"/>
      <c r="B189" s="229"/>
      <c r="C189" s="220"/>
      <c r="D189" s="220"/>
      <c r="E189" s="242"/>
      <c r="F189" s="248"/>
      <c r="G189" s="248"/>
      <c r="H189" s="248"/>
      <c r="I189" s="248"/>
      <c r="J189" s="248"/>
      <c r="K189" s="220"/>
      <c r="L189" s="248"/>
      <c r="M189" s="248"/>
      <c r="N189" s="244"/>
      <c r="O189" s="247"/>
      <c r="P189" s="244"/>
      <c r="Q189" s="247"/>
      <c r="R189" s="244"/>
      <c r="S189" s="247"/>
      <c r="T189" s="220"/>
      <c r="U189" s="220"/>
      <c r="V189" s="220"/>
      <c r="W189" s="250"/>
      <c r="X189" s="244"/>
      <c r="Y189" s="220"/>
      <c r="Z189" s="220"/>
      <c r="AA189" s="220"/>
      <c r="AB189" s="220"/>
      <c r="AC189" s="244"/>
      <c r="AD189" s="249"/>
      <c r="AE189" s="247"/>
      <c r="AF189" s="220"/>
      <c r="AG189" s="220"/>
      <c r="AH189" s="244"/>
      <c r="AI189" s="220"/>
      <c r="AJ189" s="220"/>
      <c r="AK189" s="220"/>
      <c r="AL189" s="220"/>
      <c r="AM189" s="244"/>
      <c r="AN189" s="220"/>
      <c r="AO189" s="220"/>
      <c r="AP189" s="220"/>
      <c r="AQ189" s="220"/>
      <c r="AR189" s="220"/>
      <c r="AS189" s="244"/>
      <c r="AT189" s="244"/>
      <c r="AU189" s="220"/>
      <c r="AV189" s="220"/>
      <c r="AW189" s="220"/>
      <c r="AX189" s="220"/>
      <c r="AY189" s="220"/>
      <c r="AZ189" s="220"/>
      <c r="BA189" s="220"/>
      <c r="BB189" s="220"/>
      <c r="BC189" s="220"/>
      <c r="BD189" s="244"/>
    </row>
    <row r="190" spans="1:56" ht="12.75" customHeight="1" x14ac:dyDescent="0.25">
      <c r="A190" s="229"/>
      <c r="B190" s="229"/>
      <c r="C190" s="220"/>
      <c r="D190" s="220"/>
      <c r="E190" s="242"/>
      <c r="F190" s="248"/>
      <c r="G190" s="248"/>
      <c r="H190" s="248"/>
      <c r="I190" s="248"/>
      <c r="J190" s="248"/>
      <c r="K190" s="220"/>
      <c r="L190" s="248"/>
      <c r="M190" s="248"/>
      <c r="N190" s="244"/>
      <c r="O190" s="247"/>
      <c r="P190" s="244"/>
      <c r="Q190" s="247"/>
      <c r="R190" s="244"/>
      <c r="S190" s="247"/>
      <c r="T190" s="220"/>
      <c r="U190" s="220"/>
      <c r="V190" s="220"/>
      <c r="W190" s="250"/>
      <c r="X190" s="244"/>
      <c r="Y190" s="220"/>
      <c r="Z190" s="220"/>
      <c r="AA190" s="220"/>
      <c r="AB190" s="220"/>
      <c r="AC190" s="244"/>
      <c r="AD190" s="249"/>
      <c r="AE190" s="247"/>
      <c r="AF190" s="220"/>
      <c r="AG190" s="220"/>
      <c r="AH190" s="244"/>
      <c r="AI190" s="220"/>
      <c r="AJ190" s="220"/>
      <c r="AK190" s="220"/>
      <c r="AL190" s="220"/>
      <c r="AM190" s="244"/>
      <c r="AN190" s="220"/>
      <c r="AO190" s="220"/>
      <c r="AP190" s="220"/>
      <c r="AQ190" s="220"/>
      <c r="AR190" s="220"/>
      <c r="AS190" s="244"/>
      <c r="AT190" s="244"/>
      <c r="AU190" s="220"/>
      <c r="AV190" s="220"/>
      <c r="AW190" s="220"/>
      <c r="AX190" s="220"/>
      <c r="AY190" s="220"/>
      <c r="AZ190" s="220"/>
      <c r="BA190" s="220"/>
      <c r="BB190" s="220"/>
      <c r="BC190" s="220"/>
      <c r="BD190" s="244"/>
    </row>
    <row r="191" spans="1:56" ht="12.75" customHeight="1" x14ac:dyDescent="0.25">
      <c r="A191" s="229"/>
      <c r="B191" s="229"/>
      <c r="C191" s="220"/>
      <c r="D191" s="220"/>
      <c r="E191" s="242"/>
      <c r="F191" s="248"/>
      <c r="G191" s="248"/>
      <c r="H191" s="248"/>
      <c r="I191" s="248"/>
      <c r="J191" s="248"/>
      <c r="K191" s="220"/>
      <c r="L191" s="248"/>
      <c r="M191" s="248"/>
      <c r="N191" s="244"/>
      <c r="O191" s="247"/>
      <c r="P191" s="244"/>
      <c r="Q191" s="247"/>
      <c r="R191" s="244"/>
      <c r="S191" s="247"/>
      <c r="T191" s="220"/>
      <c r="U191" s="220"/>
      <c r="V191" s="220"/>
      <c r="W191" s="250"/>
      <c r="X191" s="244"/>
      <c r="Y191" s="220"/>
      <c r="Z191" s="220"/>
      <c r="AA191" s="220"/>
      <c r="AB191" s="220"/>
      <c r="AC191" s="244"/>
      <c r="AD191" s="249"/>
      <c r="AE191" s="247"/>
      <c r="AF191" s="220"/>
      <c r="AG191" s="220"/>
      <c r="AH191" s="244"/>
      <c r="AI191" s="220"/>
      <c r="AJ191" s="220"/>
      <c r="AK191" s="220"/>
      <c r="AL191" s="220"/>
      <c r="AM191" s="244"/>
      <c r="AN191" s="220"/>
      <c r="AO191" s="220"/>
      <c r="AP191" s="220"/>
      <c r="AQ191" s="220"/>
      <c r="AR191" s="220"/>
      <c r="AS191" s="244"/>
      <c r="AT191" s="244"/>
      <c r="AU191" s="220"/>
      <c r="AV191" s="220"/>
      <c r="AW191" s="220"/>
      <c r="AX191" s="220"/>
      <c r="AY191" s="220"/>
      <c r="AZ191" s="220"/>
      <c r="BA191" s="220"/>
      <c r="BB191" s="220"/>
      <c r="BC191" s="220"/>
      <c r="BD191" s="244"/>
    </row>
    <row r="192" spans="1:56" ht="12.75" customHeight="1" x14ac:dyDescent="0.25">
      <c r="A192" s="229"/>
      <c r="B192" s="229"/>
      <c r="C192" s="220"/>
      <c r="D192" s="220"/>
      <c r="E192" s="242"/>
      <c r="F192" s="248"/>
      <c r="G192" s="248"/>
      <c r="H192" s="248"/>
      <c r="I192" s="248"/>
      <c r="J192" s="248"/>
      <c r="K192" s="220"/>
      <c r="L192" s="248"/>
      <c r="M192" s="248"/>
      <c r="N192" s="244"/>
      <c r="O192" s="247"/>
      <c r="P192" s="244"/>
      <c r="Q192" s="247"/>
      <c r="R192" s="244"/>
      <c r="S192" s="247"/>
      <c r="T192" s="220"/>
      <c r="U192" s="220"/>
      <c r="V192" s="220"/>
      <c r="W192" s="250"/>
      <c r="X192" s="244"/>
      <c r="Y192" s="220"/>
      <c r="Z192" s="220"/>
      <c r="AA192" s="220"/>
      <c r="AB192" s="220"/>
      <c r="AC192" s="244"/>
      <c r="AD192" s="249"/>
      <c r="AE192" s="247"/>
      <c r="AF192" s="220"/>
      <c r="AG192" s="220"/>
      <c r="AH192" s="244"/>
      <c r="AI192" s="220"/>
      <c r="AJ192" s="220"/>
      <c r="AK192" s="220"/>
      <c r="AL192" s="220"/>
      <c r="AM192" s="244"/>
      <c r="AN192" s="220"/>
      <c r="AO192" s="220"/>
      <c r="AP192" s="220"/>
      <c r="AQ192" s="220"/>
      <c r="AR192" s="220"/>
      <c r="AS192" s="244"/>
      <c r="AT192" s="244"/>
      <c r="AU192" s="220"/>
      <c r="AV192" s="220"/>
      <c r="AW192" s="220"/>
      <c r="AX192" s="220"/>
      <c r="AY192" s="220"/>
      <c r="AZ192" s="220"/>
      <c r="BA192" s="220"/>
      <c r="BB192" s="220"/>
      <c r="BC192" s="220"/>
      <c r="BD192" s="244"/>
    </row>
    <row r="193" spans="1:56" ht="12.75" customHeight="1" x14ac:dyDescent="0.25">
      <c r="A193" s="229"/>
      <c r="B193" s="229"/>
      <c r="C193" s="220"/>
      <c r="D193" s="220"/>
      <c r="E193" s="242"/>
      <c r="F193" s="248"/>
      <c r="G193" s="248"/>
      <c r="H193" s="248"/>
      <c r="I193" s="248"/>
      <c r="J193" s="248"/>
      <c r="K193" s="220"/>
      <c r="L193" s="248"/>
      <c r="M193" s="248"/>
      <c r="N193" s="244"/>
      <c r="O193" s="247"/>
      <c r="P193" s="244"/>
      <c r="Q193" s="247"/>
      <c r="R193" s="244"/>
      <c r="S193" s="247"/>
      <c r="T193" s="220"/>
      <c r="U193" s="220"/>
      <c r="V193" s="220"/>
      <c r="W193" s="250"/>
      <c r="X193" s="244"/>
      <c r="Y193" s="220"/>
      <c r="Z193" s="220"/>
      <c r="AA193" s="220"/>
      <c r="AB193" s="220"/>
      <c r="AC193" s="244"/>
      <c r="AD193" s="249"/>
      <c r="AE193" s="247"/>
      <c r="AF193" s="220"/>
      <c r="AG193" s="220"/>
      <c r="AH193" s="244"/>
      <c r="AI193" s="220"/>
      <c r="AJ193" s="220"/>
      <c r="AK193" s="220"/>
      <c r="AL193" s="220"/>
      <c r="AM193" s="244"/>
      <c r="AN193" s="220"/>
      <c r="AO193" s="220"/>
      <c r="AP193" s="220"/>
      <c r="AQ193" s="220"/>
      <c r="AR193" s="220"/>
      <c r="AS193" s="244"/>
      <c r="AT193" s="244"/>
      <c r="AU193" s="220"/>
      <c r="AV193" s="220"/>
      <c r="AW193" s="220"/>
      <c r="AX193" s="220"/>
      <c r="AY193" s="220"/>
      <c r="AZ193" s="220"/>
      <c r="BA193" s="220"/>
      <c r="BB193" s="220"/>
      <c r="BC193" s="220"/>
      <c r="BD193" s="244"/>
    </row>
    <row r="194" spans="1:56" ht="12.75" customHeight="1" x14ac:dyDescent="0.25">
      <c r="A194" s="229"/>
      <c r="B194" s="229"/>
      <c r="C194" s="220"/>
      <c r="D194" s="220"/>
      <c r="E194" s="242"/>
      <c r="F194" s="248"/>
      <c r="G194" s="248"/>
      <c r="H194" s="248"/>
      <c r="I194" s="248"/>
      <c r="J194" s="248"/>
      <c r="K194" s="220"/>
      <c r="L194" s="248"/>
      <c r="M194" s="248"/>
      <c r="N194" s="244"/>
      <c r="O194" s="247"/>
      <c r="P194" s="244"/>
      <c r="Q194" s="247"/>
      <c r="R194" s="244"/>
      <c r="S194" s="247"/>
      <c r="T194" s="220"/>
      <c r="U194" s="220"/>
      <c r="V194" s="220"/>
      <c r="W194" s="250"/>
      <c r="X194" s="244"/>
      <c r="Y194" s="220"/>
      <c r="Z194" s="220"/>
      <c r="AA194" s="220"/>
      <c r="AB194" s="220"/>
      <c r="AC194" s="244"/>
      <c r="AD194" s="249"/>
      <c r="AE194" s="247"/>
      <c r="AF194" s="220"/>
      <c r="AG194" s="220"/>
      <c r="AH194" s="244"/>
      <c r="AI194" s="220"/>
      <c r="AJ194" s="220"/>
      <c r="AK194" s="220"/>
      <c r="AL194" s="220"/>
      <c r="AM194" s="244"/>
      <c r="AN194" s="220"/>
      <c r="AO194" s="220"/>
      <c r="AP194" s="220"/>
      <c r="AQ194" s="220"/>
      <c r="AR194" s="220"/>
      <c r="AS194" s="244"/>
      <c r="AT194" s="244"/>
      <c r="AU194" s="220"/>
      <c r="AV194" s="220"/>
      <c r="AW194" s="220"/>
      <c r="AX194" s="220"/>
      <c r="AY194" s="220"/>
      <c r="AZ194" s="220"/>
      <c r="BA194" s="220"/>
      <c r="BB194" s="220"/>
      <c r="BC194" s="220"/>
      <c r="BD194" s="244"/>
    </row>
    <row r="195" spans="1:56" ht="12.75" customHeight="1" x14ac:dyDescent="0.25">
      <c r="A195" s="229"/>
      <c r="B195" s="229"/>
      <c r="C195" s="220"/>
      <c r="D195" s="220"/>
      <c r="E195" s="242"/>
      <c r="F195" s="248"/>
      <c r="G195" s="248"/>
      <c r="H195" s="248"/>
      <c r="I195" s="248"/>
      <c r="J195" s="248"/>
      <c r="K195" s="220"/>
      <c r="L195" s="248"/>
      <c r="M195" s="248"/>
      <c r="N195" s="244"/>
      <c r="O195" s="247"/>
      <c r="P195" s="244"/>
      <c r="Q195" s="247"/>
      <c r="R195" s="244"/>
      <c r="S195" s="247"/>
      <c r="T195" s="220"/>
      <c r="U195" s="220"/>
      <c r="V195" s="220"/>
      <c r="W195" s="250"/>
      <c r="X195" s="244"/>
      <c r="Y195" s="220"/>
      <c r="Z195" s="220"/>
      <c r="AA195" s="220"/>
      <c r="AB195" s="220"/>
      <c r="AC195" s="244"/>
      <c r="AD195" s="249"/>
      <c r="AE195" s="247"/>
      <c r="AF195" s="220"/>
      <c r="AG195" s="220"/>
      <c r="AH195" s="244"/>
      <c r="AI195" s="220"/>
      <c r="AJ195" s="220"/>
      <c r="AK195" s="220"/>
      <c r="AL195" s="220"/>
      <c r="AM195" s="244"/>
      <c r="AN195" s="220"/>
      <c r="AO195" s="220"/>
      <c r="AP195" s="220"/>
      <c r="AQ195" s="220"/>
      <c r="AR195" s="220"/>
      <c r="AS195" s="244"/>
      <c r="AT195" s="244"/>
      <c r="AU195" s="220"/>
      <c r="AV195" s="220"/>
      <c r="AW195" s="220"/>
      <c r="AX195" s="220"/>
      <c r="AY195" s="220"/>
      <c r="AZ195" s="220"/>
      <c r="BA195" s="220"/>
      <c r="BB195" s="220"/>
      <c r="BC195" s="220"/>
      <c r="BD195" s="244"/>
    </row>
    <row r="196" spans="1:56" ht="12.75" customHeight="1" x14ac:dyDescent="0.25">
      <c r="A196" s="229"/>
      <c r="B196" s="229"/>
      <c r="C196" s="220"/>
      <c r="D196" s="220"/>
      <c r="E196" s="242"/>
      <c r="F196" s="248"/>
      <c r="G196" s="248"/>
      <c r="H196" s="248"/>
      <c r="I196" s="248"/>
      <c r="J196" s="248"/>
      <c r="K196" s="220"/>
      <c r="L196" s="248"/>
      <c r="M196" s="248"/>
      <c r="N196" s="244"/>
      <c r="O196" s="247"/>
      <c r="P196" s="244"/>
      <c r="Q196" s="247"/>
      <c r="R196" s="244"/>
      <c r="S196" s="247"/>
      <c r="T196" s="220"/>
      <c r="U196" s="220"/>
      <c r="V196" s="220"/>
      <c r="W196" s="250"/>
      <c r="X196" s="244"/>
      <c r="Y196" s="220"/>
      <c r="Z196" s="220"/>
      <c r="AA196" s="220"/>
      <c r="AB196" s="220"/>
      <c r="AC196" s="244"/>
      <c r="AD196" s="249"/>
      <c r="AE196" s="247"/>
      <c r="AF196" s="220"/>
      <c r="AG196" s="220"/>
      <c r="AH196" s="244"/>
      <c r="AI196" s="220"/>
      <c r="AJ196" s="220"/>
      <c r="AK196" s="220"/>
      <c r="AL196" s="220"/>
      <c r="AM196" s="244"/>
      <c r="AN196" s="220"/>
      <c r="AO196" s="220"/>
      <c r="AP196" s="220"/>
      <c r="AQ196" s="220"/>
      <c r="AR196" s="220"/>
      <c r="AS196" s="244"/>
      <c r="AT196" s="244"/>
      <c r="AU196" s="220"/>
      <c r="AV196" s="220"/>
      <c r="AW196" s="220"/>
      <c r="AX196" s="220"/>
      <c r="AY196" s="220"/>
      <c r="AZ196" s="220"/>
      <c r="BA196" s="220"/>
      <c r="BB196" s="220"/>
      <c r="BC196" s="220"/>
      <c r="BD196" s="244"/>
    </row>
    <row r="197" spans="1:56" ht="12.75" customHeight="1" x14ac:dyDescent="0.25">
      <c r="A197" s="229"/>
      <c r="B197" s="229"/>
      <c r="C197" s="220"/>
      <c r="D197" s="220"/>
      <c r="E197" s="242"/>
      <c r="F197" s="248"/>
      <c r="G197" s="248"/>
      <c r="H197" s="248"/>
      <c r="I197" s="248"/>
      <c r="J197" s="248"/>
      <c r="K197" s="220"/>
      <c r="L197" s="248"/>
      <c r="M197" s="248"/>
      <c r="N197" s="244"/>
      <c r="O197" s="247"/>
      <c r="P197" s="244"/>
      <c r="Q197" s="247"/>
      <c r="R197" s="244"/>
      <c r="S197" s="247"/>
      <c r="T197" s="220"/>
      <c r="U197" s="220"/>
      <c r="V197" s="220"/>
      <c r="W197" s="250"/>
      <c r="X197" s="244"/>
      <c r="Y197" s="220"/>
      <c r="Z197" s="220"/>
      <c r="AA197" s="220"/>
      <c r="AB197" s="220"/>
      <c r="AC197" s="244"/>
      <c r="AD197" s="249"/>
      <c r="AE197" s="247"/>
      <c r="AF197" s="220"/>
      <c r="AG197" s="220"/>
      <c r="AH197" s="244"/>
      <c r="AI197" s="220"/>
      <c r="AJ197" s="220"/>
      <c r="AK197" s="220"/>
      <c r="AL197" s="220"/>
      <c r="AM197" s="244"/>
      <c r="AN197" s="220"/>
      <c r="AO197" s="220"/>
      <c r="AP197" s="220"/>
      <c r="AQ197" s="220"/>
      <c r="AR197" s="220"/>
      <c r="AS197" s="244"/>
      <c r="AT197" s="244"/>
      <c r="AU197" s="220"/>
      <c r="AV197" s="220"/>
      <c r="AW197" s="220"/>
      <c r="AX197" s="220"/>
      <c r="AY197" s="220"/>
      <c r="AZ197" s="220"/>
      <c r="BA197" s="220"/>
      <c r="BB197" s="220"/>
      <c r="BC197" s="220"/>
      <c r="BD197" s="244"/>
    </row>
    <row r="198" spans="1:56" ht="12.75" customHeight="1" x14ac:dyDescent="0.25">
      <c r="A198" s="229"/>
      <c r="B198" s="229"/>
      <c r="C198" s="220"/>
      <c r="D198" s="220"/>
      <c r="E198" s="242"/>
      <c r="F198" s="248"/>
      <c r="G198" s="248"/>
      <c r="H198" s="248"/>
      <c r="I198" s="248"/>
      <c r="J198" s="248"/>
      <c r="K198" s="220"/>
      <c r="L198" s="248"/>
      <c r="M198" s="248"/>
      <c r="N198" s="244"/>
      <c r="O198" s="247"/>
      <c r="P198" s="244"/>
      <c r="Q198" s="247"/>
      <c r="R198" s="244"/>
      <c r="S198" s="247"/>
      <c r="T198" s="220"/>
      <c r="U198" s="220"/>
      <c r="V198" s="220"/>
      <c r="W198" s="250"/>
      <c r="X198" s="244"/>
      <c r="Y198" s="220"/>
      <c r="Z198" s="220"/>
      <c r="AA198" s="220"/>
      <c r="AB198" s="220"/>
      <c r="AC198" s="244"/>
      <c r="AD198" s="249"/>
      <c r="AE198" s="247"/>
      <c r="AF198" s="220"/>
      <c r="AG198" s="220"/>
      <c r="AH198" s="244"/>
      <c r="AI198" s="220"/>
      <c r="AJ198" s="220"/>
      <c r="AK198" s="220"/>
      <c r="AL198" s="220"/>
      <c r="AM198" s="244"/>
      <c r="AN198" s="220"/>
      <c r="AO198" s="220"/>
      <c r="AP198" s="220"/>
      <c r="AQ198" s="220"/>
      <c r="AR198" s="220"/>
      <c r="AS198" s="244"/>
      <c r="AT198" s="244"/>
      <c r="AU198" s="220"/>
      <c r="AV198" s="220"/>
      <c r="AW198" s="220"/>
      <c r="AX198" s="220"/>
      <c r="AY198" s="220"/>
      <c r="AZ198" s="220"/>
      <c r="BA198" s="220"/>
      <c r="BB198" s="220"/>
      <c r="BC198" s="220"/>
      <c r="BD198" s="244"/>
    </row>
    <row r="199" spans="1:56" ht="12.75" customHeight="1" x14ac:dyDescent="0.25">
      <c r="A199" s="229"/>
      <c r="B199" s="229"/>
      <c r="C199" s="220"/>
      <c r="D199" s="220"/>
      <c r="E199" s="242"/>
      <c r="F199" s="248"/>
      <c r="G199" s="248"/>
      <c r="H199" s="248"/>
      <c r="I199" s="248"/>
      <c r="J199" s="248"/>
      <c r="K199" s="220"/>
      <c r="L199" s="248"/>
      <c r="M199" s="248"/>
      <c r="N199" s="244"/>
      <c r="O199" s="247"/>
      <c r="P199" s="244"/>
      <c r="Q199" s="247"/>
      <c r="R199" s="244"/>
      <c r="S199" s="247"/>
      <c r="T199" s="220"/>
      <c r="U199" s="220"/>
      <c r="V199" s="220"/>
      <c r="W199" s="250"/>
      <c r="X199" s="244"/>
      <c r="Y199" s="220"/>
      <c r="Z199" s="220"/>
      <c r="AA199" s="220"/>
      <c r="AB199" s="220"/>
      <c r="AC199" s="244"/>
      <c r="AD199" s="249"/>
      <c r="AE199" s="247"/>
      <c r="AF199" s="220"/>
      <c r="AG199" s="220"/>
      <c r="AH199" s="244"/>
      <c r="AI199" s="220"/>
      <c r="AJ199" s="220"/>
      <c r="AK199" s="220"/>
      <c r="AL199" s="220"/>
      <c r="AM199" s="244"/>
      <c r="AN199" s="220"/>
      <c r="AO199" s="220"/>
      <c r="AP199" s="220"/>
      <c r="AQ199" s="220"/>
      <c r="AR199" s="220"/>
      <c r="AS199" s="244"/>
      <c r="AT199" s="244"/>
      <c r="AU199" s="220"/>
      <c r="AV199" s="220"/>
      <c r="AW199" s="220"/>
      <c r="AX199" s="220"/>
      <c r="AY199" s="220"/>
      <c r="AZ199" s="220"/>
      <c r="BA199" s="220"/>
      <c r="BB199" s="220"/>
      <c r="BC199" s="220"/>
      <c r="BD199" s="244"/>
    </row>
    <row r="200" spans="1:56" ht="12.75" customHeight="1" x14ac:dyDescent="0.25">
      <c r="A200" s="229"/>
      <c r="B200" s="229"/>
      <c r="C200" s="220"/>
      <c r="D200" s="220"/>
      <c r="E200" s="242"/>
      <c r="F200" s="248"/>
      <c r="G200" s="248"/>
      <c r="H200" s="248"/>
      <c r="I200" s="248"/>
      <c r="J200" s="248"/>
      <c r="K200" s="220"/>
      <c r="L200" s="248"/>
      <c r="M200" s="248"/>
      <c r="N200" s="244"/>
      <c r="O200" s="247"/>
      <c r="P200" s="244"/>
      <c r="Q200" s="247"/>
      <c r="R200" s="244"/>
      <c r="S200" s="247"/>
      <c r="T200" s="220"/>
      <c r="U200" s="220"/>
      <c r="V200" s="220"/>
      <c r="W200" s="250"/>
      <c r="X200" s="244"/>
      <c r="Y200" s="220"/>
      <c r="Z200" s="220"/>
      <c r="AA200" s="220"/>
      <c r="AB200" s="220"/>
      <c r="AC200" s="244"/>
      <c r="AD200" s="249"/>
      <c r="AE200" s="247"/>
      <c r="AF200" s="220"/>
      <c r="AG200" s="220"/>
      <c r="AH200" s="244"/>
      <c r="AI200" s="220"/>
      <c r="AJ200" s="220"/>
      <c r="AK200" s="220"/>
      <c r="AL200" s="220"/>
      <c r="AM200" s="244"/>
      <c r="AN200" s="220"/>
      <c r="AO200" s="220"/>
      <c r="AP200" s="220"/>
      <c r="AQ200" s="220"/>
      <c r="AR200" s="220"/>
      <c r="AS200" s="244"/>
      <c r="AT200" s="244"/>
      <c r="AU200" s="220"/>
      <c r="AV200" s="220"/>
      <c r="AW200" s="220"/>
      <c r="AX200" s="220"/>
      <c r="AY200" s="220"/>
      <c r="AZ200" s="220"/>
      <c r="BA200" s="220"/>
      <c r="BB200" s="220"/>
      <c r="BC200" s="220"/>
      <c r="BD200" s="244"/>
    </row>
    <row r="201" spans="1:56" ht="12.75" customHeight="1" x14ac:dyDescent="0.25">
      <c r="C201" s="187"/>
      <c r="D201" s="187"/>
      <c r="E201" s="178"/>
      <c r="F201" s="188"/>
      <c r="G201" s="188"/>
      <c r="H201" s="188"/>
      <c r="I201" s="188"/>
      <c r="J201" s="188"/>
      <c r="K201" s="187"/>
      <c r="L201" s="188"/>
      <c r="M201" s="188"/>
      <c r="N201" s="181"/>
      <c r="O201" s="179"/>
      <c r="P201" s="181"/>
      <c r="Q201" s="179"/>
      <c r="R201" s="181"/>
      <c r="S201" s="179"/>
      <c r="T201" s="187"/>
      <c r="U201" s="187"/>
      <c r="V201" s="187"/>
      <c r="W201" s="189"/>
      <c r="X201" s="187"/>
      <c r="Y201" s="187"/>
      <c r="Z201" s="187"/>
      <c r="AA201" s="190"/>
      <c r="AB201" s="187"/>
      <c r="AC201" s="181"/>
      <c r="AD201" s="191"/>
      <c r="AE201" s="179"/>
      <c r="AF201" s="187"/>
      <c r="AG201" s="187"/>
      <c r="AH201" s="181"/>
      <c r="AI201" s="187"/>
      <c r="AJ201" s="187"/>
      <c r="AK201" s="187"/>
      <c r="AL201" s="187"/>
      <c r="AM201" s="181"/>
      <c r="AN201" s="187"/>
      <c r="AO201" s="187"/>
      <c r="AP201" s="187"/>
      <c r="AQ201" s="187"/>
      <c r="AR201" s="187"/>
      <c r="AS201" s="181"/>
      <c r="AT201" s="181"/>
      <c r="AU201" s="187"/>
    </row>
  </sheetData>
  <sheetProtection algorithmName="SHA-512" hashValue="k/bffVMwmpF4XTPiK6YfdACTh5TwfdicBrQKHWFU4qt3+N9+pGQcNiS1+EQ/KkJ9FWsFwIwySt0yPgvbogOApQ==" saltValue="vJgyRzjxzR6ji6Hljt7MHw==" spinCount="100000" sheet="1" objects="1" scenarios="1" formatCells="0" formatRows="0"/>
  <phoneticPr fontId="12" type="noConversion"/>
  <conditionalFormatting sqref="AU13:AU200">
    <cfRule type="expression" priority="7">
      <formula>AND($AD13&gt;=10000000,$AT13="Yes")</formula>
    </cfRule>
    <cfRule type="expression" dxfId="92" priority="8">
      <formula>OR($AD13&lt;10000000,$AT13="No")</formula>
    </cfRule>
  </conditionalFormatting>
  <conditionalFormatting sqref="AS13:AT200">
    <cfRule type="expression" priority="9">
      <formula>$AD13&gt;=10000000</formula>
    </cfRule>
    <cfRule type="expression" dxfId="91" priority="10">
      <formula>$AD13&lt;10000000</formula>
    </cfRule>
  </conditionalFormatting>
  <conditionalFormatting sqref="AN13:AR200">
    <cfRule type="expression" priority="11">
      <formula>AND($AM13="No",$AD13&gt;=10000000)</formula>
    </cfRule>
    <cfRule type="expression" dxfId="90" priority="12">
      <formula>OR($AM13="Yes",$AD13&lt;10000000)</formula>
    </cfRule>
  </conditionalFormatting>
  <conditionalFormatting sqref="AH13:AH200">
    <cfRule type="expression" priority="15">
      <formula>$AD13&gt;=10000000</formula>
    </cfRule>
    <cfRule type="expression" dxfId="89" priority="16">
      <formula>$AD13&lt;10000000</formula>
    </cfRule>
  </conditionalFormatting>
  <conditionalFormatting sqref="AG13:AG200">
    <cfRule type="expression" priority="17" stopIfTrue="1">
      <formula>AND($AD13&gt;=1000000,LEFT($AE13,5)="Other")</formula>
    </cfRule>
    <cfRule type="expression" dxfId="88" priority="18">
      <formula>$AD13&lt;10000000</formula>
    </cfRule>
    <cfRule type="expression" priority="19">
      <formula>$AD13&gt;=10000000</formula>
    </cfRule>
  </conditionalFormatting>
  <conditionalFormatting sqref="AF13:AF200">
    <cfRule type="expression" priority="20">
      <formula>LEFT($AE13,5)="Other"</formula>
    </cfRule>
    <cfRule type="expression" dxfId="87" priority="21">
      <formula>LEFT($AE13,5)&lt;&gt;"Other"</formula>
    </cfRule>
  </conditionalFormatting>
  <conditionalFormatting sqref="AD13:AE200">
    <cfRule type="expression" dxfId="86" priority="22">
      <formula>$AC13&lt;&gt;"Yes"</formula>
    </cfRule>
    <cfRule type="expression" priority="23">
      <formula>$AC13="Yes"</formula>
    </cfRule>
  </conditionalFormatting>
  <conditionalFormatting sqref="S13:S200">
    <cfRule type="expression" dxfId="85" priority="24">
      <formula>RIGHT($R13,7)="specify"</formula>
    </cfRule>
    <cfRule type="expression" dxfId="84" priority="25">
      <formula>RIGHT($R13,7)&lt;&gt;"specify"</formula>
    </cfRule>
  </conditionalFormatting>
  <conditionalFormatting sqref="Q13:Q200">
    <cfRule type="expression" dxfId="83" priority="26">
      <formula>RIGHT($P13,7)="specify"</formula>
    </cfRule>
    <cfRule type="expression" dxfId="82" priority="27">
      <formula>RIGHT($P13,7)&lt;&gt;"specify"</formula>
    </cfRule>
  </conditionalFormatting>
  <conditionalFormatting sqref="O13:O200">
    <cfRule type="expression" dxfId="81" priority="28">
      <formula>RIGHT($N13,7)="specify"</formula>
    </cfRule>
    <cfRule type="expression" dxfId="80" priority="29">
      <formula>RIGHT($N13,7)&lt;&gt;"specify"</formula>
    </cfRule>
  </conditionalFormatting>
  <conditionalFormatting sqref="BD13:BD200">
    <cfRule type="expression" priority="5">
      <formula>$E13="Cancelled"</formula>
    </cfRule>
    <cfRule type="expression" dxfId="79" priority="6">
      <formula>$E13&lt;&gt;"Cancelled"</formula>
    </cfRule>
  </conditionalFormatting>
  <conditionalFormatting sqref="AI13:AL200">
    <cfRule type="expression" priority="13">
      <formula>AND($AH13="No",$AD13&gt;=10000000)</formula>
    </cfRule>
    <cfRule type="expression" dxfId="78" priority="14">
      <formula>OR($AH13="Yes",$AD13&lt;10000000)</formula>
    </cfRule>
  </conditionalFormatting>
  <conditionalFormatting sqref="AM13:AM200">
    <cfRule type="expression" priority="3">
      <formula>$AD13&gt;=10000000</formula>
    </cfRule>
    <cfRule type="expression" dxfId="77" priority="4">
      <formula>$AD13&lt;10000000</formula>
    </cfRule>
  </conditionalFormatting>
  <conditionalFormatting sqref="N13:AB200 AV13:BC200">
    <cfRule type="expression" priority="1">
      <formula>$E13&lt;&gt;"Not Started"</formula>
    </cfRule>
    <cfRule type="expression" dxfId="76" priority="2">
      <formula>$E13="Not Started"</formula>
    </cfRule>
  </conditionalFormatting>
  <dataValidations count="43">
    <dataValidation type="textLength" operator="lessThanOrEqual" allowBlank="1" showInputMessage="1" showErrorMessage="1" errorTitle="Max Length Exceed" error="Value cannot exceed 150 characters." sqref="C201" xr:uid="{836530C8-D0B9-46FF-BA26-AB220D589414}">
      <formula1>150</formula1>
    </dataValidation>
    <dataValidation type="textLength" operator="lessThanOrEqual" allowBlank="1" showInputMessage="1" showErrorMessage="1" errorTitle="Max Length Exceed" error="Value cannot exceed 20 characters." sqref="D201" xr:uid="{54994C02-3856-4727-9BD4-6BD11FA03EC4}">
      <formula1>20</formula1>
    </dataValidation>
    <dataValidation type="decimal" operator="lessThanOrEqual" allowBlank="1" showInputMessage="1" showErrorMessage="1" errorTitle="Maximum Exceeded" error="Value cannot exceed 999,999,999,999.99" sqref="J201 M201 L201 F201 G201 H201 I201 AD201" xr:uid="{7B6CCADF-8F10-42AD-824A-CE7D0C7AE7E7}">
      <formula1>999999999999.99</formula1>
    </dataValidation>
    <dataValidation type="textLength" operator="lessThanOrEqual" allowBlank="1" showInputMessage="1" showErrorMessage="1" errorTitle="Max Length Exceed" error="Value cannot exceed 1500 characters." sqref="K201 AG201" xr:uid="{ABD868CF-71BD-43EB-A8FD-DBFC0ED45A2F}">
      <formula1>1500</formula1>
    </dataValidation>
    <dataValidation type="textLength" operator="lessThanOrEqual" allowBlank="1" showInputMessage="1" showErrorMessage="1" errorTitle="Max Length Exceed" error="Value cannot exceed 250 characters." sqref="Q201 U201 O201 S201 T201 AB201" xr:uid="{B2CD7328-86B7-4342-B1F7-C9FA0AF6B765}">
      <formula1>250</formula1>
    </dataValidation>
    <dataValidation type="textLength" operator="lessThanOrEqual" allowBlank="1" showInputMessage="1" showErrorMessage="1" errorTitle="Max Length Exceed" error="Value cannot exceed 10 characters." sqref="V201 Z201 Y201" xr:uid="{6963ED25-1B48-436B-98FF-F343D258BE91}">
      <formula1>10</formula1>
    </dataValidation>
    <dataValidation type="textLength" operator="lessThanOrEqual" allowBlank="1" showInputMessage="1" showErrorMessage="1" errorTitle="Max Length Exceed" error="Value cannot exceed 750 characters." sqref="AA201" xr:uid="{F0F2408A-B503-46E1-8920-EA0C771835E4}">
      <formula1>750</formula1>
    </dataValidation>
    <dataValidation type="textLength" operator="lessThanOrEqual" allowBlank="1" showInputMessage="1" showErrorMessage="1" errorTitle="Max Length Exceed" error="Value cannot exceed 255 characters." sqref="AF201" xr:uid="{A9374832-7D79-45A4-9A89-1A03909843C4}">
      <formula1>255</formula1>
    </dataValidation>
    <dataValidation type="list" allowBlank="1" showInputMessage="1" showErrorMessage="1" sqref="X13:X200" xr:uid="{68F1001E-ABB7-4319-B26C-7532C8004E14}">
      <formula1>YesNo</formula1>
    </dataValidation>
    <dataValidation type="list" allowBlank="1" showInputMessage="1" showErrorMessage="1" sqref="E13:E200" xr:uid="{DAA01FCE-A7BC-44B9-B596-E9FD7744A4F5}">
      <formula1>Status</formula1>
    </dataValidation>
    <dataValidation type="textLength" operator="lessThanOrEqual" allowBlank="1" showInputMessage="1" showErrorMessage="1" errorTitle="Max Length Exceed" error="Value cannot exceed 150 characters." sqref="C13:C200" xr:uid="{05A55743-2E03-4CB7-B753-7EA3B79FE560}">
      <formula1>150</formula1>
    </dataValidation>
    <dataValidation type="textLength" operator="lessThanOrEqual" allowBlank="1" showInputMessage="1" showErrorMessage="1" errorTitle="Max Length Exceed" error="Value cannot exceed 20 characters." sqref="D13:D200" xr:uid="{B35E66C4-80DA-4EA7-8494-ED60E530766C}">
      <formula1>20</formula1>
    </dataValidation>
    <dataValidation type="decimal" operator="lessThanOrEqual" allowBlank="1" showInputMessage="1" showErrorMessage="1" errorTitle="Maximum Exceeded" error="Value cannot exceed 999,999,999,999.99" sqref="F13:F200" xr:uid="{89E44FF9-AF2C-465B-A350-D67D628E6744}">
      <formula1>999999999999.99</formula1>
    </dataValidation>
    <dataValidation type="decimal" operator="lessThanOrEqual" allowBlank="1" showInputMessage="1" showErrorMessage="1" errorTitle="Maximum Exceeded" error="Value cannot exceed 999,999,999,999.99" sqref="G13:G200" xr:uid="{0048485F-CC6A-4E3A-99A2-D44D4437E29E}">
      <formula1>999999999999.99</formula1>
    </dataValidation>
    <dataValidation type="decimal" operator="lessThanOrEqual" allowBlank="1" showInputMessage="1" showErrorMessage="1" errorTitle="Maximum Exceeded" error="Value cannot exceed 999,999,999,999.99" sqref="H13:H200" xr:uid="{5D5ECDBD-5A9F-4902-AAC0-DEDB3F643097}">
      <formula1>999999999999.99</formula1>
    </dataValidation>
    <dataValidation type="decimal" operator="lessThanOrEqual" allowBlank="1" showInputMessage="1" showErrorMessage="1" errorTitle="Maximum Exceeded" error="Value cannot exceed 999,999,999,999.99" sqref="I13:I200" xr:uid="{ADAB4769-A65A-44BD-8C29-AB1703EC9AE6}">
      <formula1>999999999999.99</formula1>
    </dataValidation>
    <dataValidation type="decimal" operator="lessThanOrEqual" allowBlank="1" showInputMessage="1" showErrorMessage="1" errorTitle="Maximum Exceeded" error="Value cannot exceed 999,999,999,999.99" sqref="J13:J200" xr:uid="{4BEE796E-A3AC-40AD-8C98-9EDF78719A8D}">
      <formula1>999999999999.99</formula1>
    </dataValidation>
    <dataValidation type="textLength" operator="lessThanOrEqual" allowBlank="1" showInputMessage="1" showErrorMessage="1" errorTitle="Max Length Exceed" error="Value cannot exceed 1500 characters." sqref="K13:K200" xr:uid="{A79F2A1A-B84B-4899-A2CE-F52A76AB34DF}">
      <formula1>1500</formula1>
    </dataValidation>
    <dataValidation type="decimal" operator="lessThanOrEqual" allowBlank="1" showInputMessage="1" showErrorMessage="1" errorTitle="Maximum Exceeded" error="Value cannot exceed 999,999,999,999.99" sqref="L13:L200" xr:uid="{CD0B6510-D086-4684-8941-862AEBB4D7C2}">
      <formula1>999999999999.99</formula1>
    </dataValidation>
    <dataValidation type="decimal" operator="lessThanOrEqual" allowBlank="1" showInputMessage="1" showErrorMessage="1" errorTitle="Maximum Exceeded" error="Value cannot exceed 999,999,999,999.99" sqref="M13:M200" xr:uid="{1BD6A54B-4C85-4CEC-8BB2-9785783139C1}">
      <formula1>999999999999.99</formula1>
    </dataValidation>
    <dataValidation type="textLength" operator="lessThanOrEqual" allowBlank="1" showInputMessage="1" showErrorMessage="1" errorTitle="Max Length Exceed" error="Value cannot exceed 250 characters." sqref="O13:O200" xr:uid="{C9343073-1896-494C-9480-79BCBDEF93C6}">
      <formula1>250</formula1>
    </dataValidation>
    <dataValidation type="textLength" operator="lessThanOrEqual" allowBlank="1" showInputMessage="1" showErrorMessage="1" errorTitle="Max Length Exceed" error="Value cannot exceed 250 characters." sqref="Q13:Q200" xr:uid="{8E0C4227-FFA0-429A-9BC2-F02178C8CCEC}">
      <formula1>250</formula1>
    </dataValidation>
    <dataValidation type="textLength" operator="lessThanOrEqual" allowBlank="1" showInputMessage="1" showErrorMessage="1" errorTitle="Max Length Exceed" error="Value cannot exceed 250 characters." sqref="S13:S200" xr:uid="{8124A3F2-4CD1-4CB4-B81B-19E8D10B78A0}">
      <formula1>250</formula1>
    </dataValidation>
    <dataValidation type="textLength" operator="lessThanOrEqual" allowBlank="1" showInputMessage="1" showErrorMessage="1" errorTitle="Max Length Exceed" error="Value cannot exceed 250 characters." sqref="T13:T200" xr:uid="{9AD924B5-6738-4B07-8949-8A6B0624DDF0}">
      <formula1>250</formula1>
    </dataValidation>
    <dataValidation type="textLength" operator="lessThanOrEqual" allowBlank="1" showInputMessage="1" showErrorMessage="1" errorTitle="Max Length Exceed" error="Value cannot exceed 250 characters." sqref="U13:U200" xr:uid="{D3AA61D7-850C-48AA-B187-722407C23FD3}">
      <formula1>250</formula1>
    </dataValidation>
    <dataValidation type="textLength" operator="lessThanOrEqual" allowBlank="1" showInputMessage="1" showErrorMessage="1" errorTitle="Max Length Exceed" error="Value cannot exceed 10 characters." sqref="V13:V200" xr:uid="{4B12BD62-D2A2-46A6-8EC5-6359F4CF9237}">
      <formula1>10</formula1>
    </dataValidation>
    <dataValidation type="decimal" operator="lessThanOrEqual" allowBlank="1" showInputMessage="1" showErrorMessage="1" errorTitle="Maximum Exceeded" error="Value cannot exceed 999,999,999,999.99" sqref="W13:W200" xr:uid="{2530AC6F-4072-4897-AB00-7F65456D828B}">
      <formula1>999999999999.99</formula1>
    </dataValidation>
    <dataValidation type="textLength" operator="lessThanOrEqual" allowBlank="1" showInputMessage="1" showErrorMessage="1" errorTitle="Max Length Exceed" error="Value cannot exceed 10 characters." sqref="Y13:Y200" xr:uid="{6AA32172-311C-4BB5-9FDC-15FB95458112}">
      <formula1>10</formula1>
    </dataValidation>
    <dataValidation type="textLength" operator="lessThanOrEqual" allowBlank="1" showInputMessage="1" showErrorMessage="1" errorTitle="Max Length Exceed" error="Value cannot exceed 10 characters." sqref="Z13:Z200" xr:uid="{F963A32E-6104-488C-AAFC-BBFBAB640B5B}">
      <formula1>10</formula1>
    </dataValidation>
    <dataValidation type="textLength" operator="lessThanOrEqual" allowBlank="1" showInputMessage="1" showErrorMessage="1" errorTitle="Max Length Exceed" error="Value cannot exceed 750 characters." sqref="AA13:AA200" xr:uid="{3EF48366-CE8D-489F-9B90-AE3147618324}">
      <formula1>750</formula1>
    </dataValidation>
    <dataValidation type="textLength" operator="lessThanOrEqual" allowBlank="1" showInputMessage="1" showErrorMessage="1" errorTitle="Max Length Exceed" error="Value cannot exceed 250 characters." sqref="AB13:AB200" xr:uid="{B3C68C1C-73FC-4609-AE81-520B93AD6829}">
      <formula1>250</formula1>
    </dataValidation>
    <dataValidation type="decimal" operator="lessThanOrEqual" allowBlank="1" showInputMessage="1" showErrorMessage="1" errorTitle="Maximum Exceeded" error="Value cannot exceed 999,999,999,999.99" sqref="AD13:AD200" xr:uid="{29A56F78-F5E4-4385-8877-914135107DD7}">
      <formula1>999999999999.99</formula1>
    </dataValidation>
    <dataValidation type="textLength" operator="lessThanOrEqual" allowBlank="1" showInputMessage="1" showErrorMessage="1" errorTitle="Max Length Exceed" error="Value cannot exceed 255 characters." sqref="AF13:AF200" xr:uid="{E90F3EC0-CCBB-4687-B13C-041F5D1487B2}">
      <formula1>255</formula1>
    </dataValidation>
    <dataValidation type="textLength" operator="lessThanOrEqual" allowBlank="1" showInputMessage="1" showErrorMessage="1" errorTitle="Max Length Exceed" error="Value cannot exceed 1500 characters." sqref="AG13:AG200" xr:uid="{D6E1AB2D-7F98-4C87-8784-8F007CA626B9}">
      <formula1>1500</formula1>
    </dataValidation>
    <dataValidation type="textLength" operator="lessThanOrEqual" allowBlank="1" showInputMessage="1" showErrorMessage="1" errorTitle="Max Length Exceed" error="Value cannot exceed 10 characters." sqref="AV13:AV200" xr:uid="{21A508A7-6BC4-4CAE-8D30-5144D22FBD0B}">
      <formula1>10</formula1>
    </dataValidation>
    <dataValidation type="textLength" operator="lessThanOrEqual" allowBlank="1" showInputMessage="1" showErrorMessage="1" errorTitle="Max Length Exceed" error="Value cannot exceed 10 characters." sqref="AW13:AW200" xr:uid="{70AEB9FB-47C2-4EF8-8FB9-95DA873D2A58}">
      <formula1>10</formula1>
    </dataValidation>
    <dataValidation type="textLength" operator="lessThanOrEqual" allowBlank="1" showInputMessage="1" showErrorMessage="1" errorTitle="Max Length Exceed" error="Value cannot exceed 10 characters." sqref="AX13:AX200" xr:uid="{1AD73884-4572-415C-9F59-CC73D8E5625E}">
      <formula1>10</formula1>
    </dataValidation>
    <dataValidation type="textLength" operator="lessThanOrEqual" allowBlank="1" showInputMessage="1" showErrorMessage="1" errorTitle="Max Length Exceed" error="Value cannot exceed 10 characters." sqref="AY13:AY200" xr:uid="{2F113CB3-547A-483A-B050-5FC8A3C9300C}">
      <formula1>10</formula1>
    </dataValidation>
    <dataValidation type="textLength" operator="lessThanOrEqual" allowBlank="1" showInputMessage="1" showErrorMessage="1" errorTitle="Max Length Exceed" error="Value cannot exceed 10 characters." sqref="AZ13:AZ200" xr:uid="{EC60D15C-8788-4DAD-AC98-DE2FAA1C77C9}">
      <formula1>10</formula1>
    </dataValidation>
    <dataValidation type="textLength" operator="lessThanOrEqual" allowBlank="1" showInputMessage="1" showErrorMessage="1" errorTitle="Max Length Exceed" error="Value cannot exceed 10 characters." sqref="BA13:BA200" xr:uid="{8727A747-8A5B-49FF-9E42-8A470FF99B37}">
      <formula1>10</formula1>
    </dataValidation>
    <dataValidation type="textLength" operator="lessThanOrEqual" allowBlank="1" showInputMessage="1" showErrorMessage="1" errorTitle="Max Length Exceed" error="Value cannot exceed 10 characters." sqref="BB13:BB200" xr:uid="{A4A9AF9F-3523-4325-8C1A-B458F4AB599E}">
      <formula1>10</formula1>
    </dataValidation>
    <dataValidation type="textLength" operator="lessThanOrEqual" allowBlank="1" showInputMessage="1" showErrorMessage="1" errorTitle="Max Length Exceed" error="Value cannot exceed 10 characters." sqref="BC13:BC200" xr:uid="{5BE103E7-4A16-47EB-81A8-E8F6FAA9EAD3}">
      <formula1>10</formula1>
    </dataValidation>
    <dataValidation type="textLength" operator="lessThanOrEqual" allowBlank="1" showInputMessage="1" showErrorMessage="1" errorTitle="Max Length Exceed" error="Value cannot exceed 255 characters." sqref="BD13:BD200" xr:uid="{79562E82-0490-47B4-9580-DF98BC26C6DF}">
      <formula1>255</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r:uid="{4B0BAAD9-B5A2-49DF-BA75-10274413A1BA}">
          <x14:formula1>
            <xm:f>Dropdowns!$G$3:$G$6</xm:f>
          </x14:formula1>
          <xm:sqref>E201</xm:sqref>
        </x14:dataValidation>
        <x14:dataValidation type="list" allowBlank="1" showInputMessage="1" showErrorMessage="1" xr:uid="{B5219C3C-A421-48D0-B693-FDF0F1B83EDD}">
          <x14:formula1>
            <xm:f>Dropdowns!$M$3:$M$30</xm:f>
          </x14:formula1>
          <xm:sqref>P13:P201 R13:R201 N13:N201</xm:sqref>
        </x14:dataValidation>
        <x14:dataValidation type="list" allowBlank="1" showInputMessage="1" showErrorMessage="1" xr:uid="{12872FCA-5842-48A2-BDD6-FC3C6BF14132}">
          <x14:formula1>
            <xm:f>Dropdowns!$N$3:$N$28</xm:f>
          </x14:formula1>
          <xm:sqref>AE13:AE201</xm:sqref>
        </x14:dataValidation>
        <x14:dataValidation type="list" allowBlank="1" showInputMessage="1" showErrorMessage="1" xr:uid="{4CCBA65E-29F7-46A0-B5C6-4ADA57C9510D}">
          <x14:formula1>
            <xm:f>Dropdowns!$H$3:$H$4</xm:f>
          </x14:formula1>
          <xm:sqref>AM13:AM201 AS13:AT201 AH13:AH201 AC13:AC201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3189A9-B135-4320-91F2-D1A0322CB367}">
  <sheetPr codeName="Sheet6"/>
  <dimension ref="A1:AK201"/>
  <sheetViews>
    <sheetView showGridLines="0" zoomScaleNormal="100" workbookViewId="0">
      <pane xSplit="4" ySplit="12" topLeftCell="AF13" activePane="bottomRight" state="frozen"/>
      <selection activeCell="A2" sqref="A2"/>
      <selection pane="topRight" activeCell="E2" sqref="E2"/>
      <selection pane="bottomLeft" activeCell="A12" sqref="A12"/>
      <selection pane="bottomRight" sqref="A1:XFD10"/>
    </sheetView>
  </sheetViews>
  <sheetFormatPr defaultColWidth="8.7265625" defaultRowHeight="12.75" customHeight="1" x14ac:dyDescent="0.25"/>
  <cols>
    <col min="1" max="1" width="14.1796875" style="161" hidden="1" customWidth="1"/>
    <col min="2" max="2" width="5.54296875" style="161" hidden="1" customWidth="1"/>
    <col min="3" max="3" width="20.7265625" style="161" customWidth="1"/>
    <col min="4" max="4" width="19.7265625" style="161" customWidth="1"/>
    <col min="5" max="5" width="19.54296875" style="161" customWidth="1"/>
    <col min="6" max="6" width="15.54296875" style="161" customWidth="1"/>
    <col min="7" max="7" width="15" style="161" customWidth="1"/>
    <col min="8" max="8" width="14.54296875" style="161" customWidth="1"/>
    <col min="9" max="10" width="14.26953125" style="185" customWidth="1"/>
    <col min="11" max="11" width="18.453125" style="161" customWidth="1"/>
    <col min="12" max="13" width="14.54296875" style="161" customWidth="1"/>
    <col min="14" max="14" width="26" style="161" customWidth="1"/>
    <col min="15" max="15" width="28.1796875" style="161" customWidth="1"/>
    <col min="16" max="16" width="20.1796875" style="161" customWidth="1"/>
    <col min="17" max="17" width="22.81640625" style="161" customWidth="1"/>
    <col min="18" max="18" width="20.54296875" style="177" customWidth="1"/>
    <col min="19" max="19" width="14.453125" style="161" customWidth="1"/>
    <col min="20" max="20" width="11.7265625" style="161" customWidth="1"/>
    <col min="21" max="21" width="13.1796875" style="161" customWidth="1"/>
    <col min="22" max="28" width="19.26953125" style="161" customWidth="1"/>
    <col min="29" max="31" width="30" style="161" customWidth="1"/>
    <col min="32" max="36" width="19.26953125" style="161" customWidth="1"/>
    <col min="37" max="37" width="27.36328125" style="161" customWidth="1"/>
    <col min="38" max="47" width="8.7265625" style="161" customWidth="1"/>
    <col min="48" max="16384" width="8.7265625" style="161"/>
  </cols>
  <sheetData>
    <row r="1" spans="1:37" ht="27" hidden="1" customHeight="1" x14ac:dyDescent="0.25">
      <c r="A1" s="110" t="s">
        <v>393</v>
      </c>
      <c r="B1" s="112" t="s">
        <v>503</v>
      </c>
      <c r="C1" s="115" t="s">
        <v>192</v>
      </c>
      <c r="D1" s="115" t="s">
        <v>192</v>
      </c>
      <c r="E1" s="115" t="s">
        <v>192</v>
      </c>
      <c r="F1" s="115" t="s">
        <v>192</v>
      </c>
      <c r="G1" s="115" t="s">
        <v>192</v>
      </c>
      <c r="H1" s="115" t="s">
        <v>192</v>
      </c>
      <c r="I1" s="115" t="s">
        <v>192</v>
      </c>
      <c r="J1" s="115" t="s">
        <v>192</v>
      </c>
      <c r="K1" s="115" t="s">
        <v>192</v>
      </c>
      <c r="L1" s="115" t="s">
        <v>192</v>
      </c>
      <c r="M1" s="115" t="s">
        <v>192</v>
      </c>
      <c r="N1" s="115" t="s">
        <v>192</v>
      </c>
      <c r="O1" s="115" t="s">
        <v>192</v>
      </c>
      <c r="P1" s="144" t="s">
        <v>458</v>
      </c>
      <c r="Q1" s="122" t="s">
        <v>457</v>
      </c>
      <c r="R1" s="154" t="s">
        <v>192</v>
      </c>
      <c r="S1" s="154" t="s">
        <v>192</v>
      </c>
      <c r="T1" s="154" t="s">
        <v>192</v>
      </c>
      <c r="U1" s="154" t="s">
        <v>192</v>
      </c>
      <c r="V1" s="154" t="s">
        <v>192</v>
      </c>
      <c r="W1" s="154" t="s">
        <v>192</v>
      </c>
      <c r="X1" s="154" t="s">
        <v>192</v>
      </c>
      <c r="Y1" s="154" t="s">
        <v>192</v>
      </c>
      <c r="Z1" s="154" t="s">
        <v>192</v>
      </c>
      <c r="AA1" s="154" t="s">
        <v>192</v>
      </c>
      <c r="AB1" s="154" t="s">
        <v>192</v>
      </c>
      <c r="AC1" s="154" t="s">
        <v>192</v>
      </c>
      <c r="AD1" s="154" t="s">
        <v>192</v>
      </c>
      <c r="AE1" s="154" t="s">
        <v>192</v>
      </c>
      <c r="AF1" s="154" t="s">
        <v>192</v>
      </c>
      <c r="AG1" s="154" t="s">
        <v>192</v>
      </c>
      <c r="AH1" s="154" t="s">
        <v>192</v>
      </c>
      <c r="AI1" s="154" t="s">
        <v>192</v>
      </c>
      <c r="AJ1" s="154" t="s">
        <v>192</v>
      </c>
      <c r="AK1" s="115" t="s">
        <v>879</v>
      </c>
    </row>
    <row r="2" spans="1:37" ht="27" hidden="1" customHeight="1" x14ac:dyDescent="0.25">
      <c r="A2" s="110" t="s">
        <v>394</v>
      </c>
      <c r="B2" s="113"/>
      <c r="C2" s="115" t="s">
        <v>724</v>
      </c>
      <c r="D2" s="115" t="s">
        <v>724</v>
      </c>
      <c r="E2" s="115" t="s">
        <v>724</v>
      </c>
      <c r="F2" s="115" t="s">
        <v>724</v>
      </c>
      <c r="G2" s="115" t="s">
        <v>724</v>
      </c>
      <c r="H2" s="115" t="s">
        <v>724</v>
      </c>
      <c r="I2" s="115" t="s">
        <v>724</v>
      </c>
      <c r="J2" s="115" t="s">
        <v>724</v>
      </c>
      <c r="K2" s="115" t="s">
        <v>724</v>
      </c>
      <c r="L2" s="115" t="s">
        <v>724</v>
      </c>
      <c r="M2" s="115" t="s">
        <v>724</v>
      </c>
      <c r="N2" s="115" t="s">
        <v>724</v>
      </c>
      <c r="O2" s="115" t="s">
        <v>724</v>
      </c>
      <c r="P2" s="115" t="s">
        <v>726</v>
      </c>
      <c r="Q2" s="154" t="s">
        <v>725</v>
      </c>
      <c r="R2" s="115" t="s">
        <v>724</v>
      </c>
      <c r="S2" s="115" t="s">
        <v>724</v>
      </c>
      <c r="T2" s="115" t="s">
        <v>724</v>
      </c>
      <c r="U2" s="115" t="s">
        <v>724</v>
      </c>
      <c r="V2" s="115" t="s">
        <v>724</v>
      </c>
      <c r="W2" s="115"/>
      <c r="X2" s="115"/>
      <c r="Y2" s="115"/>
      <c r="Z2" s="115"/>
      <c r="AA2" s="115"/>
      <c r="AB2" s="115"/>
      <c r="AC2" s="115"/>
      <c r="AD2" s="115"/>
      <c r="AE2" s="115"/>
      <c r="AF2" s="115"/>
      <c r="AG2" s="115"/>
      <c r="AH2" s="115"/>
      <c r="AI2" s="115"/>
      <c r="AJ2" s="115"/>
      <c r="AK2" s="115" t="s">
        <v>613</v>
      </c>
    </row>
    <row r="3" spans="1:37" ht="27" hidden="1" customHeight="1" x14ac:dyDescent="0.25">
      <c r="A3" s="110" t="s">
        <v>163</v>
      </c>
      <c r="B3" s="156"/>
      <c r="C3" s="153" t="s">
        <v>138</v>
      </c>
      <c r="D3" s="153" t="s">
        <v>139</v>
      </c>
      <c r="E3" s="153" t="s">
        <v>140</v>
      </c>
      <c r="F3" s="153" t="s">
        <v>141</v>
      </c>
      <c r="G3" s="153" t="s">
        <v>142</v>
      </c>
      <c r="H3" s="153" t="s">
        <v>143</v>
      </c>
      <c r="I3" s="153" t="s">
        <v>506</v>
      </c>
      <c r="J3" s="153" t="s">
        <v>507</v>
      </c>
      <c r="K3" s="153" t="s">
        <v>146</v>
      </c>
      <c r="L3" s="153" t="s">
        <v>147</v>
      </c>
      <c r="M3" s="153" t="s">
        <v>148</v>
      </c>
      <c r="N3" s="154" t="s">
        <v>560</v>
      </c>
      <c r="O3" s="154" t="s">
        <v>561</v>
      </c>
      <c r="P3" s="116" t="s">
        <v>184</v>
      </c>
      <c r="Q3" s="116" t="s">
        <v>189</v>
      </c>
      <c r="R3" s="116" t="s">
        <v>144</v>
      </c>
      <c r="S3" s="153" t="s">
        <v>145</v>
      </c>
      <c r="T3" s="153" t="s">
        <v>566</v>
      </c>
      <c r="U3" s="153" t="s">
        <v>567</v>
      </c>
      <c r="V3" s="153" t="s">
        <v>568</v>
      </c>
      <c r="W3" s="122" t="s">
        <v>855</v>
      </c>
      <c r="X3" s="122" t="s">
        <v>856</v>
      </c>
      <c r="Y3" s="122" t="s">
        <v>857</v>
      </c>
      <c r="Z3" s="122" t="s">
        <v>858</v>
      </c>
      <c r="AA3" s="122" t="s">
        <v>859</v>
      </c>
      <c r="AB3" s="122" t="s">
        <v>860</v>
      </c>
      <c r="AC3" s="122" t="s">
        <v>861</v>
      </c>
      <c r="AD3" s="122" t="s">
        <v>862</v>
      </c>
      <c r="AE3" s="122" t="s">
        <v>863</v>
      </c>
      <c r="AF3" s="122" t="s">
        <v>864</v>
      </c>
      <c r="AG3" s="122" t="s">
        <v>865</v>
      </c>
      <c r="AH3" s="122" t="s">
        <v>866</v>
      </c>
      <c r="AI3" s="122" t="s">
        <v>867</v>
      </c>
      <c r="AJ3" s="122" t="s">
        <v>868</v>
      </c>
      <c r="AK3" s="122" t="s">
        <v>875</v>
      </c>
    </row>
    <row r="4" spans="1:37" ht="27" hidden="1" customHeight="1" x14ac:dyDescent="0.25">
      <c r="A4" s="110" t="s">
        <v>162</v>
      </c>
      <c r="B4" s="156"/>
      <c r="C4" s="153" t="s">
        <v>149</v>
      </c>
      <c r="D4" s="153" t="s">
        <v>149</v>
      </c>
      <c r="E4" s="153" t="s">
        <v>149</v>
      </c>
      <c r="F4" s="153" t="s">
        <v>149</v>
      </c>
      <c r="G4" s="153" t="s">
        <v>149</v>
      </c>
      <c r="H4" s="153" t="s">
        <v>149</v>
      </c>
      <c r="I4" s="153" t="s">
        <v>149</v>
      </c>
      <c r="J4" s="153" t="s">
        <v>149</v>
      </c>
      <c r="K4" s="153" t="s">
        <v>149</v>
      </c>
      <c r="L4" s="153" t="s">
        <v>150</v>
      </c>
      <c r="M4" s="153" t="s">
        <v>150</v>
      </c>
      <c r="N4" s="153" t="s">
        <v>516</v>
      </c>
      <c r="O4" s="153" t="s">
        <v>516</v>
      </c>
      <c r="P4" s="153" t="s">
        <v>516</v>
      </c>
      <c r="Q4" s="153" t="s">
        <v>516</v>
      </c>
      <c r="R4" s="116" t="s">
        <v>149</v>
      </c>
      <c r="S4" s="153" t="s">
        <v>516</v>
      </c>
      <c r="T4" s="153" t="s">
        <v>516</v>
      </c>
      <c r="U4" s="153" t="s">
        <v>516</v>
      </c>
      <c r="V4" s="153" t="s">
        <v>516</v>
      </c>
      <c r="W4" s="144" t="s">
        <v>753</v>
      </c>
      <c r="X4" s="157" t="s">
        <v>283</v>
      </c>
      <c r="Y4" s="157" t="s">
        <v>283</v>
      </c>
      <c r="Z4" s="157" t="s">
        <v>283</v>
      </c>
      <c r="AA4" s="157" t="s">
        <v>283</v>
      </c>
      <c r="AB4" s="144" t="s">
        <v>753</v>
      </c>
      <c r="AC4" s="157" t="s">
        <v>287</v>
      </c>
      <c r="AD4" s="157" t="s">
        <v>287</v>
      </c>
      <c r="AE4" s="157" t="s">
        <v>287</v>
      </c>
      <c r="AF4" s="157" t="s">
        <v>287</v>
      </c>
      <c r="AG4" s="157" t="s">
        <v>287</v>
      </c>
      <c r="AH4" s="144" t="s">
        <v>753</v>
      </c>
      <c r="AI4" s="144" t="s">
        <v>753</v>
      </c>
      <c r="AJ4" s="144" t="s">
        <v>753</v>
      </c>
      <c r="AK4" s="144" t="s">
        <v>516</v>
      </c>
    </row>
    <row r="5" spans="1:37" ht="27" hidden="1" customHeight="1" x14ac:dyDescent="0.25">
      <c r="A5" s="110" t="s">
        <v>395</v>
      </c>
      <c r="B5" s="158"/>
      <c r="C5" s="154" t="s">
        <v>160</v>
      </c>
      <c r="D5" s="116" t="s">
        <v>172</v>
      </c>
      <c r="E5" s="116"/>
      <c r="F5" s="116" t="s">
        <v>175</v>
      </c>
      <c r="G5" s="154" t="s">
        <v>176</v>
      </c>
      <c r="H5" s="154" t="s">
        <v>177</v>
      </c>
      <c r="I5" s="154" t="s">
        <v>514</v>
      </c>
      <c r="J5" s="154" t="s">
        <v>515</v>
      </c>
      <c r="K5" s="116" t="s">
        <v>161</v>
      </c>
      <c r="L5" s="154" t="s">
        <v>180</v>
      </c>
      <c r="M5" s="154" t="s">
        <v>181</v>
      </c>
      <c r="N5" s="154" t="s">
        <v>564</v>
      </c>
      <c r="O5" s="154" t="s">
        <v>565</v>
      </c>
      <c r="P5" s="154" t="s">
        <v>136</v>
      </c>
      <c r="Q5" s="154" t="s">
        <v>191</v>
      </c>
      <c r="R5" s="116" t="s">
        <v>517</v>
      </c>
      <c r="S5" s="154" t="s">
        <v>179</v>
      </c>
      <c r="T5" s="115" t="s">
        <v>572</v>
      </c>
      <c r="U5" s="115" t="s">
        <v>573</v>
      </c>
      <c r="V5" s="115" t="s">
        <v>702</v>
      </c>
      <c r="W5" s="122"/>
      <c r="X5" s="153" t="s">
        <v>285</v>
      </c>
      <c r="Y5" s="153" t="s">
        <v>286</v>
      </c>
      <c r="Z5" s="153" t="s">
        <v>284</v>
      </c>
      <c r="AA5" s="153" t="s">
        <v>131</v>
      </c>
      <c r="AB5" s="122"/>
      <c r="AC5" s="153" t="s">
        <v>288</v>
      </c>
      <c r="AD5" s="115" t="s">
        <v>289</v>
      </c>
      <c r="AE5" s="115" t="s">
        <v>290</v>
      </c>
      <c r="AF5" s="115" t="s">
        <v>132</v>
      </c>
      <c r="AG5" s="115" t="s">
        <v>133</v>
      </c>
      <c r="AH5" s="115"/>
      <c r="AI5" s="115"/>
      <c r="AJ5" s="115"/>
      <c r="AK5" s="115" t="s">
        <v>876</v>
      </c>
    </row>
    <row r="6" spans="1:37" ht="27" hidden="1" customHeight="1" x14ac:dyDescent="0.25">
      <c r="A6" s="110" t="s">
        <v>166</v>
      </c>
      <c r="B6" s="112"/>
      <c r="C6" s="115" t="s">
        <v>134</v>
      </c>
      <c r="D6" s="115" t="s">
        <v>134</v>
      </c>
      <c r="E6" s="115" t="s">
        <v>170</v>
      </c>
      <c r="F6" s="115" t="s">
        <v>134</v>
      </c>
      <c r="G6" s="115" t="s">
        <v>134</v>
      </c>
      <c r="H6" s="115" t="s">
        <v>134</v>
      </c>
      <c r="I6" s="115" t="s">
        <v>134</v>
      </c>
      <c r="J6" s="115" t="s">
        <v>134</v>
      </c>
      <c r="K6" s="115" t="s">
        <v>134</v>
      </c>
      <c r="L6" s="115" t="s">
        <v>134</v>
      </c>
      <c r="M6" s="115" t="s">
        <v>134</v>
      </c>
      <c r="N6" s="115" t="s">
        <v>134</v>
      </c>
      <c r="O6" s="115" t="s">
        <v>134</v>
      </c>
      <c r="P6" s="154" t="s">
        <v>134</v>
      </c>
      <c r="Q6" s="154" t="s">
        <v>134</v>
      </c>
      <c r="R6" s="154" t="s">
        <v>178</v>
      </c>
      <c r="S6" s="115" t="s">
        <v>134</v>
      </c>
      <c r="T6" s="154" t="s">
        <v>597</v>
      </c>
      <c r="U6" s="115" t="s">
        <v>134</v>
      </c>
      <c r="V6" s="115" t="s">
        <v>134</v>
      </c>
      <c r="W6" s="115" t="s">
        <v>178</v>
      </c>
      <c r="X6" s="122" t="s">
        <v>183</v>
      </c>
      <c r="Y6" s="122" t="s">
        <v>183</v>
      </c>
      <c r="Z6" s="122" t="s">
        <v>183</v>
      </c>
      <c r="AA6" s="122" t="s">
        <v>183</v>
      </c>
      <c r="AB6" s="115" t="s">
        <v>178</v>
      </c>
      <c r="AC6" s="122" t="s">
        <v>183</v>
      </c>
      <c r="AD6" s="122" t="s">
        <v>183</v>
      </c>
      <c r="AE6" s="122" t="s">
        <v>183</v>
      </c>
      <c r="AF6" s="122" t="s">
        <v>183</v>
      </c>
      <c r="AG6" s="122" t="s">
        <v>183</v>
      </c>
      <c r="AH6" s="115" t="s">
        <v>178</v>
      </c>
      <c r="AI6" s="115" t="s">
        <v>178</v>
      </c>
      <c r="AJ6" s="122" t="s">
        <v>183</v>
      </c>
      <c r="AK6" s="122" t="s">
        <v>134</v>
      </c>
    </row>
    <row r="7" spans="1:37" ht="27" hidden="1" customHeight="1" x14ac:dyDescent="0.25">
      <c r="A7" s="110" t="s">
        <v>167</v>
      </c>
      <c r="B7" s="112"/>
      <c r="C7" s="115" t="s">
        <v>169</v>
      </c>
      <c r="D7" s="115" t="s">
        <v>169</v>
      </c>
      <c r="E7" s="115" t="s">
        <v>171</v>
      </c>
      <c r="F7" s="115" t="s">
        <v>173</v>
      </c>
      <c r="G7" s="115" t="s">
        <v>173</v>
      </c>
      <c r="H7" s="115" t="s">
        <v>173</v>
      </c>
      <c r="I7" s="115" t="s">
        <v>173</v>
      </c>
      <c r="J7" s="115" t="s">
        <v>173</v>
      </c>
      <c r="K7" s="115" t="s">
        <v>169</v>
      </c>
      <c r="L7" s="115" t="s">
        <v>173</v>
      </c>
      <c r="M7" s="115" t="s">
        <v>173</v>
      </c>
      <c r="N7" s="115" t="s">
        <v>169</v>
      </c>
      <c r="O7" s="115" t="s">
        <v>169</v>
      </c>
      <c r="P7" s="154" t="s">
        <v>185</v>
      </c>
      <c r="Q7" s="154" t="s">
        <v>185</v>
      </c>
      <c r="R7" s="154" t="s">
        <v>171</v>
      </c>
      <c r="S7" s="115" t="s">
        <v>173</v>
      </c>
      <c r="T7" s="154" t="s">
        <v>171</v>
      </c>
      <c r="U7" s="115" t="s">
        <v>169</v>
      </c>
      <c r="V7" s="115" t="s">
        <v>169</v>
      </c>
      <c r="W7" s="115" t="s">
        <v>171</v>
      </c>
      <c r="X7" s="122" t="s">
        <v>183</v>
      </c>
      <c r="Y7" s="122" t="s">
        <v>183</v>
      </c>
      <c r="Z7" s="122" t="s">
        <v>183</v>
      </c>
      <c r="AA7" s="122" t="s">
        <v>183</v>
      </c>
      <c r="AB7" s="115" t="s">
        <v>171</v>
      </c>
      <c r="AC7" s="122" t="s">
        <v>183</v>
      </c>
      <c r="AD7" s="122" t="s">
        <v>183</v>
      </c>
      <c r="AE7" s="122" t="s">
        <v>183</v>
      </c>
      <c r="AF7" s="122" t="s">
        <v>183</v>
      </c>
      <c r="AG7" s="122" t="s">
        <v>183</v>
      </c>
      <c r="AH7" s="115" t="s">
        <v>171</v>
      </c>
      <c r="AI7" s="115" t="s">
        <v>171</v>
      </c>
      <c r="AJ7" s="122" t="s">
        <v>183</v>
      </c>
      <c r="AK7" s="122" t="s">
        <v>169</v>
      </c>
    </row>
    <row r="8" spans="1:37" ht="27" hidden="1" customHeight="1" x14ac:dyDescent="0.25">
      <c r="A8" s="110" t="s">
        <v>168</v>
      </c>
      <c r="B8" s="112"/>
      <c r="C8" s="115">
        <v>150</v>
      </c>
      <c r="D8" s="115">
        <v>20</v>
      </c>
      <c r="E8" s="115" t="s">
        <v>134</v>
      </c>
      <c r="F8" s="115" t="s">
        <v>174</v>
      </c>
      <c r="G8" s="115" t="s">
        <v>174</v>
      </c>
      <c r="H8" s="115" t="s">
        <v>174</v>
      </c>
      <c r="I8" s="115" t="s">
        <v>174</v>
      </c>
      <c r="J8" s="115" t="s">
        <v>174</v>
      </c>
      <c r="K8" s="115">
        <v>1500</v>
      </c>
      <c r="L8" s="115" t="s">
        <v>174</v>
      </c>
      <c r="M8" s="115" t="s">
        <v>174</v>
      </c>
      <c r="N8" s="115">
        <v>250</v>
      </c>
      <c r="O8" s="115">
        <v>250</v>
      </c>
      <c r="P8" s="154">
        <v>10</v>
      </c>
      <c r="Q8" s="154">
        <v>10</v>
      </c>
      <c r="R8" s="154" t="s">
        <v>134</v>
      </c>
      <c r="S8" s="115" t="s">
        <v>174</v>
      </c>
      <c r="T8" s="154" t="s">
        <v>134</v>
      </c>
      <c r="U8" s="115">
        <v>255</v>
      </c>
      <c r="V8" s="115">
        <v>1500</v>
      </c>
      <c r="W8" s="115" t="s">
        <v>134</v>
      </c>
      <c r="X8" s="122" t="s">
        <v>183</v>
      </c>
      <c r="Y8" s="122" t="s">
        <v>183</v>
      </c>
      <c r="Z8" s="122" t="s">
        <v>183</v>
      </c>
      <c r="AA8" s="122" t="s">
        <v>183</v>
      </c>
      <c r="AB8" s="115" t="s">
        <v>134</v>
      </c>
      <c r="AC8" s="122" t="s">
        <v>183</v>
      </c>
      <c r="AD8" s="122" t="s">
        <v>183</v>
      </c>
      <c r="AE8" s="122" t="s">
        <v>183</v>
      </c>
      <c r="AF8" s="122" t="s">
        <v>183</v>
      </c>
      <c r="AG8" s="122" t="s">
        <v>183</v>
      </c>
      <c r="AH8" s="115" t="s">
        <v>134</v>
      </c>
      <c r="AI8" s="115" t="s">
        <v>134</v>
      </c>
      <c r="AJ8" s="122" t="s">
        <v>183</v>
      </c>
      <c r="AK8" s="122">
        <v>255</v>
      </c>
    </row>
    <row r="9" spans="1:37" ht="27" hidden="1" customHeight="1" x14ac:dyDescent="0.25">
      <c r="A9" s="110" t="s">
        <v>396</v>
      </c>
      <c r="B9" s="113"/>
      <c r="C9" s="115"/>
      <c r="D9" s="115"/>
      <c r="E9" s="115"/>
      <c r="F9" s="115"/>
      <c r="G9" s="115"/>
      <c r="H9" s="115"/>
      <c r="I9" s="153"/>
      <c r="J9" s="153"/>
      <c r="K9" s="115"/>
      <c r="L9" s="115"/>
      <c r="M9" s="115"/>
      <c r="N9" s="115"/>
      <c r="O9" s="115"/>
      <c r="P9" s="144"/>
      <c r="Q9" s="159"/>
      <c r="R9" s="116"/>
      <c r="S9" s="153" t="s">
        <v>714</v>
      </c>
      <c r="T9" s="153" t="s">
        <v>714</v>
      </c>
      <c r="U9" s="153" t="s">
        <v>715</v>
      </c>
      <c r="V9" s="153" t="s">
        <v>716</v>
      </c>
      <c r="W9" s="144" t="s">
        <v>704</v>
      </c>
      <c r="X9" s="144" t="s">
        <v>717</v>
      </c>
      <c r="Y9" s="144" t="s">
        <v>717</v>
      </c>
      <c r="Z9" s="144" t="s">
        <v>717</v>
      </c>
      <c r="AA9" s="144" t="s">
        <v>717</v>
      </c>
      <c r="AB9" s="144" t="s">
        <v>704</v>
      </c>
      <c r="AC9" s="144" t="s">
        <v>718</v>
      </c>
      <c r="AD9" s="144" t="s">
        <v>718</v>
      </c>
      <c r="AE9" s="144" t="s">
        <v>718</v>
      </c>
      <c r="AF9" s="144" t="s">
        <v>718</v>
      </c>
      <c r="AG9" s="144" t="s">
        <v>718</v>
      </c>
      <c r="AH9" s="144" t="s">
        <v>704</v>
      </c>
      <c r="AI9" s="144" t="s">
        <v>704</v>
      </c>
      <c r="AJ9" s="144" t="s">
        <v>719</v>
      </c>
      <c r="AK9" s="144" t="s">
        <v>877</v>
      </c>
    </row>
    <row r="10" spans="1:37" ht="35.15" hidden="1" customHeight="1" x14ac:dyDescent="0.25">
      <c r="A10" s="86" t="s">
        <v>752</v>
      </c>
      <c r="B10" s="96"/>
      <c r="C10" s="87" t="s">
        <v>755</v>
      </c>
      <c r="D10" s="87" t="s">
        <v>756</v>
      </c>
      <c r="E10" s="87" t="s">
        <v>757</v>
      </c>
      <c r="F10" s="87" t="s">
        <v>758</v>
      </c>
      <c r="G10" s="87" t="s">
        <v>759</v>
      </c>
      <c r="H10" s="88" t="s">
        <v>806</v>
      </c>
      <c r="I10" s="88" t="s">
        <v>805</v>
      </c>
      <c r="J10" s="88" t="s">
        <v>831</v>
      </c>
      <c r="K10" s="87" t="s">
        <v>760</v>
      </c>
      <c r="L10" s="87" t="s">
        <v>761</v>
      </c>
      <c r="M10" s="87" t="s">
        <v>762</v>
      </c>
      <c r="N10" s="88"/>
      <c r="O10" s="88"/>
      <c r="P10" s="98"/>
      <c r="Q10" s="99"/>
      <c r="R10" s="89"/>
      <c r="S10" s="87"/>
      <c r="T10" s="87"/>
      <c r="U10" s="87"/>
      <c r="V10" s="87"/>
      <c r="W10" s="90" t="s">
        <v>1002</v>
      </c>
      <c r="X10" s="90"/>
      <c r="Y10" s="90"/>
      <c r="Z10" s="90"/>
      <c r="AA10" s="90"/>
      <c r="AB10" s="90"/>
      <c r="AC10" s="90"/>
      <c r="AD10" s="90"/>
      <c r="AE10" s="90"/>
      <c r="AF10" s="90"/>
      <c r="AG10" s="90"/>
      <c r="AH10" s="90"/>
      <c r="AI10" s="90"/>
      <c r="AJ10" s="90"/>
      <c r="AK10" s="90"/>
    </row>
    <row r="11" spans="1:37" ht="14" x14ac:dyDescent="0.3">
      <c r="A11" s="76"/>
      <c r="B11" s="76"/>
      <c r="C11" s="69">
        <f>Cover!$C$2</f>
        <v>0</v>
      </c>
      <c r="D11" s="77"/>
      <c r="E11" s="77"/>
      <c r="F11" s="77"/>
      <c r="G11" s="77"/>
      <c r="H11" s="77"/>
      <c r="I11" s="71"/>
      <c r="J11" s="71"/>
      <c r="K11" s="77"/>
      <c r="L11" s="77"/>
      <c r="M11" s="77"/>
      <c r="N11" s="78"/>
      <c r="O11" s="78"/>
      <c r="P11" s="79"/>
      <c r="Q11" s="80"/>
      <c r="R11" s="68"/>
      <c r="S11" s="68"/>
      <c r="T11" s="68"/>
      <c r="U11" s="68"/>
      <c r="V11" s="68"/>
      <c r="W11" s="72"/>
      <c r="X11" s="73"/>
      <c r="Y11" s="73"/>
      <c r="Z11" s="73"/>
      <c r="AA11" s="73"/>
      <c r="AB11" s="72"/>
      <c r="AC11" s="73"/>
      <c r="AD11" s="73"/>
      <c r="AE11" s="73"/>
      <c r="AF11" s="73"/>
      <c r="AG11" s="73"/>
      <c r="AH11" s="72"/>
      <c r="AI11" s="72"/>
      <c r="AJ11" s="72"/>
      <c r="AK11" s="216"/>
    </row>
    <row r="12" spans="1:37" ht="195" x14ac:dyDescent="0.3">
      <c r="A12" s="229" t="s">
        <v>164</v>
      </c>
      <c r="B12" s="227"/>
      <c r="C12" s="232" t="s">
        <v>7</v>
      </c>
      <c r="D12" s="232" t="s">
        <v>152</v>
      </c>
      <c r="E12" s="232" t="s">
        <v>153</v>
      </c>
      <c r="F12" s="232" t="s">
        <v>154</v>
      </c>
      <c r="G12" s="232" t="s">
        <v>676</v>
      </c>
      <c r="H12" s="232" t="s">
        <v>677</v>
      </c>
      <c r="I12" s="232" t="s">
        <v>510</v>
      </c>
      <c r="J12" s="232" t="s">
        <v>511</v>
      </c>
      <c r="K12" s="232" t="s">
        <v>157</v>
      </c>
      <c r="L12" s="308" t="s">
        <v>158</v>
      </c>
      <c r="M12" s="308" t="s">
        <v>159</v>
      </c>
      <c r="N12" s="232" t="s">
        <v>445</v>
      </c>
      <c r="O12" s="232" t="s">
        <v>446</v>
      </c>
      <c r="P12" s="232" t="s">
        <v>499</v>
      </c>
      <c r="Q12" s="232" t="s">
        <v>190</v>
      </c>
      <c r="R12" s="232" t="s">
        <v>155</v>
      </c>
      <c r="S12" s="232" t="s">
        <v>156</v>
      </c>
      <c r="T12" s="232" t="s">
        <v>569</v>
      </c>
      <c r="U12" s="232" t="s">
        <v>570</v>
      </c>
      <c r="V12" s="232" t="s">
        <v>571</v>
      </c>
      <c r="W12" s="232" t="s">
        <v>379</v>
      </c>
      <c r="X12" s="232" t="s">
        <v>381</v>
      </c>
      <c r="Y12" s="232" t="s">
        <v>380</v>
      </c>
      <c r="Z12" s="232" t="s">
        <v>384</v>
      </c>
      <c r="AA12" s="232" t="s">
        <v>382</v>
      </c>
      <c r="AB12" s="232" t="s">
        <v>383</v>
      </c>
      <c r="AC12" s="232" t="s">
        <v>385</v>
      </c>
      <c r="AD12" s="232" t="s">
        <v>386</v>
      </c>
      <c r="AE12" s="232" t="s">
        <v>387</v>
      </c>
      <c r="AF12" s="232" t="s">
        <v>388</v>
      </c>
      <c r="AG12" s="232" t="s">
        <v>389</v>
      </c>
      <c r="AH12" s="232" t="s">
        <v>390</v>
      </c>
      <c r="AI12" s="232" t="s">
        <v>392</v>
      </c>
      <c r="AJ12" s="309" t="s">
        <v>391</v>
      </c>
      <c r="AK12" s="232" t="s">
        <v>876</v>
      </c>
    </row>
    <row r="13" spans="1:37" s="164" customFormat="1" ht="12.75" customHeight="1" x14ac:dyDescent="0.25">
      <c r="A13" s="238" t="s">
        <v>165</v>
      </c>
      <c r="B13" s="251"/>
      <c r="C13" s="252"/>
      <c r="D13" s="252"/>
      <c r="E13" s="252"/>
      <c r="F13" s="248"/>
      <c r="G13" s="248"/>
      <c r="H13" s="248"/>
      <c r="I13" s="248"/>
      <c r="J13" s="248"/>
      <c r="K13" s="252"/>
      <c r="L13" s="248"/>
      <c r="M13" s="248"/>
      <c r="N13" s="237"/>
      <c r="O13" s="237"/>
      <c r="P13" s="237"/>
      <c r="Q13" s="237"/>
      <c r="R13" s="244"/>
      <c r="S13" s="253"/>
      <c r="T13" s="247"/>
      <c r="U13" s="247"/>
      <c r="V13" s="247"/>
      <c r="W13" s="244"/>
      <c r="X13" s="247"/>
      <c r="Y13" s="247"/>
      <c r="Z13" s="247"/>
      <c r="AA13" s="247"/>
      <c r="AB13" s="244"/>
      <c r="AC13" s="247"/>
      <c r="AD13" s="247"/>
      <c r="AE13" s="247"/>
      <c r="AF13" s="247"/>
      <c r="AG13" s="247"/>
      <c r="AH13" s="244"/>
      <c r="AI13" s="244"/>
      <c r="AJ13" s="247"/>
      <c r="AK13" s="244"/>
    </row>
    <row r="14" spans="1:37" s="164" customFormat="1" ht="12.75" customHeight="1" x14ac:dyDescent="0.25">
      <c r="A14" s="238"/>
      <c r="B14" s="251"/>
      <c r="C14" s="252"/>
      <c r="D14" s="252"/>
      <c r="E14" s="252"/>
      <c r="F14" s="248"/>
      <c r="G14" s="248"/>
      <c r="H14" s="248"/>
      <c r="I14" s="248"/>
      <c r="J14" s="248"/>
      <c r="K14" s="252"/>
      <c r="L14" s="248"/>
      <c r="M14" s="248"/>
      <c r="N14" s="237"/>
      <c r="O14" s="237"/>
      <c r="P14" s="237"/>
      <c r="Q14" s="237"/>
      <c r="R14" s="244"/>
      <c r="S14" s="253"/>
      <c r="T14" s="247"/>
      <c r="U14" s="247"/>
      <c r="V14" s="247"/>
      <c r="W14" s="244"/>
      <c r="X14" s="247"/>
      <c r="Y14" s="247"/>
      <c r="Z14" s="247"/>
      <c r="AA14" s="247"/>
      <c r="AB14" s="244"/>
      <c r="AC14" s="247"/>
      <c r="AD14" s="247"/>
      <c r="AE14" s="247"/>
      <c r="AF14" s="247"/>
      <c r="AG14" s="247"/>
      <c r="AH14" s="244"/>
      <c r="AI14" s="244"/>
      <c r="AJ14" s="247"/>
      <c r="AK14" s="252"/>
    </row>
    <row r="15" spans="1:37" s="164" customFormat="1" ht="12.75" customHeight="1" x14ac:dyDescent="0.25">
      <c r="A15" s="238"/>
      <c r="B15" s="251"/>
      <c r="C15" s="252"/>
      <c r="D15" s="252"/>
      <c r="E15" s="252"/>
      <c r="F15" s="248"/>
      <c r="G15" s="248"/>
      <c r="H15" s="248"/>
      <c r="I15" s="248"/>
      <c r="J15" s="248"/>
      <c r="K15" s="252"/>
      <c r="L15" s="248"/>
      <c r="M15" s="248"/>
      <c r="N15" s="237"/>
      <c r="O15" s="237"/>
      <c r="P15" s="237"/>
      <c r="Q15" s="237"/>
      <c r="R15" s="244"/>
      <c r="S15" s="253"/>
      <c r="T15" s="247"/>
      <c r="U15" s="247"/>
      <c r="V15" s="247"/>
      <c r="W15" s="244"/>
      <c r="X15" s="247"/>
      <c r="Y15" s="247"/>
      <c r="Z15" s="247"/>
      <c r="AA15" s="247"/>
      <c r="AB15" s="244"/>
      <c r="AC15" s="247"/>
      <c r="AD15" s="247"/>
      <c r="AE15" s="247"/>
      <c r="AF15" s="247"/>
      <c r="AG15" s="247"/>
      <c r="AH15" s="244"/>
      <c r="AI15" s="244"/>
      <c r="AJ15" s="247"/>
      <c r="AK15" s="252"/>
    </row>
    <row r="16" spans="1:37" s="164" customFormat="1" ht="12.75" customHeight="1" x14ac:dyDescent="0.25">
      <c r="A16" s="238"/>
      <c r="B16" s="251"/>
      <c r="C16" s="252"/>
      <c r="D16" s="252"/>
      <c r="E16" s="252"/>
      <c r="F16" s="248"/>
      <c r="G16" s="248"/>
      <c r="H16" s="248"/>
      <c r="I16" s="248"/>
      <c r="J16" s="248"/>
      <c r="K16" s="252"/>
      <c r="L16" s="248"/>
      <c r="M16" s="248"/>
      <c r="N16" s="237"/>
      <c r="O16" s="237"/>
      <c r="P16" s="237"/>
      <c r="Q16" s="237"/>
      <c r="R16" s="244"/>
      <c r="S16" s="253"/>
      <c r="T16" s="247"/>
      <c r="U16" s="247"/>
      <c r="V16" s="247"/>
      <c r="W16" s="244"/>
      <c r="X16" s="247"/>
      <c r="Y16" s="247"/>
      <c r="Z16" s="247"/>
      <c r="AA16" s="247"/>
      <c r="AB16" s="244"/>
      <c r="AC16" s="247"/>
      <c r="AD16" s="247"/>
      <c r="AE16" s="247"/>
      <c r="AF16" s="247"/>
      <c r="AG16" s="247"/>
      <c r="AH16" s="244"/>
      <c r="AI16" s="244"/>
      <c r="AJ16" s="247"/>
      <c r="AK16" s="252"/>
    </row>
    <row r="17" spans="1:37" s="164" customFormat="1" ht="12.75" customHeight="1" x14ac:dyDescent="0.25">
      <c r="A17" s="238"/>
      <c r="B17" s="251"/>
      <c r="C17" s="252"/>
      <c r="D17" s="252"/>
      <c r="E17" s="252"/>
      <c r="F17" s="248"/>
      <c r="G17" s="248"/>
      <c r="H17" s="248"/>
      <c r="I17" s="248"/>
      <c r="J17" s="248"/>
      <c r="K17" s="252"/>
      <c r="L17" s="248"/>
      <c r="M17" s="248"/>
      <c r="N17" s="237"/>
      <c r="O17" s="237"/>
      <c r="P17" s="237"/>
      <c r="Q17" s="237"/>
      <c r="R17" s="244"/>
      <c r="S17" s="253"/>
      <c r="T17" s="247"/>
      <c r="U17" s="247"/>
      <c r="V17" s="247"/>
      <c r="W17" s="244"/>
      <c r="X17" s="247"/>
      <c r="Y17" s="247"/>
      <c r="Z17" s="247"/>
      <c r="AA17" s="247"/>
      <c r="AB17" s="244"/>
      <c r="AC17" s="247"/>
      <c r="AD17" s="247"/>
      <c r="AE17" s="247"/>
      <c r="AF17" s="247"/>
      <c r="AG17" s="247"/>
      <c r="AH17" s="244"/>
      <c r="AI17" s="244"/>
      <c r="AJ17" s="247"/>
      <c r="AK17" s="252"/>
    </row>
    <row r="18" spans="1:37" s="164" customFormat="1" ht="12.75" customHeight="1" x14ac:dyDescent="0.25">
      <c r="A18" s="238"/>
      <c r="B18" s="251"/>
      <c r="C18" s="237"/>
      <c r="D18" s="237"/>
      <c r="E18" s="252"/>
      <c r="F18" s="248"/>
      <c r="G18" s="248"/>
      <c r="H18" s="248"/>
      <c r="I18" s="248"/>
      <c r="J18" s="248"/>
      <c r="K18" s="237"/>
      <c r="L18" s="246"/>
      <c r="M18" s="246"/>
      <c r="N18" s="237"/>
      <c r="O18" s="237"/>
      <c r="P18" s="237"/>
      <c r="Q18" s="237"/>
      <c r="R18" s="244"/>
      <c r="S18" s="253"/>
      <c r="T18" s="247"/>
      <c r="U18" s="247"/>
      <c r="V18" s="247"/>
      <c r="W18" s="244"/>
      <c r="X18" s="247"/>
      <c r="Y18" s="247"/>
      <c r="Z18" s="247"/>
      <c r="AA18" s="247"/>
      <c r="AB18" s="244"/>
      <c r="AC18" s="247"/>
      <c r="AD18" s="247"/>
      <c r="AE18" s="247"/>
      <c r="AF18" s="247"/>
      <c r="AG18" s="247"/>
      <c r="AH18" s="244"/>
      <c r="AI18" s="244"/>
      <c r="AJ18" s="247"/>
      <c r="AK18" s="252"/>
    </row>
    <row r="19" spans="1:37" s="164" customFormat="1" ht="12.75" customHeight="1" x14ac:dyDescent="0.25">
      <c r="A19" s="238"/>
      <c r="B19" s="251"/>
      <c r="C19" s="237"/>
      <c r="D19" s="237"/>
      <c r="E19" s="252"/>
      <c r="F19" s="248"/>
      <c r="G19" s="248"/>
      <c r="H19" s="248"/>
      <c r="I19" s="248"/>
      <c r="J19" s="248"/>
      <c r="K19" s="237"/>
      <c r="L19" s="246"/>
      <c r="M19" s="246"/>
      <c r="N19" s="237"/>
      <c r="O19" s="237"/>
      <c r="P19" s="237"/>
      <c r="Q19" s="237"/>
      <c r="R19" s="244"/>
      <c r="S19" s="253"/>
      <c r="T19" s="247"/>
      <c r="U19" s="247"/>
      <c r="V19" s="247"/>
      <c r="W19" s="244"/>
      <c r="X19" s="247"/>
      <c r="Y19" s="247"/>
      <c r="Z19" s="247"/>
      <c r="AA19" s="247"/>
      <c r="AB19" s="244"/>
      <c r="AC19" s="247"/>
      <c r="AD19" s="247"/>
      <c r="AE19" s="247"/>
      <c r="AF19" s="247"/>
      <c r="AG19" s="247"/>
      <c r="AH19" s="244"/>
      <c r="AI19" s="244"/>
      <c r="AJ19" s="247"/>
      <c r="AK19" s="252"/>
    </row>
    <row r="20" spans="1:37" s="164" customFormat="1" ht="12.75" customHeight="1" x14ac:dyDescent="0.25">
      <c r="A20" s="238"/>
      <c r="B20" s="251"/>
      <c r="C20" s="237"/>
      <c r="D20" s="237"/>
      <c r="E20" s="252"/>
      <c r="F20" s="248"/>
      <c r="G20" s="248"/>
      <c r="H20" s="248"/>
      <c r="I20" s="248"/>
      <c r="J20" s="248"/>
      <c r="K20" s="237"/>
      <c r="L20" s="246"/>
      <c r="M20" s="246"/>
      <c r="N20" s="237"/>
      <c r="O20" s="237"/>
      <c r="P20" s="237"/>
      <c r="Q20" s="237"/>
      <c r="R20" s="244"/>
      <c r="S20" s="253"/>
      <c r="T20" s="247"/>
      <c r="U20" s="247"/>
      <c r="V20" s="247"/>
      <c r="W20" s="244"/>
      <c r="X20" s="247"/>
      <c r="Y20" s="247"/>
      <c r="Z20" s="247"/>
      <c r="AA20" s="247"/>
      <c r="AB20" s="244"/>
      <c r="AC20" s="247"/>
      <c r="AD20" s="247"/>
      <c r="AE20" s="247"/>
      <c r="AF20" s="247"/>
      <c r="AG20" s="247"/>
      <c r="AH20" s="244"/>
      <c r="AI20" s="244"/>
      <c r="AJ20" s="247"/>
      <c r="AK20" s="252"/>
    </row>
    <row r="21" spans="1:37" s="164" customFormat="1" ht="12.75" customHeight="1" x14ac:dyDescent="0.25">
      <c r="A21" s="238"/>
      <c r="B21" s="251"/>
      <c r="C21" s="237"/>
      <c r="D21" s="237"/>
      <c r="E21" s="252"/>
      <c r="F21" s="248"/>
      <c r="G21" s="248"/>
      <c r="H21" s="248"/>
      <c r="I21" s="248"/>
      <c r="J21" s="248"/>
      <c r="K21" s="237"/>
      <c r="L21" s="246"/>
      <c r="M21" s="246"/>
      <c r="N21" s="237"/>
      <c r="O21" s="237"/>
      <c r="P21" s="237"/>
      <c r="Q21" s="237"/>
      <c r="R21" s="244"/>
      <c r="S21" s="253"/>
      <c r="T21" s="247"/>
      <c r="U21" s="247"/>
      <c r="V21" s="247"/>
      <c r="W21" s="244"/>
      <c r="X21" s="247"/>
      <c r="Y21" s="247"/>
      <c r="Z21" s="247"/>
      <c r="AA21" s="247"/>
      <c r="AB21" s="244"/>
      <c r="AC21" s="247"/>
      <c r="AD21" s="247"/>
      <c r="AE21" s="247"/>
      <c r="AF21" s="247"/>
      <c r="AG21" s="247"/>
      <c r="AH21" s="244"/>
      <c r="AI21" s="244"/>
      <c r="AJ21" s="247"/>
      <c r="AK21" s="252"/>
    </row>
    <row r="22" spans="1:37" s="164" customFormat="1" ht="12.75" customHeight="1" x14ac:dyDescent="0.25">
      <c r="A22" s="238"/>
      <c r="B22" s="251"/>
      <c r="C22" s="237"/>
      <c r="D22" s="237"/>
      <c r="E22" s="252"/>
      <c r="F22" s="248"/>
      <c r="G22" s="248"/>
      <c r="H22" s="248"/>
      <c r="I22" s="248"/>
      <c r="J22" s="248"/>
      <c r="K22" s="237"/>
      <c r="L22" s="246"/>
      <c r="M22" s="246"/>
      <c r="N22" s="237"/>
      <c r="O22" s="237"/>
      <c r="P22" s="237"/>
      <c r="Q22" s="237"/>
      <c r="R22" s="244"/>
      <c r="S22" s="253"/>
      <c r="T22" s="247"/>
      <c r="U22" s="247"/>
      <c r="V22" s="247"/>
      <c r="W22" s="244"/>
      <c r="X22" s="247"/>
      <c r="Y22" s="247"/>
      <c r="Z22" s="247"/>
      <c r="AA22" s="247"/>
      <c r="AB22" s="244"/>
      <c r="AC22" s="247"/>
      <c r="AD22" s="247"/>
      <c r="AE22" s="247"/>
      <c r="AF22" s="247"/>
      <c r="AG22" s="247"/>
      <c r="AH22" s="244"/>
      <c r="AI22" s="244"/>
      <c r="AJ22" s="247"/>
      <c r="AK22" s="252"/>
    </row>
    <row r="23" spans="1:37" s="164" customFormat="1" ht="12.75" customHeight="1" x14ac:dyDescent="0.25">
      <c r="A23" s="238"/>
      <c r="B23" s="251"/>
      <c r="C23" s="237"/>
      <c r="D23" s="237"/>
      <c r="E23" s="252"/>
      <c r="F23" s="248"/>
      <c r="G23" s="248"/>
      <c r="H23" s="248"/>
      <c r="I23" s="248"/>
      <c r="J23" s="248"/>
      <c r="K23" s="237"/>
      <c r="L23" s="246"/>
      <c r="M23" s="246"/>
      <c r="N23" s="237"/>
      <c r="O23" s="237"/>
      <c r="P23" s="237"/>
      <c r="Q23" s="237"/>
      <c r="R23" s="244"/>
      <c r="S23" s="253"/>
      <c r="T23" s="247"/>
      <c r="U23" s="247"/>
      <c r="V23" s="247"/>
      <c r="W23" s="244"/>
      <c r="X23" s="247"/>
      <c r="Y23" s="247"/>
      <c r="Z23" s="247"/>
      <c r="AA23" s="247"/>
      <c r="AB23" s="244"/>
      <c r="AC23" s="247"/>
      <c r="AD23" s="247"/>
      <c r="AE23" s="247"/>
      <c r="AF23" s="247"/>
      <c r="AG23" s="247"/>
      <c r="AH23" s="244"/>
      <c r="AI23" s="244"/>
      <c r="AJ23" s="247"/>
      <c r="AK23" s="252"/>
    </row>
    <row r="24" spans="1:37" s="164" customFormat="1" ht="12.75" customHeight="1" x14ac:dyDescent="0.25">
      <c r="A24" s="238"/>
      <c r="B24" s="251"/>
      <c r="C24" s="237"/>
      <c r="D24" s="237"/>
      <c r="E24" s="252"/>
      <c r="F24" s="248"/>
      <c r="G24" s="248"/>
      <c r="H24" s="248"/>
      <c r="I24" s="248"/>
      <c r="J24" s="248"/>
      <c r="K24" s="237"/>
      <c r="L24" s="246"/>
      <c r="M24" s="246"/>
      <c r="N24" s="237"/>
      <c r="O24" s="237"/>
      <c r="P24" s="237"/>
      <c r="Q24" s="237"/>
      <c r="R24" s="244"/>
      <c r="S24" s="253"/>
      <c r="T24" s="247"/>
      <c r="U24" s="247"/>
      <c r="V24" s="247"/>
      <c r="W24" s="244"/>
      <c r="X24" s="247"/>
      <c r="Y24" s="247"/>
      <c r="Z24" s="247"/>
      <c r="AA24" s="247"/>
      <c r="AB24" s="244"/>
      <c r="AC24" s="247"/>
      <c r="AD24" s="247"/>
      <c r="AE24" s="247"/>
      <c r="AF24" s="247"/>
      <c r="AG24" s="247"/>
      <c r="AH24" s="244"/>
      <c r="AI24" s="244"/>
      <c r="AJ24" s="247"/>
      <c r="AK24" s="252"/>
    </row>
    <row r="25" spans="1:37" s="164" customFormat="1" ht="12.75" customHeight="1" x14ac:dyDescent="0.25">
      <c r="A25" s="238"/>
      <c r="B25" s="251"/>
      <c r="C25" s="237"/>
      <c r="D25" s="237"/>
      <c r="E25" s="252"/>
      <c r="F25" s="248"/>
      <c r="G25" s="248"/>
      <c r="H25" s="248"/>
      <c r="I25" s="248"/>
      <c r="J25" s="248"/>
      <c r="K25" s="237"/>
      <c r="L25" s="246"/>
      <c r="M25" s="246"/>
      <c r="N25" s="237"/>
      <c r="O25" s="237"/>
      <c r="P25" s="237"/>
      <c r="Q25" s="237"/>
      <c r="R25" s="244"/>
      <c r="S25" s="253"/>
      <c r="T25" s="247"/>
      <c r="U25" s="247"/>
      <c r="V25" s="247"/>
      <c r="W25" s="244"/>
      <c r="X25" s="247"/>
      <c r="Y25" s="247"/>
      <c r="Z25" s="247"/>
      <c r="AA25" s="247"/>
      <c r="AB25" s="244"/>
      <c r="AC25" s="247"/>
      <c r="AD25" s="247"/>
      <c r="AE25" s="247"/>
      <c r="AF25" s="247"/>
      <c r="AG25" s="247"/>
      <c r="AH25" s="244"/>
      <c r="AI25" s="244"/>
      <c r="AJ25" s="247"/>
      <c r="AK25" s="252"/>
    </row>
    <row r="26" spans="1:37" s="164" customFormat="1" ht="12.75" customHeight="1" x14ac:dyDescent="0.25">
      <c r="A26" s="238"/>
      <c r="B26" s="251"/>
      <c r="C26" s="237"/>
      <c r="D26" s="237"/>
      <c r="E26" s="252"/>
      <c r="F26" s="248"/>
      <c r="G26" s="248"/>
      <c r="H26" s="248"/>
      <c r="I26" s="248"/>
      <c r="J26" s="248"/>
      <c r="K26" s="237"/>
      <c r="L26" s="246"/>
      <c r="M26" s="246"/>
      <c r="N26" s="237"/>
      <c r="O26" s="237"/>
      <c r="P26" s="237"/>
      <c r="Q26" s="237"/>
      <c r="R26" s="244"/>
      <c r="S26" s="253"/>
      <c r="T26" s="247"/>
      <c r="U26" s="247"/>
      <c r="V26" s="247"/>
      <c r="W26" s="244"/>
      <c r="X26" s="247"/>
      <c r="Y26" s="247"/>
      <c r="Z26" s="247"/>
      <c r="AA26" s="247"/>
      <c r="AB26" s="244"/>
      <c r="AC26" s="247"/>
      <c r="AD26" s="247"/>
      <c r="AE26" s="247"/>
      <c r="AF26" s="247"/>
      <c r="AG26" s="247"/>
      <c r="AH26" s="244"/>
      <c r="AI26" s="244"/>
      <c r="AJ26" s="247"/>
      <c r="AK26" s="252"/>
    </row>
    <row r="27" spans="1:37" s="164" customFormat="1" ht="12.75" customHeight="1" x14ac:dyDescent="0.25">
      <c r="A27" s="238"/>
      <c r="B27" s="251"/>
      <c r="C27" s="237"/>
      <c r="D27" s="237"/>
      <c r="E27" s="252"/>
      <c r="F27" s="248"/>
      <c r="G27" s="248"/>
      <c r="H27" s="248"/>
      <c r="I27" s="248"/>
      <c r="J27" s="248"/>
      <c r="K27" s="237"/>
      <c r="L27" s="246"/>
      <c r="M27" s="246"/>
      <c r="N27" s="237"/>
      <c r="O27" s="237"/>
      <c r="P27" s="237"/>
      <c r="Q27" s="237"/>
      <c r="R27" s="244"/>
      <c r="S27" s="253"/>
      <c r="T27" s="247"/>
      <c r="U27" s="247"/>
      <c r="V27" s="247"/>
      <c r="W27" s="244"/>
      <c r="X27" s="247"/>
      <c r="Y27" s="247"/>
      <c r="Z27" s="247"/>
      <c r="AA27" s="247"/>
      <c r="AB27" s="244"/>
      <c r="AC27" s="247"/>
      <c r="AD27" s="247"/>
      <c r="AE27" s="247"/>
      <c r="AF27" s="247"/>
      <c r="AG27" s="247"/>
      <c r="AH27" s="244"/>
      <c r="AI27" s="244"/>
      <c r="AJ27" s="247"/>
      <c r="AK27" s="252"/>
    </row>
    <row r="28" spans="1:37" s="164" customFormat="1" ht="12.75" customHeight="1" x14ac:dyDescent="0.25">
      <c r="A28" s="238"/>
      <c r="B28" s="251"/>
      <c r="C28" s="237"/>
      <c r="D28" s="237"/>
      <c r="E28" s="252"/>
      <c r="F28" s="248"/>
      <c r="G28" s="248"/>
      <c r="H28" s="248"/>
      <c r="I28" s="248"/>
      <c r="J28" s="248"/>
      <c r="K28" s="237"/>
      <c r="L28" s="246"/>
      <c r="M28" s="246"/>
      <c r="N28" s="237"/>
      <c r="O28" s="237"/>
      <c r="P28" s="237"/>
      <c r="Q28" s="237"/>
      <c r="R28" s="244"/>
      <c r="S28" s="253"/>
      <c r="T28" s="247"/>
      <c r="U28" s="247"/>
      <c r="V28" s="247"/>
      <c r="W28" s="244"/>
      <c r="X28" s="247"/>
      <c r="Y28" s="247"/>
      <c r="Z28" s="247"/>
      <c r="AA28" s="247"/>
      <c r="AB28" s="244"/>
      <c r="AC28" s="247"/>
      <c r="AD28" s="247"/>
      <c r="AE28" s="247"/>
      <c r="AF28" s="247"/>
      <c r="AG28" s="247"/>
      <c r="AH28" s="244"/>
      <c r="AI28" s="244"/>
      <c r="AJ28" s="247"/>
      <c r="AK28" s="252"/>
    </row>
    <row r="29" spans="1:37" s="164" customFormat="1" ht="12.75" customHeight="1" x14ac:dyDescent="0.25">
      <c r="A29" s="238"/>
      <c r="B29" s="251"/>
      <c r="C29" s="237"/>
      <c r="D29" s="237"/>
      <c r="E29" s="252"/>
      <c r="F29" s="248"/>
      <c r="G29" s="248"/>
      <c r="H29" s="248"/>
      <c r="I29" s="248"/>
      <c r="J29" s="248"/>
      <c r="K29" s="237"/>
      <c r="L29" s="246"/>
      <c r="M29" s="246"/>
      <c r="N29" s="237"/>
      <c r="O29" s="237"/>
      <c r="P29" s="237"/>
      <c r="Q29" s="237"/>
      <c r="R29" s="244"/>
      <c r="S29" s="253"/>
      <c r="T29" s="247"/>
      <c r="U29" s="247"/>
      <c r="V29" s="247"/>
      <c r="W29" s="244"/>
      <c r="X29" s="247"/>
      <c r="Y29" s="247"/>
      <c r="Z29" s="247"/>
      <c r="AA29" s="247"/>
      <c r="AB29" s="244"/>
      <c r="AC29" s="247"/>
      <c r="AD29" s="247"/>
      <c r="AE29" s="247"/>
      <c r="AF29" s="247"/>
      <c r="AG29" s="247"/>
      <c r="AH29" s="244"/>
      <c r="AI29" s="244"/>
      <c r="AJ29" s="247"/>
      <c r="AK29" s="252"/>
    </row>
    <row r="30" spans="1:37" s="164" customFormat="1" ht="12.75" customHeight="1" x14ac:dyDescent="0.25">
      <c r="A30" s="238"/>
      <c r="B30" s="251"/>
      <c r="C30" s="237"/>
      <c r="D30" s="237"/>
      <c r="E30" s="252"/>
      <c r="F30" s="248"/>
      <c r="G30" s="248"/>
      <c r="H30" s="248"/>
      <c r="I30" s="248"/>
      <c r="J30" s="248"/>
      <c r="K30" s="237"/>
      <c r="L30" s="246"/>
      <c r="M30" s="246"/>
      <c r="N30" s="237"/>
      <c r="O30" s="237"/>
      <c r="P30" s="237"/>
      <c r="Q30" s="237"/>
      <c r="R30" s="244"/>
      <c r="S30" s="253"/>
      <c r="T30" s="247"/>
      <c r="U30" s="247"/>
      <c r="V30" s="247"/>
      <c r="W30" s="244"/>
      <c r="X30" s="247"/>
      <c r="Y30" s="247"/>
      <c r="Z30" s="247"/>
      <c r="AA30" s="247"/>
      <c r="AB30" s="244"/>
      <c r="AC30" s="247"/>
      <c r="AD30" s="247"/>
      <c r="AE30" s="247"/>
      <c r="AF30" s="247"/>
      <c r="AG30" s="247"/>
      <c r="AH30" s="244"/>
      <c r="AI30" s="244"/>
      <c r="AJ30" s="247"/>
      <c r="AK30" s="252"/>
    </row>
    <row r="31" spans="1:37" s="164" customFormat="1" ht="12.75" customHeight="1" x14ac:dyDescent="0.25">
      <c r="A31" s="238"/>
      <c r="B31" s="251"/>
      <c r="C31" s="237"/>
      <c r="D31" s="237"/>
      <c r="E31" s="252"/>
      <c r="F31" s="248"/>
      <c r="G31" s="248"/>
      <c r="H31" s="248"/>
      <c r="I31" s="248"/>
      <c r="J31" s="248"/>
      <c r="K31" s="237"/>
      <c r="L31" s="246"/>
      <c r="M31" s="246"/>
      <c r="N31" s="237"/>
      <c r="O31" s="237"/>
      <c r="P31" s="237"/>
      <c r="Q31" s="237"/>
      <c r="R31" s="244"/>
      <c r="S31" s="253"/>
      <c r="T31" s="247"/>
      <c r="U31" s="247"/>
      <c r="V31" s="247"/>
      <c r="W31" s="244"/>
      <c r="X31" s="247"/>
      <c r="Y31" s="247"/>
      <c r="Z31" s="247"/>
      <c r="AA31" s="247"/>
      <c r="AB31" s="244"/>
      <c r="AC31" s="247"/>
      <c r="AD31" s="247"/>
      <c r="AE31" s="247"/>
      <c r="AF31" s="247"/>
      <c r="AG31" s="247"/>
      <c r="AH31" s="244"/>
      <c r="AI31" s="244"/>
      <c r="AJ31" s="247"/>
      <c r="AK31" s="252"/>
    </row>
    <row r="32" spans="1:37" s="164" customFormat="1" ht="12.75" customHeight="1" x14ac:dyDescent="0.25">
      <c r="A32" s="238"/>
      <c r="B32" s="251"/>
      <c r="C32" s="237"/>
      <c r="D32" s="237"/>
      <c r="E32" s="252"/>
      <c r="F32" s="248"/>
      <c r="G32" s="248"/>
      <c r="H32" s="248"/>
      <c r="I32" s="248"/>
      <c r="J32" s="248"/>
      <c r="K32" s="237"/>
      <c r="L32" s="246"/>
      <c r="M32" s="246"/>
      <c r="N32" s="237"/>
      <c r="O32" s="237"/>
      <c r="P32" s="237"/>
      <c r="Q32" s="237"/>
      <c r="R32" s="244"/>
      <c r="S32" s="253"/>
      <c r="T32" s="247"/>
      <c r="U32" s="247"/>
      <c r="V32" s="247"/>
      <c r="W32" s="244"/>
      <c r="X32" s="247"/>
      <c r="Y32" s="247"/>
      <c r="Z32" s="247"/>
      <c r="AA32" s="247"/>
      <c r="AB32" s="244"/>
      <c r="AC32" s="247"/>
      <c r="AD32" s="247"/>
      <c r="AE32" s="247"/>
      <c r="AF32" s="247"/>
      <c r="AG32" s="247"/>
      <c r="AH32" s="244"/>
      <c r="AI32" s="244"/>
      <c r="AJ32" s="247"/>
      <c r="AK32" s="252"/>
    </row>
    <row r="33" spans="1:37" s="164" customFormat="1" ht="12.75" customHeight="1" x14ac:dyDescent="0.25">
      <c r="A33" s="238"/>
      <c r="B33" s="251"/>
      <c r="C33" s="237"/>
      <c r="D33" s="237"/>
      <c r="E33" s="252"/>
      <c r="F33" s="248"/>
      <c r="G33" s="248"/>
      <c r="H33" s="248"/>
      <c r="I33" s="248"/>
      <c r="J33" s="248"/>
      <c r="K33" s="237"/>
      <c r="L33" s="246"/>
      <c r="M33" s="246"/>
      <c r="N33" s="237"/>
      <c r="O33" s="237"/>
      <c r="P33" s="237"/>
      <c r="Q33" s="237"/>
      <c r="R33" s="244"/>
      <c r="S33" s="253"/>
      <c r="T33" s="247"/>
      <c r="U33" s="247"/>
      <c r="V33" s="247"/>
      <c r="W33" s="244"/>
      <c r="X33" s="247"/>
      <c r="Y33" s="247"/>
      <c r="Z33" s="247"/>
      <c r="AA33" s="247"/>
      <c r="AB33" s="244"/>
      <c r="AC33" s="247"/>
      <c r="AD33" s="247"/>
      <c r="AE33" s="247"/>
      <c r="AF33" s="247"/>
      <c r="AG33" s="247"/>
      <c r="AH33" s="244"/>
      <c r="AI33" s="244"/>
      <c r="AJ33" s="247"/>
      <c r="AK33" s="252"/>
    </row>
    <row r="34" spans="1:37" s="164" customFormat="1" ht="12.75" customHeight="1" x14ac:dyDescent="0.25">
      <c r="A34" s="238"/>
      <c r="B34" s="251"/>
      <c r="C34" s="237"/>
      <c r="D34" s="237"/>
      <c r="E34" s="252"/>
      <c r="F34" s="248"/>
      <c r="G34" s="248"/>
      <c r="H34" s="248"/>
      <c r="I34" s="248"/>
      <c r="J34" s="248"/>
      <c r="K34" s="237"/>
      <c r="L34" s="246"/>
      <c r="M34" s="246"/>
      <c r="N34" s="237"/>
      <c r="O34" s="237"/>
      <c r="P34" s="237"/>
      <c r="Q34" s="237"/>
      <c r="R34" s="244"/>
      <c r="S34" s="253"/>
      <c r="T34" s="247"/>
      <c r="U34" s="247"/>
      <c r="V34" s="247"/>
      <c r="W34" s="244"/>
      <c r="X34" s="247"/>
      <c r="Y34" s="247"/>
      <c r="Z34" s="247"/>
      <c r="AA34" s="247"/>
      <c r="AB34" s="244"/>
      <c r="AC34" s="247"/>
      <c r="AD34" s="247"/>
      <c r="AE34" s="247"/>
      <c r="AF34" s="247"/>
      <c r="AG34" s="247"/>
      <c r="AH34" s="244"/>
      <c r="AI34" s="244"/>
      <c r="AJ34" s="247"/>
      <c r="AK34" s="252"/>
    </row>
    <row r="35" spans="1:37" s="164" customFormat="1" ht="12.75" customHeight="1" x14ac:dyDescent="0.25">
      <c r="A35" s="238"/>
      <c r="B35" s="251"/>
      <c r="C35" s="237"/>
      <c r="D35" s="237"/>
      <c r="E35" s="252"/>
      <c r="F35" s="248"/>
      <c r="G35" s="248"/>
      <c r="H35" s="248"/>
      <c r="I35" s="248"/>
      <c r="J35" s="248"/>
      <c r="K35" s="237"/>
      <c r="L35" s="246"/>
      <c r="M35" s="246"/>
      <c r="N35" s="237"/>
      <c r="O35" s="237"/>
      <c r="P35" s="237"/>
      <c r="Q35" s="237"/>
      <c r="R35" s="244"/>
      <c r="S35" s="253"/>
      <c r="T35" s="247"/>
      <c r="U35" s="247"/>
      <c r="V35" s="247"/>
      <c r="W35" s="244"/>
      <c r="X35" s="247"/>
      <c r="Y35" s="247"/>
      <c r="Z35" s="247"/>
      <c r="AA35" s="247"/>
      <c r="AB35" s="244"/>
      <c r="AC35" s="247"/>
      <c r="AD35" s="247"/>
      <c r="AE35" s="247"/>
      <c r="AF35" s="247"/>
      <c r="AG35" s="247"/>
      <c r="AH35" s="244"/>
      <c r="AI35" s="244"/>
      <c r="AJ35" s="247"/>
      <c r="AK35" s="252"/>
    </row>
    <row r="36" spans="1:37" s="164" customFormat="1" ht="12.75" customHeight="1" x14ac:dyDescent="0.25">
      <c r="A36" s="238"/>
      <c r="B36" s="251"/>
      <c r="C36" s="237"/>
      <c r="D36" s="237"/>
      <c r="E36" s="252"/>
      <c r="F36" s="248"/>
      <c r="G36" s="248"/>
      <c r="H36" s="248"/>
      <c r="I36" s="248"/>
      <c r="J36" s="248"/>
      <c r="K36" s="237"/>
      <c r="L36" s="246"/>
      <c r="M36" s="246"/>
      <c r="N36" s="237"/>
      <c r="O36" s="237"/>
      <c r="P36" s="237"/>
      <c r="Q36" s="237"/>
      <c r="R36" s="244"/>
      <c r="S36" s="253"/>
      <c r="T36" s="247"/>
      <c r="U36" s="247"/>
      <c r="V36" s="247"/>
      <c r="W36" s="244"/>
      <c r="X36" s="247"/>
      <c r="Y36" s="247"/>
      <c r="Z36" s="247"/>
      <c r="AA36" s="247"/>
      <c r="AB36" s="244"/>
      <c r="AC36" s="247"/>
      <c r="AD36" s="247"/>
      <c r="AE36" s="247"/>
      <c r="AF36" s="247"/>
      <c r="AG36" s="247"/>
      <c r="AH36" s="244"/>
      <c r="AI36" s="244"/>
      <c r="AJ36" s="247"/>
      <c r="AK36" s="252"/>
    </row>
    <row r="37" spans="1:37" s="164" customFormat="1" ht="12.75" customHeight="1" x14ac:dyDescent="0.25">
      <c r="A37" s="238"/>
      <c r="B37" s="251"/>
      <c r="C37" s="237"/>
      <c r="D37" s="237"/>
      <c r="E37" s="252"/>
      <c r="F37" s="248"/>
      <c r="G37" s="248"/>
      <c r="H37" s="248"/>
      <c r="I37" s="248"/>
      <c r="J37" s="248"/>
      <c r="K37" s="237"/>
      <c r="L37" s="246"/>
      <c r="M37" s="246"/>
      <c r="N37" s="237"/>
      <c r="O37" s="237"/>
      <c r="P37" s="237"/>
      <c r="Q37" s="237"/>
      <c r="R37" s="244"/>
      <c r="S37" s="253"/>
      <c r="T37" s="247"/>
      <c r="U37" s="247"/>
      <c r="V37" s="247"/>
      <c r="W37" s="244"/>
      <c r="X37" s="247"/>
      <c r="Y37" s="247"/>
      <c r="Z37" s="247"/>
      <c r="AA37" s="247"/>
      <c r="AB37" s="244"/>
      <c r="AC37" s="247"/>
      <c r="AD37" s="247"/>
      <c r="AE37" s="247"/>
      <c r="AF37" s="247"/>
      <c r="AG37" s="247"/>
      <c r="AH37" s="244"/>
      <c r="AI37" s="244"/>
      <c r="AJ37" s="247"/>
      <c r="AK37" s="252"/>
    </row>
    <row r="38" spans="1:37" ht="12.75" customHeight="1" x14ac:dyDescent="0.25">
      <c r="A38" s="229"/>
      <c r="B38" s="229"/>
      <c r="C38" s="220"/>
      <c r="D38" s="220"/>
      <c r="E38" s="252"/>
      <c r="F38" s="248"/>
      <c r="G38" s="248"/>
      <c r="H38" s="248"/>
      <c r="I38" s="248"/>
      <c r="J38" s="248"/>
      <c r="K38" s="220"/>
      <c r="L38" s="254"/>
      <c r="M38" s="254"/>
      <c r="N38" s="220"/>
      <c r="O38" s="220"/>
      <c r="P38" s="220"/>
      <c r="Q38" s="220"/>
      <c r="R38" s="244"/>
      <c r="S38" s="253"/>
      <c r="T38" s="247"/>
      <c r="U38" s="247"/>
      <c r="V38" s="247"/>
      <c r="W38" s="244"/>
      <c r="X38" s="247"/>
      <c r="Y38" s="247"/>
      <c r="Z38" s="247"/>
      <c r="AA38" s="247"/>
      <c r="AB38" s="244"/>
      <c r="AC38" s="247"/>
      <c r="AD38" s="247"/>
      <c r="AE38" s="247"/>
      <c r="AF38" s="247"/>
      <c r="AG38" s="247"/>
      <c r="AH38" s="244"/>
      <c r="AI38" s="244"/>
      <c r="AJ38" s="247"/>
      <c r="AK38" s="252"/>
    </row>
    <row r="39" spans="1:37" ht="12.75" customHeight="1" x14ac:dyDescent="0.25">
      <c r="A39" s="229"/>
      <c r="B39" s="229"/>
      <c r="C39" s="220"/>
      <c r="D39" s="220"/>
      <c r="E39" s="252"/>
      <c r="F39" s="248"/>
      <c r="G39" s="248"/>
      <c r="H39" s="248"/>
      <c r="I39" s="248"/>
      <c r="J39" s="248"/>
      <c r="K39" s="220"/>
      <c r="L39" s="254"/>
      <c r="M39" s="254"/>
      <c r="N39" s="220"/>
      <c r="O39" s="220"/>
      <c r="P39" s="220"/>
      <c r="Q39" s="220"/>
      <c r="R39" s="244"/>
      <c r="S39" s="253"/>
      <c r="T39" s="247"/>
      <c r="U39" s="247"/>
      <c r="V39" s="247"/>
      <c r="W39" s="244"/>
      <c r="X39" s="247"/>
      <c r="Y39" s="247"/>
      <c r="Z39" s="247"/>
      <c r="AA39" s="247"/>
      <c r="AB39" s="244"/>
      <c r="AC39" s="247"/>
      <c r="AD39" s="247"/>
      <c r="AE39" s="247"/>
      <c r="AF39" s="247"/>
      <c r="AG39" s="247"/>
      <c r="AH39" s="244"/>
      <c r="AI39" s="244"/>
      <c r="AJ39" s="247"/>
      <c r="AK39" s="252"/>
    </row>
    <row r="40" spans="1:37" ht="12.75" customHeight="1" x14ac:dyDescent="0.25">
      <c r="A40" s="229"/>
      <c r="B40" s="229"/>
      <c r="C40" s="220"/>
      <c r="D40" s="220"/>
      <c r="E40" s="252"/>
      <c r="F40" s="248"/>
      <c r="G40" s="248"/>
      <c r="H40" s="248"/>
      <c r="I40" s="248"/>
      <c r="J40" s="248"/>
      <c r="K40" s="220"/>
      <c r="L40" s="254"/>
      <c r="M40" s="254"/>
      <c r="N40" s="220"/>
      <c r="O40" s="220"/>
      <c r="P40" s="220"/>
      <c r="Q40" s="220"/>
      <c r="R40" s="244"/>
      <c r="S40" s="253"/>
      <c r="T40" s="247"/>
      <c r="U40" s="247"/>
      <c r="V40" s="247"/>
      <c r="W40" s="244"/>
      <c r="X40" s="247"/>
      <c r="Y40" s="247"/>
      <c r="Z40" s="247"/>
      <c r="AA40" s="247"/>
      <c r="AB40" s="244"/>
      <c r="AC40" s="247"/>
      <c r="AD40" s="247"/>
      <c r="AE40" s="247"/>
      <c r="AF40" s="247"/>
      <c r="AG40" s="247"/>
      <c r="AH40" s="244"/>
      <c r="AI40" s="244"/>
      <c r="AJ40" s="247"/>
      <c r="AK40" s="252"/>
    </row>
    <row r="41" spans="1:37" ht="12.75" customHeight="1" x14ac:dyDescent="0.25">
      <c r="A41" s="229"/>
      <c r="B41" s="229"/>
      <c r="C41" s="220"/>
      <c r="D41" s="220"/>
      <c r="E41" s="252"/>
      <c r="F41" s="248"/>
      <c r="G41" s="248"/>
      <c r="H41" s="248"/>
      <c r="I41" s="248"/>
      <c r="J41" s="248"/>
      <c r="K41" s="220"/>
      <c r="L41" s="254"/>
      <c r="M41" s="254"/>
      <c r="N41" s="220"/>
      <c r="O41" s="220"/>
      <c r="P41" s="220"/>
      <c r="Q41" s="220"/>
      <c r="R41" s="244"/>
      <c r="S41" s="253"/>
      <c r="T41" s="247"/>
      <c r="U41" s="247"/>
      <c r="V41" s="247"/>
      <c r="W41" s="244"/>
      <c r="X41" s="247"/>
      <c r="Y41" s="247"/>
      <c r="Z41" s="247"/>
      <c r="AA41" s="247"/>
      <c r="AB41" s="244"/>
      <c r="AC41" s="247"/>
      <c r="AD41" s="247"/>
      <c r="AE41" s="247"/>
      <c r="AF41" s="247"/>
      <c r="AG41" s="247"/>
      <c r="AH41" s="244"/>
      <c r="AI41" s="244"/>
      <c r="AJ41" s="247"/>
      <c r="AK41" s="252"/>
    </row>
    <row r="42" spans="1:37" ht="12.75" customHeight="1" x14ac:dyDescent="0.25">
      <c r="A42" s="229"/>
      <c r="B42" s="229"/>
      <c r="C42" s="220"/>
      <c r="D42" s="220"/>
      <c r="E42" s="252"/>
      <c r="F42" s="248"/>
      <c r="G42" s="248"/>
      <c r="H42" s="248"/>
      <c r="I42" s="248"/>
      <c r="J42" s="248"/>
      <c r="K42" s="220"/>
      <c r="L42" s="254"/>
      <c r="M42" s="254"/>
      <c r="N42" s="220"/>
      <c r="O42" s="220"/>
      <c r="P42" s="220"/>
      <c r="Q42" s="220"/>
      <c r="R42" s="244"/>
      <c r="S42" s="253"/>
      <c r="T42" s="247"/>
      <c r="U42" s="247"/>
      <c r="V42" s="247"/>
      <c r="W42" s="244"/>
      <c r="X42" s="247"/>
      <c r="Y42" s="247"/>
      <c r="Z42" s="247"/>
      <c r="AA42" s="247"/>
      <c r="AB42" s="244"/>
      <c r="AC42" s="247"/>
      <c r="AD42" s="247"/>
      <c r="AE42" s="247"/>
      <c r="AF42" s="247"/>
      <c r="AG42" s="247"/>
      <c r="AH42" s="244"/>
      <c r="AI42" s="244"/>
      <c r="AJ42" s="247"/>
      <c r="AK42" s="252"/>
    </row>
    <row r="43" spans="1:37" ht="12.75" customHeight="1" x14ac:dyDescent="0.25">
      <c r="A43" s="229"/>
      <c r="B43" s="229"/>
      <c r="C43" s="220"/>
      <c r="D43" s="220"/>
      <c r="E43" s="252"/>
      <c r="F43" s="248"/>
      <c r="G43" s="248"/>
      <c r="H43" s="248"/>
      <c r="I43" s="248"/>
      <c r="J43" s="248"/>
      <c r="K43" s="220"/>
      <c r="L43" s="254"/>
      <c r="M43" s="254"/>
      <c r="N43" s="220"/>
      <c r="O43" s="220"/>
      <c r="P43" s="220"/>
      <c r="Q43" s="220"/>
      <c r="R43" s="244"/>
      <c r="S43" s="253"/>
      <c r="T43" s="247"/>
      <c r="U43" s="247"/>
      <c r="V43" s="247"/>
      <c r="W43" s="244"/>
      <c r="X43" s="247"/>
      <c r="Y43" s="247"/>
      <c r="Z43" s="247"/>
      <c r="AA43" s="247"/>
      <c r="AB43" s="244"/>
      <c r="AC43" s="247"/>
      <c r="AD43" s="247"/>
      <c r="AE43" s="247"/>
      <c r="AF43" s="247"/>
      <c r="AG43" s="247"/>
      <c r="AH43" s="244"/>
      <c r="AI43" s="244"/>
      <c r="AJ43" s="247"/>
      <c r="AK43" s="252"/>
    </row>
    <row r="44" spans="1:37" ht="12.75" customHeight="1" x14ac:dyDescent="0.25">
      <c r="A44" s="229"/>
      <c r="B44" s="229"/>
      <c r="C44" s="220"/>
      <c r="D44" s="220"/>
      <c r="E44" s="252"/>
      <c r="F44" s="248"/>
      <c r="G44" s="248"/>
      <c r="H44" s="248"/>
      <c r="I44" s="248"/>
      <c r="J44" s="248"/>
      <c r="K44" s="220"/>
      <c r="L44" s="254"/>
      <c r="M44" s="254"/>
      <c r="N44" s="220"/>
      <c r="O44" s="220"/>
      <c r="P44" s="220"/>
      <c r="Q44" s="220"/>
      <c r="R44" s="244"/>
      <c r="S44" s="253"/>
      <c r="T44" s="247"/>
      <c r="U44" s="247"/>
      <c r="V44" s="247"/>
      <c r="W44" s="244"/>
      <c r="X44" s="247"/>
      <c r="Y44" s="247"/>
      <c r="Z44" s="247"/>
      <c r="AA44" s="247"/>
      <c r="AB44" s="244"/>
      <c r="AC44" s="247"/>
      <c r="AD44" s="247"/>
      <c r="AE44" s="247"/>
      <c r="AF44" s="247"/>
      <c r="AG44" s="247"/>
      <c r="AH44" s="244"/>
      <c r="AI44" s="244"/>
      <c r="AJ44" s="247"/>
      <c r="AK44" s="252"/>
    </row>
    <row r="45" spans="1:37" ht="12.75" customHeight="1" x14ac:dyDescent="0.25">
      <c r="A45" s="229"/>
      <c r="B45" s="229"/>
      <c r="C45" s="220"/>
      <c r="D45" s="220"/>
      <c r="E45" s="252"/>
      <c r="F45" s="248"/>
      <c r="G45" s="248"/>
      <c r="H45" s="248"/>
      <c r="I45" s="248"/>
      <c r="J45" s="248"/>
      <c r="K45" s="220"/>
      <c r="L45" s="254"/>
      <c r="M45" s="254"/>
      <c r="N45" s="220"/>
      <c r="O45" s="220"/>
      <c r="P45" s="220"/>
      <c r="Q45" s="220"/>
      <c r="R45" s="244"/>
      <c r="S45" s="253"/>
      <c r="T45" s="247"/>
      <c r="U45" s="247"/>
      <c r="V45" s="247"/>
      <c r="W45" s="244"/>
      <c r="X45" s="247"/>
      <c r="Y45" s="247"/>
      <c r="Z45" s="247"/>
      <c r="AA45" s="247"/>
      <c r="AB45" s="244"/>
      <c r="AC45" s="247"/>
      <c r="AD45" s="247"/>
      <c r="AE45" s="247"/>
      <c r="AF45" s="247"/>
      <c r="AG45" s="247"/>
      <c r="AH45" s="244"/>
      <c r="AI45" s="244"/>
      <c r="AJ45" s="247"/>
      <c r="AK45" s="252"/>
    </row>
    <row r="46" spans="1:37" ht="12.75" customHeight="1" x14ac:dyDescent="0.25">
      <c r="A46" s="229"/>
      <c r="B46" s="229"/>
      <c r="C46" s="220"/>
      <c r="D46" s="220"/>
      <c r="E46" s="252"/>
      <c r="F46" s="248"/>
      <c r="G46" s="248"/>
      <c r="H46" s="248"/>
      <c r="I46" s="248"/>
      <c r="J46" s="248"/>
      <c r="K46" s="220"/>
      <c r="L46" s="254"/>
      <c r="M46" s="254"/>
      <c r="N46" s="220"/>
      <c r="O46" s="220"/>
      <c r="P46" s="220"/>
      <c r="Q46" s="220"/>
      <c r="R46" s="244"/>
      <c r="S46" s="253"/>
      <c r="T46" s="247"/>
      <c r="U46" s="247"/>
      <c r="V46" s="247"/>
      <c r="W46" s="244"/>
      <c r="X46" s="247"/>
      <c r="Y46" s="247"/>
      <c r="Z46" s="247"/>
      <c r="AA46" s="247"/>
      <c r="AB46" s="244"/>
      <c r="AC46" s="247"/>
      <c r="AD46" s="247"/>
      <c r="AE46" s="247"/>
      <c r="AF46" s="247"/>
      <c r="AG46" s="247"/>
      <c r="AH46" s="244"/>
      <c r="AI46" s="244"/>
      <c r="AJ46" s="247"/>
      <c r="AK46" s="252"/>
    </row>
    <row r="47" spans="1:37" ht="12.75" customHeight="1" x14ac:dyDescent="0.25">
      <c r="A47" s="229"/>
      <c r="B47" s="229"/>
      <c r="C47" s="220"/>
      <c r="D47" s="220"/>
      <c r="E47" s="252"/>
      <c r="F47" s="248"/>
      <c r="G47" s="248"/>
      <c r="H47" s="248"/>
      <c r="I47" s="248"/>
      <c r="J47" s="248"/>
      <c r="K47" s="220"/>
      <c r="L47" s="254"/>
      <c r="M47" s="254"/>
      <c r="N47" s="220"/>
      <c r="O47" s="220"/>
      <c r="P47" s="220"/>
      <c r="Q47" s="220"/>
      <c r="R47" s="244"/>
      <c r="S47" s="253"/>
      <c r="T47" s="247"/>
      <c r="U47" s="247"/>
      <c r="V47" s="247"/>
      <c r="W47" s="244"/>
      <c r="X47" s="247"/>
      <c r="Y47" s="247"/>
      <c r="Z47" s="247"/>
      <c r="AA47" s="247"/>
      <c r="AB47" s="244"/>
      <c r="AC47" s="247"/>
      <c r="AD47" s="247"/>
      <c r="AE47" s="247"/>
      <c r="AF47" s="247"/>
      <c r="AG47" s="247"/>
      <c r="AH47" s="244"/>
      <c r="AI47" s="244"/>
      <c r="AJ47" s="247"/>
      <c r="AK47" s="252"/>
    </row>
    <row r="48" spans="1:37" ht="12.75" customHeight="1" x14ac:dyDescent="0.25">
      <c r="A48" s="229"/>
      <c r="B48" s="229"/>
      <c r="C48" s="220"/>
      <c r="D48" s="220"/>
      <c r="E48" s="252"/>
      <c r="F48" s="248"/>
      <c r="G48" s="248"/>
      <c r="H48" s="248"/>
      <c r="I48" s="248"/>
      <c r="J48" s="248"/>
      <c r="K48" s="220"/>
      <c r="L48" s="254"/>
      <c r="M48" s="254"/>
      <c r="N48" s="220"/>
      <c r="O48" s="220"/>
      <c r="P48" s="220"/>
      <c r="Q48" s="220"/>
      <c r="R48" s="244"/>
      <c r="S48" s="253"/>
      <c r="T48" s="247"/>
      <c r="U48" s="247"/>
      <c r="V48" s="247"/>
      <c r="W48" s="244"/>
      <c r="X48" s="247"/>
      <c r="Y48" s="247"/>
      <c r="Z48" s="247"/>
      <c r="AA48" s="247"/>
      <c r="AB48" s="244"/>
      <c r="AC48" s="247"/>
      <c r="AD48" s="247"/>
      <c r="AE48" s="247"/>
      <c r="AF48" s="247"/>
      <c r="AG48" s="247"/>
      <c r="AH48" s="244"/>
      <c r="AI48" s="244"/>
      <c r="AJ48" s="247"/>
      <c r="AK48" s="252"/>
    </row>
    <row r="49" spans="1:37" ht="12.75" customHeight="1" x14ac:dyDescent="0.25">
      <c r="A49" s="229"/>
      <c r="B49" s="229"/>
      <c r="C49" s="220"/>
      <c r="D49" s="220"/>
      <c r="E49" s="252"/>
      <c r="F49" s="248"/>
      <c r="G49" s="248"/>
      <c r="H49" s="248"/>
      <c r="I49" s="248"/>
      <c r="J49" s="248"/>
      <c r="K49" s="220"/>
      <c r="L49" s="254"/>
      <c r="M49" s="254"/>
      <c r="N49" s="220"/>
      <c r="O49" s="220"/>
      <c r="P49" s="220"/>
      <c r="Q49" s="220"/>
      <c r="R49" s="244"/>
      <c r="S49" s="253"/>
      <c r="T49" s="247"/>
      <c r="U49" s="247"/>
      <c r="V49" s="247"/>
      <c r="W49" s="244"/>
      <c r="X49" s="247"/>
      <c r="Y49" s="247"/>
      <c r="Z49" s="247"/>
      <c r="AA49" s="247"/>
      <c r="AB49" s="244"/>
      <c r="AC49" s="247"/>
      <c r="AD49" s="247"/>
      <c r="AE49" s="247"/>
      <c r="AF49" s="247"/>
      <c r="AG49" s="247"/>
      <c r="AH49" s="244"/>
      <c r="AI49" s="244"/>
      <c r="AJ49" s="247"/>
      <c r="AK49" s="252"/>
    </row>
    <row r="50" spans="1:37" ht="12.75" customHeight="1" x14ac:dyDescent="0.25">
      <c r="A50" s="229"/>
      <c r="B50" s="229"/>
      <c r="C50" s="220"/>
      <c r="D50" s="220"/>
      <c r="E50" s="252"/>
      <c r="F50" s="248"/>
      <c r="G50" s="248"/>
      <c r="H50" s="248"/>
      <c r="I50" s="248"/>
      <c r="J50" s="248"/>
      <c r="K50" s="220"/>
      <c r="L50" s="254"/>
      <c r="M50" s="254"/>
      <c r="N50" s="220"/>
      <c r="O50" s="220"/>
      <c r="P50" s="220"/>
      <c r="Q50" s="220"/>
      <c r="R50" s="244"/>
      <c r="S50" s="253"/>
      <c r="T50" s="247"/>
      <c r="U50" s="247"/>
      <c r="V50" s="247"/>
      <c r="W50" s="244"/>
      <c r="X50" s="247"/>
      <c r="Y50" s="247"/>
      <c r="Z50" s="247"/>
      <c r="AA50" s="247"/>
      <c r="AB50" s="244"/>
      <c r="AC50" s="247"/>
      <c r="AD50" s="247"/>
      <c r="AE50" s="247"/>
      <c r="AF50" s="247"/>
      <c r="AG50" s="247"/>
      <c r="AH50" s="244"/>
      <c r="AI50" s="244"/>
      <c r="AJ50" s="247"/>
      <c r="AK50" s="252"/>
    </row>
    <row r="51" spans="1:37" ht="12.75" customHeight="1" x14ac:dyDescent="0.25">
      <c r="A51" s="229"/>
      <c r="B51" s="229"/>
      <c r="C51" s="220"/>
      <c r="D51" s="220"/>
      <c r="E51" s="252"/>
      <c r="F51" s="248"/>
      <c r="G51" s="248"/>
      <c r="H51" s="248"/>
      <c r="I51" s="248"/>
      <c r="J51" s="248"/>
      <c r="K51" s="220"/>
      <c r="L51" s="254"/>
      <c r="M51" s="254"/>
      <c r="N51" s="220"/>
      <c r="O51" s="220"/>
      <c r="P51" s="220"/>
      <c r="Q51" s="220"/>
      <c r="R51" s="244"/>
      <c r="S51" s="253"/>
      <c r="T51" s="247"/>
      <c r="U51" s="247"/>
      <c r="V51" s="247"/>
      <c r="W51" s="244"/>
      <c r="X51" s="247"/>
      <c r="Y51" s="247"/>
      <c r="Z51" s="247"/>
      <c r="AA51" s="247"/>
      <c r="AB51" s="244"/>
      <c r="AC51" s="247"/>
      <c r="AD51" s="247"/>
      <c r="AE51" s="247"/>
      <c r="AF51" s="247"/>
      <c r="AG51" s="247"/>
      <c r="AH51" s="244"/>
      <c r="AI51" s="244"/>
      <c r="AJ51" s="247"/>
      <c r="AK51" s="252"/>
    </row>
    <row r="52" spans="1:37" ht="12.75" customHeight="1" x14ac:dyDescent="0.25">
      <c r="A52" s="229"/>
      <c r="B52" s="229"/>
      <c r="C52" s="220"/>
      <c r="D52" s="220"/>
      <c r="E52" s="252"/>
      <c r="F52" s="248"/>
      <c r="G52" s="248"/>
      <c r="H52" s="248"/>
      <c r="I52" s="248"/>
      <c r="J52" s="248"/>
      <c r="K52" s="220"/>
      <c r="L52" s="254"/>
      <c r="M52" s="254"/>
      <c r="N52" s="220"/>
      <c r="O52" s="220"/>
      <c r="P52" s="220"/>
      <c r="Q52" s="220"/>
      <c r="R52" s="244"/>
      <c r="S52" s="254"/>
      <c r="T52" s="247"/>
      <c r="U52" s="220"/>
      <c r="V52" s="220"/>
      <c r="W52" s="244"/>
      <c r="X52" s="220"/>
      <c r="Y52" s="220"/>
      <c r="Z52" s="220"/>
      <c r="AA52" s="220"/>
      <c r="AB52" s="244"/>
      <c r="AC52" s="220"/>
      <c r="AD52" s="220"/>
      <c r="AE52" s="220"/>
      <c r="AF52" s="220"/>
      <c r="AG52" s="220"/>
      <c r="AH52" s="244"/>
      <c r="AI52" s="244"/>
      <c r="AJ52" s="220"/>
      <c r="AK52" s="252"/>
    </row>
    <row r="53" spans="1:37" ht="12.75" customHeight="1" x14ac:dyDescent="0.25">
      <c r="A53" s="229"/>
      <c r="B53" s="229"/>
      <c r="C53" s="220"/>
      <c r="D53" s="220"/>
      <c r="E53" s="252"/>
      <c r="F53" s="248"/>
      <c r="G53" s="248"/>
      <c r="H53" s="248"/>
      <c r="I53" s="248"/>
      <c r="J53" s="248"/>
      <c r="K53" s="220"/>
      <c r="L53" s="254"/>
      <c r="M53" s="254"/>
      <c r="N53" s="220"/>
      <c r="O53" s="220"/>
      <c r="P53" s="220"/>
      <c r="Q53" s="220"/>
      <c r="R53" s="244"/>
      <c r="S53" s="254"/>
      <c r="T53" s="247"/>
      <c r="U53" s="220"/>
      <c r="V53" s="220"/>
      <c r="W53" s="244"/>
      <c r="X53" s="220"/>
      <c r="Y53" s="220"/>
      <c r="Z53" s="220"/>
      <c r="AA53" s="220"/>
      <c r="AB53" s="244"/>
      <c r="AC53" s="220"/>
      <c r="AD53" s="220"/>
      <c r="AE53" s="220"/>
      <c r="AF53" s="220"/>
      <c r="AG53" s="220"/>
      <c r="AH53" s="244"/>
      <c r="AI53" s="244"/>
      <c r="AJ53" s="220"/>
      <c r="AK53" s="252"/>
    </row>
    <row r="54" spans="1:37" ht="12.75" customHeight="1" x14ac:dyDescent="0.25">
      <c r="A54" s="229"/>
      <c r="B54" s="229"/>
      <c r="C54" s="220"/>
      <c r="D54" s="220"/>
      <c r="E54" s="252"/>
      <c r="F54" s="248"/>
      <c r="G54" s="248"/>
      <c r="H54" s="248"/>
      <c r="I54" s="248"/>
      <c r="J54" s="248"/>
      <c r="K54" s="220"/>
      <c r="L54" s="254"/>
      <c r="M54" s="254"/>
      <c r="N54" s="220"/>
      <c r="O54" s="220"/>
      <c r="P54" s="220"/>
      <c r="Q54" s="220"/>
      <c r="R54" s="244"/>
      <c r="S54" s="254"/>
      <c r="T54" s="247"/>
      <c r="U54" s="220"/>
      <c r="V54" s="220"/>
      <c r="W54" s="244"/>
      <c r="X54" s="220"/>
      <c r="Y54" s="220"/>
      <c r="Z54" s="220"/>
      <c r="AA54" s="220"/>
      <c r="AB54" s="244"/>
      <c r="AC54" s="220"/>
      <c r="AD54" s="220"/>
      <c r="AE54" s="220"/>
      <c r="AF54" s="220"/>
      <c r="AG54" s="220"/>
      <c r="AH54" s="244"/>
      <c r="AI54" s="244"/>
      <c r="AJ54" s="220"/>
      <c r="AK54" s="252"/>
    </row>
    <row r="55" spans="1:37" ht="12.75" customHeight="1" x14ac:dyDescent="0.25">
      <c r="A55" s="229"/>
      <c r="B55" s="229"/>
      <c r="C55" s="220"/>
      <c r="D55" s="220"/>
      <c r="E55" s="252"/>
      <c r="F55" s="248"/>
      <c r="G55" s="248"/>
      <c r="H55" s="248"/>
      <c r="I55" s="248"/>
      <c r="J55" s="248"/>
      <c r="K55" s="220"/>
      <c r="L55" s="254"/>
      <c r="M55" s="254"/>
      <c r="N55" s="220"/>
      <c r="O55" s="220"/>
      <c r="P55" s="220"/>
      <c r="Q55" s="220"/>
      <c r="R55" s="244"/>
      <c r="S55" s="254"/>
      <c r="T55" s="247"/>
      <c r="U55" s="220"/>
      <c r="V55" s="220"/>
      <c r="W55" s="244"/>
      <c r="X55" s="220"/>
      <c r="Y55" s="220"/>
      <c r="Z55" s="220"/>
      <c r="AA55" s="220"/>
      <c r="AB55" s="244"/>
      <c r="AC55" s="220"/>
      <c r="AD55" s="220"/>
      <c r="AE55" s="220"/>
      <c r="AF55" s="220"/>
      <c r="AG55" s="220"/>
      <c r="AH55" s="244"/>
      <c r="AI55" s="244"/>
      <c r="AJ55" s="220"/>
      <c r="AK55" s="252"/>
    </row>
    <row r="56" spans="1:37" ht="12.75" customHeight="1" x14ac:dyDescent="0.25">
      <c r="A56" s="229"/>
      <c r="B56" s="229"/>
      <c r="C56" s="220"/>
      <c r="D56" s="220"/>
      <c r="E56" s="252"/>
      <c r="F56" s="248"/>
      <c r="G56" s="248"/>
      <c r="H56" s="248"/>
      <c r="I56" s="248"/>
      <c r="J56" s="248"/>
      <c r="K56" s="220"/>
      <c r="L56" s="254"/>
      <c r="M56" s="254"/>
      <c r="N56" s="220"/>
      <c r="O56" s="220"/>
      <c r="P56" s="220"/>
      <c r="Q56" s="220"/>
      <c r="R56" s="244"/>
      <c r="S56" s="254"/>
      <c r="T56" s="247"/>
      <c r="U56" s="220"/>
      <c r="V56" s="220"/>
      <c r="W56" s="244"/>
      <c r="X56" s="220"/>
      <c r="Y56" s="220"/>
      <c r="Z56" s="220"/>
      <c r="AA56" s="220"/>
      <c r="AB56" s="244"/>
      <c r="AC56" s="220"/>
      <c r="AD56" s="220"/>
      <c r="AE56" s="220"/>
      <c r="AF56" s="220"/>
      <c r="AG56" s="220"/>
      <c r="AH56" s="244"/>
      <c r="AI56" s="244"/>
      <c r="AJ56" s="220"/>
      <c r="AK56" s="252"/>
    </row>
    <row r="57" spans="1:37" ht="12.75" customHeight="1" x14ac:dyDescent="0.25">
      <c r="A57" s="229"/>
      <c r="B57" s="229"/>
      <c r="C57" s="220"/>
      <c r="D57" s="220"/>
      <c r="E57" s="252"/>
      <c r="F57" s="248"/>
      <c r="G57" s="248"/>
      <c r="H57" s="248"/>
      <c r="I57" s="248"/>
      <c r="J57" s="248"/>
      <c r="K57" s="220"/>
      <c r="L57" s="254"/>
      <c r="M57" s="254"/>
      <c r="N57" s="220"/>
      <c r="O57" s="220"/>
      <c r="P57" s="220"/>
      <c r="Q57" s="220"/>
      <c r="R57" s="244"/>
      <c r="S57" s="254"/>
      <c r="T57" s="247"/>
      <c r="U57" s="220"/>
      <c r="V57" s="220"/>
      <c r="W57" s="244"/>
      <c r="X57" s="220"/>
      <c r="Y57" s="220"/>
      <c r="Z57" s="220"/>
      <c r="AA57" s="220"/>
      <c r="AB57" s="244"/>
      <c r="AC57" s="220"/>
      <c r="AD57" s="220"/>
      <c r="AE57" s="220"/>
      <c r="AF57" s="220"/>
      <c r="AG57" s="220"/>
      <c r="AH57" s="244"/>
      <c r="AI57" s="244"/>
      <c r="AJ57" s="220"/>
      <c r="AK57" s="252"/>
    </row>
    <row r="58" spans="1:37" ht="12.75" customHeight="1" x14ac:dyDescent="0.25">
      <c r="A58" s="229"/>
      <c r="B58" s="229"/>
      <c r="C58" s="220"/>
      <c r="D58" s="220"/>
      <c r="E58" s="252"/>
      <c r="F58" s="248"/>
      <c r="G58" s="248"/>
      <c r="H58" s="248"/>
      <c r="I58" s="248"/>
      <c r="J58" s="248"/>
      <c r="K58" s="220"/>
      <c r="L58" s="254"/>
      <c r="M58" s="254"/>
      <c r="N58" s="220"/>
      <c r="O58" s="220"/>
      <c r="P58" s="220"/>
      <c r="Q58" s="220"/>
      <c r="R58" s="244"/>
      <c r="S58" s="254"/>
      <c r="T58" s="247"/>
      <c r="U58" s="220"/>
      <c r="V58" s="220"/>
      <c r="W58" s="244"/>
      <c r="X58" s="220"/>
      <c r="Y58" s="220"/>
      <c r="Z58" s="220"/>
      <c r="AA58" s="220"/>
      <c r="AB58" s="244"/>
      <c r="AC58" s="220"/>
      <c r="AD58" s="220"/>
      <c r="AE58" s="220"/>
      <c r="AF58" s="220"/>
      <c r="AG58" s="220"/>
      <c r="AH58" s="244"/>
      <c r="AI58" s="244"/>
      <c r="AJ58" s="220"/>
      <c r="AK58" s="252"/>
    </row>
    <row r="59" spans="1:37" ht="12.75" customHeight="1" x14ac:dyDescent="0.25">
      <c r="A59" s="229"/>
      <c r="B59" s="229"/>
      <c r="C59" s="220"/>
      <c r="D59" s="220"/>
      <c r="E59" s="252"/>
      <c r="F59" s="248"/>
      <c r="G59" s="248"/>
      <c r="H59" s="248"/>
      <c r="I59" s="248"/>
      <c r="J59" s="248"/>
      <c r="K59" s="220"/>
      <c r="L59" s="254"/>
      <c r="M59" s="254"/>
      <c r="N59" s="220"/>
      <c r="O59" s="220"/>
      <c r="P59" s="220"/>
      <c r="Q59" s="220"/>
      <c r="R59" s="244"/>
      <c r="S59" s="254"/>
      <c r="T59" s="247"/>
      <c r="U59" s="220"/>
      <c r="V59" s="220"/>
      <c r="W59" s="244"/>
      <c r="X59" s="220"/>
      <c r="Y59" s="220"/>
      <c r="Z59" s="220"/>
      <c r="AA59" s="220"/>
      <c r="AB59" s="244"/>
      <c r="AC59" s="220"/>
      <c r="AD59" s="220"/>
      <c r="AE59" s="220"/>
      <c r="AF59" s="220"/>
      <c r="AG59" s="220"/>
      <c r="AH59" s="244"/>
      <c r="AI59" s="244"/>
      <c r="AJ59" s="220"/>
      <c r="AK59" s="252"/>
    </row>
    <row r="60" spans="1:37" ht="12.75" customHeight="1" x14ac:dyDescent="0.25">
      <c r="A60" s="229"/>
      <c r="B60" s="229"/>
      <c r="C60" s="220"/>
      <c r="D60" s="220"/>
      <c r="E60" s="252"/>
      <c r="F60" s="248"/>
      <c r="G60" s="248"/>
      <c r="H60" s="248"/>
      <c r="I60" s="248"/>
      <c r="J60" s="248"/>
      <c r="K60" s="220"/>
      <c r="L60" s="254"/>
      <c r="M60" s="254"/>
      <c r="N60" s="220"/>
      <c r="O60" s="220"/>
      <c r="P60" s="220"/>
      <c r="Q60" s="220"/>
      <c r="R60" s="244"/>
      <c r="S60" s="254"/>
      <c r="T60" s="247"/>
      <c r="U60" s="220"/>
      <c r="V60" s="220"/>
      <c r="W60" s="244"/>
      <c r="X60" s="220"/>
      <c r="Y60" s="220"/>
      <c r="Z60" s="220"/>
      <c r="AA60" s="220"/>
      <c r="AB60" s="244"/>
      <c r="AC60" s="220"/>
      <c r="AD60" s="220"/>
      <c r="AE60" s="220"/>
      <c r="AF60" s="220"/>
      <c r="AG60" s="220"/>
      <c r="AH60" s="244"/>
      <c r="AI60" s="244"/>
      <c r="AJ60" s="220"/>
      <c r="AK60" s="252"/>
    </row>
    <row r="61" spans="1:37" ht="12.75" customHeight="1" x14ac:dyDescent="0.25">
      <c r="A61" s="229"/>
      <c r="B61" s="229"/>
      <c r="C61" s="220"/>
      <c r="D61" s="220"/>
      <c r="E61" s="252"/>
      <c r="F61" s="248"/>
      <c r="G61" s="248"/>
      <c r="H61" s="248"/>
      <c r="I61" s="248"/>
      <c r="J61" s="248"/>
      <c r="K61" s="220"/>
      <c r="L61" s="254"/>
      <c r="M61" s="254"/>
      <c r="N61" s="220"/>
      <c r="O61" s="220"/>
      <c r="P61" s="220"/>
      <c r="Q61" s="220"/>
      <c r="R61" s="244"/>
      <c r="S61" s="254"/>
      <c r="T61" s="247"/>
      <c r="U61" s="220"/>
      <c r="V61" s="220"/>
      <c r="W61" s="244"/>
      <c r="X61" s="220"/>
      <c r="Y61" s="220"/>
      <c r="Z61" s="220"/>
      <c r="AA61" s="220"/>
      <c r="AB61" s="244"/>
      <c r="AC61" s="220"/>
      <c r="AD61" s="220"/>
      <c r="AE61" s="220"/>
      <c r="AF61" s="220"/>
      <c r="AG61" s="220"/>
      <c r="AH61" s="244"/>
      <c r="AI61" s="244"/>
      <c r="AJ61" s="220"/>
      <c r="AK61" s="252"/>
    </row>
    <row r="62" spans="1:37" ht="12.75" customHeight="1" x14ac:dyDescent="0.25">
      <c r="A62" s="229"/>
      <c r="B62" s="229"/>
      <c r="C62" s="220"/>
      <c r="D62" s="220"/>
      <c r="E62" s="252"/>
      <c r="F62" s="248"/>
      <c r="G62" s="248"/>
      <c r="H62" s="248"/>
      <c r="I62" s="248"/>
      <c r="J62" s="248"/>
      <c r="K62" s="220"/>
      <c r="L62" s="254"/>
      <c r="M62" s="254"/>
      <c r="N62" s="220"/>
      <c r="O62" s="220"/>
      <c r="P62" s="220"/>
      <c r="Q62" s="220"/>
      <c r="R62" s="244"/>
      <c r="S62" s="254"/>
      <c r="T62" s="247"/>
      <c r="U62" s="220"/>
      <c r="V62" s="220"/>
      <c r="W62" s="244"/>
      <c r="X62" s="220"/>
      <c r="Y62" s="220"/>
      <c r="Z62" s="220"/>
      <c r="AA62" s="220"/>
      <c r="AB62" s="244"/>
      <c r="AC62" s="220"/>
      <c r="AD62" s="220"/>
      <c r="AE62" s="220"/>
      <c r="AF62" s="220"/>
      <c r="AG62" s="220"/>
      <c r="AH62" s="244"/>
      <c r="AI62" s="244"/>
      <c r="AJ62" s="220"/>
      <c r="AK62" s="252"/>
    </row>
    <row r="63" spans="1:37" ht="12.75" customHeight="1" x14ac:dyDescent="0.25">
      <c r="A63" s="229"/>
      <c r="B63" s="229"/>
      <c r="C63" s="220"/>
      <c r="D63" s="220"/>
      <c r="E63" s="252"/>
      <c r="F63" s="248"/>
      <c r="G63" s="248"/>
      <c r="H63" s="248"/>
      <c r="I63" s="248"/>
      <c r="J63" s="248"/>
      <c r="K63" s="220"/>
      <c r="L63" s="254"/>
      <c r="M63" s="254"/>
      <c r="N63" s="220"/>
      <c r="O63" s="220"/>
      <c r="P63" s="220"/>
      <c r="Q63" s="220"/>
      <c r="R63" s="244"/>
      <c r="S63" s="254"/>
      <c r="T63" s="247"/>
      <c r="U63" s="220"/>
      <c r="V63" s="220"/>
      <c r="W63" s="244"/>
      <c r="X63" s="220"/>
      <c r="Y63" s="220"/>
      <c r="Z63" s="220"/>
      <c r="AA63" s="220"/>
      <c r="AB63" s="244"/>
      <c r="AC63" s="220"/>
      <c r="AD63" s="220"/>
      <c r="AE63" s="220"/>
      <c r="AF63" s="220"/>
      <c r="AG63" s="220"/>
      <c r="AH63" s="244"/>
      <c r="AI63" s="244"/>
      <c r="AJ63" s="220"/>
      <c r="AK63" s="252"/>
    </row>
    <row r="64" spans="1:37" ht="12.75" customHeight="1" x14ac:dyDescent="0.25">
      <c r="A64" s="229"/>
      <c r="B64" s="229"/>
      <c r="C64" s="220"/>
      <c r="D64" s="220"/>
      <c r="E64" s="252"/>
      <c r="F64" s="248"/>
      <c r="G64" s="248"/>
      <c r="H64" s="248"/>
      <c r="I64" s="248"/>
      <c r="J64" s="248"/>
      <c r="K64" s="220"/>
      <c r="L64" s="254"/>
      <c r="M64" s="254"/>
      <c r="N64" s="220"/>
      <c r="O64" s="220"/>
      <c r="P64" s="220"/>
      <c r="Q64" s="220"/>
      <c r="R64" s="244"/>
      <c r="S64" s="254"/>
      <c r="T64" s="247"/>
      <c r="U64" s="220"/>
      <c r="V64" s="220"/>
      <c r="W64" s="244"/>
      <c r="X64" s="220"/>
      <c r="Y64" s="220"/>
      <c r="Z64" s="220"/>
      <c r="AA64" s="220"/>
      <c r="AB64" s="244"/>
      <c r="AC64" s="220"/>
      <c r="AD64" s="220"/>
      <c r="AE64" s="220"/>
      <c r="AF64" s="220"/>
      <c r="AG64" s="220"/>
      <c r="AH64" s="244"/>
      <c r="AI64" s="244"/>
      <c r="AJ64" s="220"/>
      <c r="AK64" s="252"/>
    </row>
    <row r="65" spans="1:37" ht="12.75" customHeight="1" x14ac:dyDescent="0.25">
      <c r="A65" s="229"/>
      <c r="B65" s="229"/>
      <c r="C65" s="220"/>
      <c r="D65" s="220"/>
      <c r="E65" s="252"/>
      <c r="F65" s="248"/>
      <c r="G65" s="248"/>
      <c r="H65" s="248"/>
      <c r="I65" s="248"/>
      <c r="J65" s="248"/>
      <c r="K65" s="220"/>
      <c r="L65" s="254"/>
      <c r="M65" s="254"/>
      <c r="N65" s="220"/>
      <c r="O65" s="220"/>
      <c r="P65" s="220"/>
      <c r="Q65" s="220"/>
      <c r="R65" s="244"/>
      <c r="S65" s="254"/>
      <c r="T65" s="247"/>
      <c r="U65" s="220"/>
      <c r="V65" s="220"/>
      <c r="W65" s="244"/>
      <c r="X65" s="220"/>
      <c r="Y65" s="220"/>
      <c r="Z65" s="220"/>
      <c r="AA65" s="220"/>
      <c r="AB65" s="244"/>
      <c r="AC65" s="220"/>
      <c r="AD65" s="220"/>
      <c r="AE65" s="220"/>
      <c r="AF65" s="220"/>
      <c r="AG65" s="220"/>
      <c r="AH65" s="244"/>
      <c r="AI65" s="244"/>
      <c r="AJ65" s="220"/>
      <c r="AK65" s="252"/>
    </row>
    <row r="66" spans="1:37" ht="12.75" customHeight="1" x14ac:dyDescent="0.25">
      <c r="A66" s="229"/>
      <c r="B66" s="229"/>
      <c r="C66" s="220"/>
      <c r="D66" s="220"/>
      <c r="E66" s="252"/>
      <c r="F66" s="248"/>
      <c r="G66" s="248"/>
      <c r="H66" s="248"/>
      <c r="I66" s="248"/>
      <c r="J66" s="248"/>
      <c r="K66" s="220"/>
      <c r="L66" s="254"/>
      <c r="M66" s="254"/>
      <c r="N66" s="220"/>
      <c r="O66" s="220"/>
      <c r="P66" s="220"/>
      <c r="Q66" s="220"/>
      <c r="R66" s="244"/>
      <c r="S66" s="254"/>
      <c r="T66" s="247"/>
      <c r="U66" s="220"/>
      <c r="V66" s="220"/>
      <c r="W66" s="244"/>
      <c r="X66" s="220"/>
      <c r="Y66" s="220"/>
      <c r="Z66" s="220"/>
      <c r="AA66" s="220"/>
      <c r="AB66" s="244"/>
      <c r="AC66" s="220"/>
      <c r="AD66" s="220"/>
      <c r="AE66" s="220"/>
      <c r="AF66" s="220"/>
      <c r="AG66" s="220"/>
      <c r="AH66" s="244"/>
      <c r="AI66" s="244"/>
      <c r="AJ66" s="220"/>
      <c r="AK66" s="252"/>
    </row>
    <row r="67" spans="1:37" ht="12.75" customHeight="1" x14ac:dyDescent="0.25">
      <c r="A67" s="229"/>
      <c r="B67" s="229"/>
      <c r="C67" s="220"/>
      <c r="D67" s="220"/>
      <c r="E67" s="252"/>
      <c r="F67" s="248"/>
      <c r="G67" s="248"/>
      <c r="H67" s="248"/>
      <c r="I67" s="248"/>
      <c r="J67" s="248"/>
      <c r="K67" s="220"/>
      <c r="L67" s="254"/>
      <c r="M67" s="254"/>
      <c r="N67" s="220"/>
      <c r="O67" s="220"/>
      <c r="P67" s="220"/>
      <c r="Q67" s="220"/>
      <c r="R67" s="244"/>
      <c r="S67" s="254"/>
      <c r="T67" s="247"/>
      <c r="U67" s="220"/>
      <c r="V67" s="220"/>
      <c r="W67" s="244"/>
      <c r="X67" s="220"/>
      <c r="Y67" s="220"/>
      <c r="Z67" s="220"/>
      <c r="AA67" s="220"/>
      <c r="AB67" s="244"/>
      <c r="AC67" s="220"/>
      <c r="AD67" s="220"/>
      <c r="AE67" s="220"/>
      <c r="AF67" s="220"/>
      <c r="AG67" s="220"/>
      <c r="AH67" s="244"/>
      <c r="AI67" s="244"/>
      <c r="AJ67" s="220"/>
      <c r="AK67" s="252"/>
    </row>
    <row r="68" spans="1:37" ht="12.75" customHeight="1" x14ac:dyDescent="0.25">
      <c r="A68" s="229"/>
      <c r="B68" s="229"/>
      <c r="C68" s="220"/>
      <c r="D68" s="220"/>
      <c r="E68" s="252"/>
      <c r="F68" s="248"/>
      <c r="G68" s="248"/>
      <c r="H68" s="248"/>
      <c r="I68" s="248"/>
      <c r="J68" s="248"/>
      <c r="K68" s="220"/>
      <c r="L68" s="254"/>
      <c r="M68" s="254"/>
      <c r="N68" s="220"/>
      <c r="O68" s="220"/>
      <c r="P68" s="220"/>
      <c r="Q68" s="220"/>
      <c r="R68" s="244"/>
      <c r="S68" s="254"/>
      <c r="T68" s="247"/>
      <c r="U68" s="220"/>
      <c r="V68" s="220"/>
      <c r="W68" s="244"/>
      <c r="X68" s="220"/>
      <c r="Y68" s="220"/>
      <c r="Z68" s="220"/>
      <c r="AA68" s="220"/>
      <c r="AB68" s="244"/>
      <c r="AC68" s="220"/>
      <c r="AD68" s="220"/>
      <c r="AE68" s="220"/>
      <c r="AF68" s="220"/>
      <c r="AG68" s="220"/>
      <c r="AH68" s="244"/>
      <c r="AI68" s="244"/>
      <c r="AJ68" s="220"/>
      <c r="AK68" s="252"/>
    </row>
    <row r="69" spans="1:37" ht="12.75" customHeight="1" x14ac:dyDescent="0.25">
      <c r="A69" s="229"/>
      <c r="B69" s="229"/>
      <c r="C69" s="220"/>
      <c r="D69" s="220"/>
      <c r="E69" s="252"/>
      <c r="F69" s="248"/>
      <c r="G69" s="248"/>
      <c r="H69" s="248"/>
      <c r="I69" s="248"/>
      <c r="J69" s="248"/>
      <c r="K69" s="220"/>
      <c r="L69" s="254"/>
      <c r="M69" s="254"/>
      <c r="N69" s="220"/>
      <c r="O69" s="220"/>
      <c r="P69" s="220"/>
      <c r="Q69" s="220"/>
      <c r="R69" s="244"/>
      <c r="S69" s="254"/>
      <c r="T69" s="247"/>
      <c r="U69" s="220"/>
      <c r="V69" s="220"/>
      <c r="W69" s="244"/>
      <c r="X69" s="220"/>
      <c r="Y69" s="220"/>
      <c r="Z69" s="220"/>
      <c r="AA69" s="220"/>
      <c r="AB69" s="244"/>
      <c r="AC69" s="220"/>
      <c r="AD69" s="220"/>
      <c r="AE69" s="220"/>
      <c r="AF69" s="220"/>
      <c r="AG69" s="220"/>
      <c r="AH69" s="244"/>
      <c r="AI69" s="244"/>
      <c r="AJ69" s="220"/>
      <c r="AK69" s="252"/>
    </row>
    <row r="70" spans="1:37" ht="12.75" customHeight="1" x14ac:dyDescent="0.25">
      <c r="A70" s="229"/>
      <c r="B70" s="229"/>
      <c r="C70" s="220"/>
      <c r="D70" s="220"/>
      <c r="E70" s="252"/>
      <c r="F70" s="248"/>
      <c r="G70" s="248"/>
      <c r="H70" s="248"/>
      <c r="I70" s="248"/>
      <c r="J70" s="248"/>
      <c r="K70" s="220"/>
      <c r="L70" s="254"/>
      <c r="M70" s="254"/>
      <c r="N70" s="220"/>
      <c r="O70" s="220"/>
      <c r="P70" s="220"/>
      <c r="Q70" s="220"/>
      <c r="R70" s="244"/>
      <c r="S70" s="254"/>
      <c r="T70" s="247"/>
      <c r="U70" s="220"/>
      <c r="V70" s="220"/>
      <c r="W70" s="244"/>
      <c r="X70" s="220"/>
      <c r="Y70" s="220"/>
      <c r="Z70" s="220"/>
      <c r="AA70" s="220"/>
      <c r="AB70" s="244"/>
      <c r="AC70" s="220"/>
      <c r="AD70" s="220"/>
      <c r="AE70" s="220"/>
      <c r="AF70" s="220"/>
      <c r="AG70" s="220"/>
      <c r="AH70" s="244"/>
      <c r="AI70" s="244"/>
      <c r="AJ70" s="220"/>
      <c r="AK70" s="252"/>
    </row>
    <row r="71" spans="1:37" ht="12.75" customHeight="1" x14ac:dyDescent="0.25">
      <c r="A71" s="229"/>
      <c r="B71" s="229"/>
      <c r="C71" s="220"/>
      <c r="D71" s="220"/>
      <c r="E71" s="252"/>
      <c r="F71" s="248"/>
      <c r="G71" s="248"/>
      <c r="H71" s="248"/>
      <c r="I71" s="248"/>
      <c r="J71" s="248"/>
      <c r="K71" s="220"/>
      <c r="L71" s="254"/>
      <c r="M71" s="254"/>
      <c r="N71" s="220"/>
      <c r="O71" s="220"/>
      <c r="P71" s="220"/>
      <c r="Q71" s="220"/>
      <c r="R71" s="244"/>
      <c r="S71" s="254"/>
      <c r="T71" s="247"/>
      <c r="U71" s="220"/>
      <c r="V71" s="220"/>
      <c r="W71" s="244"/>
      <c r="X71" s="220"/>
      <c r="Y71" s="220"/>
      <c r="Z71" s="220"/>
      <c r="AA71" s="220"/>
      <c r="AB71" s="244"/>
      <c r="AC71" s="220"/>
      <c r="AD71" s="220"/>
      <c r="AE71" s="220"/>
      <c r="AF71" s="220"/>
      <c r="AG71" s="220"/>
      <c r="AH71" s="244"/>
      <c r="AI71" s="244"/>
      <c r="AJ71" s="220"/>
      <c r="AK71" s="252"/>
    </row>
    <row r="72" spans="1:37" ht="12.75" customHeight="1" x14ac:dyDescent="0.25">
      <c r="A72" s="229"/>
      <c r="B72" s="229"/>
      <c r="C72" s="220"/>
      <c r="D72" s="220"/>
      <c r="E72" s="252"/>
      <c r="F72" s="248"/>
      <c r="G72" s="248"/>
      <c r="H72" s="248"/>
      <c r="I72" s="248"/>
      <c r="J72" s="248"/>
      <c r="K72" s="220"/>
      <c r="L72" s="254"/>
      <c r="M72" s="254"/>
      <c r="N72" s="220"/>
      <c r="O72" s="220"/>
      <c r="P72" s="220"/>
      <c r="Q72" s="220"/>
      <c r="R72" s="244"/>
      <c r="S72" s="254"/>
      <c r="T72" s="247"/>
      <c r="U72" s="220"/>
      <c r="V72" s="220"/>
      <c r="W72" s="244"/>
      <c r="X72" s="220"/>
      <c r="Y72" s="220"/>
      <c r="Z72" s="220"/>
      <c r="AA72" s="220"/>
      <c r="AB72" s="244"/>
      <c r="AC72" s="220"/>
      <c r="AD72" s="220"/>
      <c r="AE72" s="220"/>
      <c r="AF72" s="220"/>
      <c r="AG72" s="220"/>
      <c r="AH72" s="244"/>
      <c r="AI72" s="244"/>
      <c r="AJ72" s="220"/>
      <c r="AK72" s="252"/>
    </row>
    <row r="73" spans="1:37" ht="12.75" customHeight="1" x14ac:dyDescent="0.25">
      <c r="A73" s="229"/>
      <c r="B73" s="229"/>
      <c r="C73" s="220"/>
      <c r="D73" s="220"/>
      <c r="E73" s="252"/>
      <c r="F73" s="248"/>
      <c r="G73" s="248"/>
      <c r="H73" s="248"/>
      <c r="I73" s="248"/>
      <c r="J73" s="248"/>
      <c r="K73" s="220"/>
      <c r="L73" s="254"/>
      <c r="M73" s="254"/>
      <c r="N73" s="220"/>
      <c r="O73" s="220"/>
      <c r="P73" s="220"/>
      <c r="Q73" s="220"/>
      <c r="R73" s="244"/>
      <c r="S73" s="254"/>
      <c r="T73" s="247"/>
      <c r="U73" s="220"/>
      <c r="V73" s="220"/>
      <c r="W73" s="244"/>
      <c r="X73" s="220"/>
      <c r="Y73" s="220"/>
      <c r="Z73" s="220"/>
      <c r="AA73" s="220"/>
      <c r="AB73" s="244"/>
      <c r="AC73" s="220"/>
      <c r="AD73" s="220"/>
      <c r="AE73" s="220"/>
      <c r="AF73" s="220"/>
      <c r="AG73" s="220"/>
      <c r="AH73" s="244"/>
      <c r="AI73" s="244"/>
      <c r="AJ73" s="220"/>
      <c r="AK73" s="252"/>
    </row>
    <row r="74" spans="1:37" ht="12.75" customHeight="1" x14ac:dyDescent="0.25">
      <c r="A74" s="229"/>
      <c r="B74" s="229"/>
      <c r="C74" s="220"/>
      <c r="D74" s="220"/>
      <c r="E74" s="252"/>
      <c r="F74" s="248"/>
      <c r="G74" s="248"/>
      <c r="H74" s="248"/>
      <c r="I74" s="248"/>
      <c r="J74" s="248"/>
      <c r="K74" s="220"/>
      <c r="L74" s="254"/>
      <c r="M74" s="254"/>
      <c r="N74" s="220"/>
      <c r="O74" s="220"/>
      <c r="P74" s="220"/>
      <c r="Q74" s="220"/>
      <c r="R74" s="244"/>
      <c r="S74" s="254"/>
      <c r="T74" s="247"/>
      <c r="U74" s="220"/>
      <c r="V74" s="220"/>
      <c r="W74" s="244"/>
      <c r="X74" s="220"/>
      <c r="Y74" s="220"/>
      <c r="Z74" s="220"/>
      <c r="AA74" s="220"/>
      <c r="AB74" s="244"/>
      <c r="AC74" s="220"/>
      <c r="AD74" s="220"/>
      <c r="AE74" s="220"/>
      <c r="AF74" s="220"/>
      <c r="AG74" s="220"/>
      <c r="AH74" s="244"/>
      <c r="AI74" s="244"/>
      <c r="AJ74" s="220"/>
      <c r="AK74" s="252"/>
    </row>
    <row r="75" spans="1:37" ht="12.75" customHeight="1" x14ac:dyDescent="0.25">
      <c r="A75" s="229"/>
      <c r="B75" s="229"/>
      <c r="C75" s="220"/>
      <c r="D75" s="220"/>
      <c r="E75" s="252"/>
      <c r="F75" s="248"/>
      <c r="G75" s="248"/>
      <c r="H75" s="248"/>
      <c r="I75" s="248"/>
      <c r="J75" s="248"/>
      <c r="K75" s="220"/>
      <c r="L75" s="254"/>
      <c r="M75" s="254"/>
      <c r="N75" s="220"/>
      <c r="O75" s="220"/>
      <c r="P75" s="220"/>
      <c r="Q75" s="220"/>
      <c r="R75" s="244"/>
      <c r="S75" s="254"/>
      <c r="T75" s="247"/>
      <c r="U75" s="220"/>
      <c r="V75" s="220"/>
      <c r="W75" s="244"/>
      <c r="X75" s="220"/>
      <c r="Y75" s="220"/>
      <c r="Z75" s="220"/>
      <c r="AA75" s="220"/>
      <c r="AB75" s="244"/>
      <c r="AC75" s="220"/>
      <c r="AD75" s="220"/>
      <c r="AE75" s="220"/>
      <c r="AF75" s="220"/>
      <c r="AG75" s="220"/>
      <c r="AH75" s="244"/>
      <c r="AI75" s="244"/>
      <c r="AJ75" s="220"/>
      <c r="AK75" s="252"/>
    </row>
    <row r="76" spans="1:37" ht="12.75" customHeight="1" x14ac:dyDescent="0.25">
      <c r="A76" s="229"/>
      <c r="B76" s="229"/>
      <c r="C76" s="220"/>
      <c r="D76" s="220"/>
      <c r="E76" s="252"/>
      <c r="F76" s="248"/>
      <c r="G76" s="248"/>
      <c r="H76" s="248"/>
      <c r="I76" s="248"/>
      <c r="J76" s="248"/>
      <c r="K76" s="220"/>
      <c r="L76" s="254"/>
      <c r="M76" s="254"/>
      <c r="N76" s="220"/>
      <c r="O76" s="220"/>
      <c r="P76" s="220"/>
      <c r="Q76" s="220"/>
      <c r="R76" s="244"/>
      <c r="S76" s="254"/>
      <c r="T76" s="247"/>
      <c r="U76" s="220"/>
      <c r="V76" s="220"/>
      <c r="W76" s="244"/>
      <c r="X76" s="220"/>
      <c r="Y76" s="220"/>
      <c r="Z76" s="220"/>
      <c r="AA76" s="220"/>
      <c r="AB76" s="244"/>
      <c r="AC76" s="220"/>
      <c r="AD76" s="220"/>
      <c r="AE76" s="220"/>
      <c r="AF76" s="220"/>
      <c r="AG76" s="220"/>
      <c r="AH76" s="244"/>
      <c r="AI76" s="244"/>
      <c r="AJ76" s="220"/>
      <c r="AK76" s="252"/>
    </row>
    <row r="77" spans="1:37" ht="12.75" customHeight="1" x14ac:dyDescent="0.25">
      <c r="A77" s="229"/>
      <c r="B77" s="229"/>
      <c r="C77" s="220"/>
      <c r="D77" s="220"/>
      <c r="E77" s="252"/>
      <c r="F77" s="248"/>
      <c r="G77" s="248"/>
      <c r="H77" s="248"/>
      <c r="I77" s="248"/>
      <c r="J77" s="248"/>
      <c r="K77" s="220"/>
      <c r="L77" s="254"/>
      <c r="M77" s="254"/>
      <c r="N77" s="220"/>
      <c r="O77" s="220"/>
      <c r="P77" s="220"/>
      <c r="Q77" s="220"/>
      <c r="R77" s="244"/>
      <c r="S77" s="254"/>
      <c r="T77" s="247"/>
      <c r="U77" s="220"/>
      <c r="V77" s="220"/>
      <c r="W77" s="244"/>
      <c r="X77" s="220"/>
      <c r="Y77" s="220"/>
      <c r="Z77" s="220"/>
      <c r="AA77" s="220"/>
      <c r="AB77" s="244"/>
      <c r="AC77" s="220"/>
      <c r="AD77" s="220"/>
      <c r="AE77" s="220"/>
      <c r="AF77" s="220"/>
      <c r="AG77" s="220"/>
      <c r="AH77" s="244"/>
      <c r="AI77" s="244"/>
      <c r="AJ77" s="220"/>
      <c r="AK77" s="252"/>
    </row>
    <row r="78" spans="1:37" ht="12.75" customHeight="1" x14ac:dyDescent="0.25">
      <c r="A78" s="229"/>
      <c r="B78" s="229"/>
      <c r="C78" s="220"/>
      <c r="D78" s="220"/>
      <c r="E78" s="252"/>
      <c r="F78" s="248"/>
      <c r="G78" s="248"/>
      <c r="H78" s="248"/>
      <c r="I78" s="248"/>
      <c r="J78" s="248"/>
      <c r="K78" s="220"/>
      <c r="L78" s="254"/>
      <c r="M78" s="254"/>
      <c r="N78" s="220"/>
      <c r="O78" s="220"/>
      <c r="P78" s="220"/>
      <c r="Q78" s="220"/>
      <c r="R78" s="244"/>
      <c r="S78" s="254"/>
      <c r="T78" s="247"/>
      <c r="U78" s="220"/>
      <c r="V78" s="220"/>
      <c r="W78" s="244"/>
      <c r="X78" s="220"/>
      <c r="Y78" s="220"/>
      <c r="Z78" s="220"/>
      <c r="AA78" s="220"/>
      <c r="AB78" s="244"/>
      <c r="AC78" s="220"/>
      <c r="AD78" s="220"/>
      <c r="AE78" s="220"/>
      <c r="AF78" s="220"/>
      <c r="AG78" s="220"/>
      <c r="AH78" s="244"/>
      <c r="AI78" s="244"/>
      <c r="AJ78" s="220"/>
      <c r="AK78" s="252"/>
    </row>
    <row r="79" spans="1:37" ht="12.75" customHeight="1" x14ac:dyDescent="0.25">
      <c r="A79" s="229"/>
      <c r="B79" s="229"/>
      <c r="C79" s="220"/>
      <c r="D79" s="220"/>
      <c r="E79" s="252"/>
      <c r="F79" s="248"/>
      <c r="G79" s="248"/>
      <c r="H79" s="248"/>
      <c r="I79" s="248"/>
      <c r="J79" s="248"/>
      <c r="K79" s="220"/>
      <c r="L79" s="254"/>
      <c r="M79" s="254"/>
      <c r="N79" s="220"/>
      <c r="O79" s="220"/>
      <c r="P79" s="220"/>
      <c r="Q79" s="220"/>
      <c r="R79" s="244"/>
      <c r="S79" s="254"/>
      <c r="T79" s="247"/>
      <c r="U79" s="220"/>
      <c r="V79" s="220"/>
      <c r="W79" s="244"/>
      <c r="X79" s="220"/>
      <c r="Y79" s="220"/>
      <c r="Z79" s="220"/>
      <c r="AA79" s="220"/>
      <c r="AB79" s="244"/>
      <c r="AC79" s="220"/>
      <c r="AD79" s="220"/>
      <c r="AE79" s="220"/>
      <c r="AF79" s="220"/>
      <c r="AG79" s="220"/>
      <c r="AH79" s="244"/>
      <c r="AI79" s="244"/>
      <c r="AJ79" s="220"/>
      <c r="AK79" s="252"/>
    </row>
    <row r="80" spans="1:37" ht="12.75" customHeight="1" x14ac:dyDescent="0.25">
      <c r="A80" s="229"/>
      <c r="B80" s="229"/>
      <c r="C80" s="220"/>
      <c r="D80" s="220"/>
      <c r="E80" s="252"/>
      <c r="F80" s="248"/>
      <c r="G80" s="248"/>
      <c r="H80" s="248"/>
      <c r="I80" s="248"/>
      <c r="J80" s="248"/>
      <c r="K80" s="220"/>
      <c r="L80" s="254"/>
      <c r="M80" s="254"/>
      <c r="N80" s="220"/>
      <c r="O80" s="220"/>
      <c r="P80" s="220"/>
      <c r="Q80" s="220"/>
      <c r="R80" s="244"/>
      <c r="S80" s="254"/>
      <c r="T80" s="247"/>
      <c r="U80" s="220"/>
      <c r="V80" s="220"/>
      <c r="W80" s="244"/>
      <c r="X80" s="220"/>
      <c r="Y80" s="220"/>
      <c r="Z80" s="220"/>
      <c r="AA80" s="220"/>
      <c r="AB80" s="244"/>
      <c r="AC80" s="220"/>
      <c r="AD80" s="220"/>
      <c r="AE80" s="220"/>
      <c r="AF80" s="220"/>
      <c r="AG80" s="220"/>
      <c r="AH80" s="244"/>
      <c r="AI80" s="244"/>
      <c r="AJ80" s="220"/>
      <c r="AK80" s="252"/>
    </row>
    <row r="81" spans="1:37" ht="12.75" customHeight="1" x14ac:dyDescent="0.25">
      <c r="A81" s="229"/>
      <c r="B81" s="229"/>
      <c r="C81" s="220"/>
      <c r="D81" s="220"/>
      <c r="E81" s="252"/>
      <c r="F81" s="248"/>
      <c r="G81" s="248"/>
      <c r="H81" s="248"/>
      <c r="I81" s="248"/>
      <c r="J81" s="248"/>
      <c r="K81" s="220"/>
      <c r="L81" s="254"/>
      <c r="M81" s="254"/>
      <c r="N81" s="220"/>
      <c r="O81" s="220"/>
      <c r="P81" s="220"/>
      <c r="Q81" s="220"/>
      <c r="R81" s="244"/>
      <c r="S81" s="254"/>
      <c r="T81" s="247"/>
      <c r="U81" s="220"/>
      <c r="V81" s="220"/>
      <c r="W81" s="244"/>
      <c r="X81" s="220"/>
      <c r="Y81" s="220"/>
      <c r="Z81" s="220"/>
      <c r="AA81" s="220"/>
      <c r="AB81" s="244"/>
      <c r="AC81" s="220"/>
      <c r="AD81" s="220"/>
      <c r="AE81" s="220"/>
      <c r="AF81" s="220"/>
      <c r="AG81" s="220"/>
      <c r="AH81" s="244"/>
      <c r="AI81" s="244"/>
      <c r="AJ81" s="220"/>
      <c r="AK81" s="252"/>
    </row>
    <row r="82" spans="1:37" ht="12.75" customHeight="1" x14ac:dyDescent="0.25">
      <c r="A82" s="229"/>
      <c r="B82" s="229"/>
      <c r="C82" s="220"/>
      <c r="D82" s="220"/>
      <c r="E82" s="252"/>
      <c r="F82" s="248"/>
      <c r="G82" s="248"/>
      <c r="H82" s="248"/>
      <c r="I82" s="248"/>
      <c r="J82" s="248"/>
      <c r="K82" s="220"/>
      <c r="L82" s="254"/>
      <c r="M82" s="254"/>
      <c r="N82" s="220"/>
      <c r="O82" s="220"/>
      <c r="P82" s="220"/>
      <c r="Q82" s="220"/>
      <c r="R82" s="244"/>
      <c r="S82" s="254"/>
      <c r="T82" s="247"/>
      <c r="U82" s="220"/>
      <c r="V82" s="220"/>
      <c r="W82" s="244"/>
      <c r="X82" s="220"/>
      <c r="Y82" s="220"/>
      <c r="Z82" s="220"/>
      <c r="AA82" s="220"/>
      <c r="AB82" s="244"/>
      <c r="AC82" s="220"/>
      <c r="AD82" s="220"/>
      <c r="AE82" s="220"/>
      <c r="AF82" s="220"/>
      <c r="AG82" s="220"/>
      <c r="AH82" s="244"/>
      <c r="AI82" s="244"/>
      <c r="AJ82" s="220"/>
      <c r="AK82" s="252"/>
    </row>
    <row r="83" spans="1:37" ht="12.75" customHeight="1" x14ac:dyDescent="0.25">
      <c r="A83" s="229"/>
      <c r="B83" s="229"/>
      <c r="C83" s="220"/>
      <c r="D83" s="220"/>
      <c r="E83" s="252"/>
      <c r="F83" s="248"/>
      <c r="G83" s="248"/>
      <c r="H83" s="248"/>
      <c r="I83" s="248"/>
      <c r="J83" s="248"/>
      <c r="K83" s="220"/>
      <c r="L83" s="254"/>
      <c r="M83" s="254"/>
      <c r="N83" s="220"/>
      <c r="O83" s="220"/>
      <c r="P83" s="220"/>
      <c r="Q83" s="220"/>
      <c r="R83" s="244"/>
      <c r="S83" s="254"/>
      <c r="T83" s="247"/>
      <c r="U83" s="220"/>
      <c r="V83" s="220"/>
      <c r="W83" s="244"/>
      <c r="X83" s="220"/>
      <c r="Y83" s="220"/>
      <c r="Z83" s="220"/>
      <c r="AA83" s="220"/>
      <c r="AB83" s="244"/>
      <c r="AC83" s="220"/>
      <c r="AD83" s="220"/>
      <c r="AE83" s="220"/>
      <c r="AF83" s="220"/>
      <c r="AG83" s="220"/>
      <c r="AH83" s="244"/>
      <c r="AI83" s="244"/>
      <c r="AJ83" s="220"/>
      <c r="AK83" s="252"/>
    </row>
    <row r="84" spans="1:37" ht="12.75" customHeight="1" x14ac:dyDescent="0.25">
      <c r="A84" s="229"/>
      <c r="B84" s="229"/>
      <c r="C84" s="220"/>
      <c r="D84" s="220"/>
      <c r="E84" s="252"/>
      <c r="F84" s="248"/>
      <c r="G84" s="248"/>
      <c r="H84" s="248"/>
      <c r="I84" s="248"/>
      <c r="J84" s="248"/>
      <c r="K84" s="220"/>
      <c r="L84" s="254"/>
      <c r="M84" s="254"/>
      <c r="N84" s="220"/>
      <c r="O84" s="220"/>
      <c r="P84" s="220"/>
      <c r="Q84" s="220"/>
      <c r="R84" s="244"/>
      <c r="S84" s="254"/>
      <c r="T84" s="247"/>
      <c r="U84" s="220"/>
      <c r="V84" s="220"/>
      <c r="W84" s="244"/>
      <c r="X84" s="220"/>
      <c r="Y84" s="220"/>
      <c r="Z84" s="220"/>
      <c r="AA84" s="220"/>
      <c r="AB84" s="244"/>
      <c r="AC84" s="220"/>
      <c r="AD84" s="220"/>
      <c r="AE84" s="220"/>
      <c r="AF84" s="220"/>
      <c r="AG84" s="220"/>
      <c r="AH84" s="244"/>
      <c r="AI84" s="244"/>
      <c r="AJ84" s="220"/>
      <c r="AK84" s="252"/>
    </row>
    <row r="85" spans="1:37" ht="12.75" customHeight="1" x14ac:dyDescent="0.25">
      <c r="A85" s="229"/>
      <c r="B85" s="229"/>
      <c r="C85" s="220"/>
      <c r="D85" s="220"/>
      <c r="E85" s="252"/>
      <c r="F85" s="248"/>
      <c r="G85" s="248"/>
      <c r="H85" s="248"/>
      <c r="I85" s="248"/>
      <c r="J85" s="248"/>
      <c r="K85" s="220"/>
      <c r="L85" s="254"/>
      <c r="M85" s="254"/>
      <c r="N85" s="220"/>
      <c r="O85" s="220"/>
      <c r="P85" s="220"/>
      <c r="Q85" s="220"/>
      <c r="R85" s="244"/>
      <c r="S85" s="254"/>
      <c r="T85" s="247"/>
      <c r="U85" s="220"/>
      <c r="V85" s="220"/>
      <c r="W85" s="244"/>
      <c r="X85" s="220"/>
      <c r="Y85" s="220"/>
      <c r="Z85" s="220"/>
      <c r="AA85" s="220"/>
      <c r="AB85" s="244"/>
      <c r="AC85" s="220"/>
      <c r="AD85" s="220"/>
      <c r="AE85" s="220"/>
      <c r="AF85" s="220"/>
      <c r="AG85" s="220"/>
      <c r="AH85" s="244"/>
      <c r="AI85" s="244"/>
      <c r="AJ85" s="220"/>
      <c r="AK85" s="252"/>
    </row>
    <row r="86" spans="1:37" ht="12.75" customHeight="1" x14ac:dyDescent="0.25">
      <c r="A86" s="229"/>
      <c r="B86" s="229"/>
      <c r="C86" s="220"/>
      <c r="D86" s="220"/>
      <c r="E86" s="252"/>
      <c r="F86" s="248"/>
      <c r="G86" s="248"/>
      <c r="H86" s="248"/>
      <c r="I86" s="248"/>
      <c r="J86" s="248"/>
      <c r="K86" s="220"/>
      <c r="L86" s="254"/>
      <c r="M86" s="254"/>
      <c r="N86" s="220"/>
      <c r="O86" s="220"/>
      <c r="P86" s="220"/>
      <c r="Q86" s="220"/>
      <c r="R86" s="244"/>
      <c r="S86" s="254"/>
      <c r="T86" s="247"/>
      <c r="U86" s="220"/>
      <c r="V86" s="220"/>
      <c r="W86" s="244"/>
      <c r="X86" s="220"/>
      <c r="Y86" s="220"/>
      <c r="Z86" s="220"/>
      <c r="AA86" s="220"/>
      <c r="AB86" s="244"/>
      <c r="AC86" s="220"/>
      <c r="AD86" s="220"/>
      <c r="AE86" s="220"/>
      <c r="AF86" s="220"/>
      <c r="AG86" s="220"/>
      <c r="AH86" s="244"/>
      <c r="AI86" s="244"/>
      <c r="AJ86" s="220"/>
      <c r="AK86" s="252"/>
    </row>
    <row r="87" spans="1:37" ht="12.75" customHeight="1" x14ac:dyDescent="0.25">
      <c r="A87" s="229"/>
      <c r="B87" s="229"/>
      <c r="C87" s="220"/>
      <c r="D87" s="220"/>
      <c r="E87" s="252"/>
      <c r="F87" s="248"/>
      <c r="G87" s="248"/>
      <c r="H87" s="248"/>
      <c r="I87" s="248"/>
      <c r="J87" s="248"/>
      <c r="K87" s="220"/>
      <c r="L87" s="254"/>
      <c r="M87" s="254"/>
      <c r="N87" s="220"/>
      <c r="O87" s="220"/>
      <c r="P87" s="220"/>
      <c r="Q87" s="220"/>
      <c r="R87" s="244"/>
      <c r="S87" s="254"/>
      <c r="T87" s="247"/>
      <c r="U87" s="220"/>
      <c r="V87" s="220"/>
      <c r="W87" s="244"/>
      <c r="X87" s="220"/>
      <c r="Y87" s="220"/>
      <c r="Z87" s="220"/>
      <c r="AA87" s="220"/>
      <c r="AB87" s="244"/>
      <c r="AC87" s="220"/>
      <c r="AD87" s="220"/>
      <c r="AE87" s="220"/>
      <c r="AF87" s="220"/>
      <c r="AG87" s="220"/>
      <c r="AH87" s="244"/>
      <c r="AI87" s="244"/>
      <c r="AJ87" s="220"/>
      <c r="AK87" s="252"/>
    </row>
    <row r="88" spans="1:37" ht="12.75" customHeight="1" x14ac:dyDescent="0.25">
      <c r="A88" s="229"/>
      <c r="B88" s="229"/>
      <c r="C88" s="220"/>
      <c r="D88" s="220"/>
      <c r="E88" s="252"/>
      <c r="F88" s="248"/>
      <c r="G88" s="248"/>
      <c r="H88" s="248"/>
      <c r="I88" s="248"/>
      <c r="J88" s="248"/>
      <c r="K88" s="220"/>
      <c r="L88" s="254"/>
      <c r="M88" s="254"/>
      <c r="N88" s="220"/>
      <c r="O88" s="220"/>
      <c r="P88" s="220"/>
      <c r="Q88" s="220"/>
      <c r="R88" s="244"/>
      <c r="S88" s="254"/>
      <c r="T88" s="247"/>
      <c r="U88" s="220"/>
      <c r="V88" s="220"/>
      <c r="W88" s="244"/>
      <c r="X88" s="220"/>
      <c r="Y88" s="220"/>
      <c r="Z88" s="220"/>
      <c r="AA88" s="220"/>
      <c r="AB88" s="244"/>
      <c r="AC88" s="220"/>
      <c r="AD88" s="220"/>
      <c r="AE88" s="220"/>
      <c r="AF88" s="220"/>
      <c r="AG88" s="220"/>
      <c r="AH88" s="244"/>
      <c r="AI88" s="244"/>
      <c r="AJ88" s="220"/>
      <c r="AK88" s="252"/>
    </row>
    <row r="89" spans="1:37" ht="12.75" customHeight="1" x14ac:dyDescent="0.25">
      <c r="A89" s="229"/>
      <c r="B89" s="229"/>
      <c r="C89" s="220"/>
      <c r="D89" s="220"/>
      <c r="E89" s="252"/>
      <c r="F89" s="248"/>
      <c r="G89" s="248"/>
      <c r="H89" s="248"/>
      <c r="I89" s="248"/>
      <c r="J89" s="248"/>
      <c r="K89" s="220"/>
      <c r="L89" s="254"/>
      <c r="M89" s="254"/>
      <c r="N89" s="220"/>
      <c r="O89" s="220"/>
      <c r="P89" s="220"/>
      <c r="Q89" s="220"/>
      <c r="R89" s="244"/>
      <c r="S89" s="254"/>
      <c r="T89" s="247"/>
      <c r="U89" s="220"/>
      <c r="V89" s="220"/>
      <c r="W89" s="244"/>
      <c r="X89" s="220"/>
      <c r="Y89" s="220"/>
      <c r="Z89" s="220"/>
      <c r="AA89" s="220"/>
      <c r="AB89" s="244"/>
      <c r="AC89" s="220"/>
      <c r="AD89" s="220"/>
      <c r="AE89" s="220"/>
      <c r="AF89" s="220"/>
      <c r="AG89" s="220"/>
      <c r="AH89" s="244"/>
      <c r="AI89" s="244"/>
      <c r="AJ89" s="220"/>
      <c r="AK89" s="252"/>
    </row>
    <row r="90" spans="1:37" ht="12.75" customHeight="1" x14ac:dyDescent="0.25">
      <c r="A90" s="229"/>
      <c r="B90" s="229"/>
      <c r="C90" s="220"/>
      <c r="D90" s="220"/>
      <c r="E90" s="252"/>
      <c r="F90" s="248"/>
      <c r="G90" s="248"/>
      <c r="H90" s="248"/>
      <c r="I90" s="248"/>
      <c r="J90" s="248"/>
      <c r="K90" s="220"/>
      <c r="L90" s="254"/>
      <c r="M90" s="254"/>
      <c r="N90" s="220"/>
      <c r="O90" s="220"/>
      <c r="P90" s="220"/>
      <c r="Q90" s="220"/>
      <c r="R90" s="244"/>
      <c r="S90" s="254"/>
      <c r="T90" s="247"/>
      <c r="U90" s="220"/>
      <c r="V90" s="220"/>
      <c r="W90" s="244"/>
      <c r="X90" s="220"/>
      <c r="Y90" s="220"/>
      <c r="Z90" s="220"/>
      <c r="AA90" s="220"/>
      <c r="AB90" s="244"/>
      <c r="AC90" s="220"/>
      <c r="AD90" s="220"/>
      <c r="AE90" s="220"/>
      <c r="AF90" s="220"/>
      <c r="AG90" s="220"/>
      <c r="AH90" s="244"/>
      <c r="AI90" s="244"/>
      <c r="AJ90" s="220"/>
      <c r="AK90" s="252"/>
    </row>
    <row r="91" spans="1:37" ht="12.75" customHeight="1" x14ac:dyDescent="0.25">
      <c r="A91" s="229"/>
      <c r="B91" s="229"/>
      <c r="C91" s="220"/>
      <c r="D91" s="220"/>
      <c r="E91" s="252"/>
      <c r="F91" s="248"/>
      <c r="G91" s="248"/>
      <c r="H91" s="248"/>
      <c r="I91" s="248"/>
      <c r="J91" s="248"/>
      <c r="K91" s="220"/>
      <c r="L91" s="254"/>
      <c r="M91" s="254"/>
      <c r="N91" s="220"/>
      <c r="O91" s="220"/>
      <c r="P91" s="220"/>
      <c r="Q91" s="220"/>
      <c r="R91" s="244"/>
      <c r="S91" s="254"/>
      <c r="T91" s="247"/>
      <c r="U91" s="220"/>
      <c r="V91" s="220"/>
      <c r="W91" s="244"/>
      <c r="X91" s="220"/>
      <c r="Y91" s="220"/>
      <c r="Z91" s="220"/>
      <c r="AA91" s="220"/>
      <c r="AB91" s="244"/>
      <c r="AC91" s="220"/>
      <c r="AD91" s="220"/>
      <c r="AE91" s="220"/>
      <c r="AF91" s="220"/>
      <c r="AG91" s="220"/>
      <c r="AH91" s="244"/>
      <c r="AI91" s="244"/>
      <c r="AJ91" s="220"/>
      <c r="AK91" s="252"/>
    </row>
    <row r="92" spans="1:37" ht="12.75" customHeight="1" x14ac:dyDescent="0.25">
      <c r="A92" s="229"/>
      <c r="B92" s="229"/>
      <c r="C92" s="220"/>
      <c r="D92" s="220"/>
      <c r="E92" s="252"/>
      <c r="F92" s="248"/>
      <c r="G92" s="248"/>
      <c r="H92" s="248"/>
      <c r="I92" s="248"/>
      <c r="J92" s="248"/>
      <c r="K92" s="220"/>
      <c r="L92" s="254"/>
      <c r="M92" s="254"/>
      <c r="N92" s="220"/>
      <c r="O92" s="220"/>
      <c r="P92" s="220"/>
      <c r="Q92" s="220"/>
      <c r="R92" s="244"/>
      <c r="S92" s="254"/>
      <c r="T92" s="247"/>
      <c r="U92" s="220"/>
      <c r="V92" s="220"/>
      <c r="W92" s="244"/>
      <c r="X92" s="220"/>
      <c r="Y92" s="220"/>
      <c r="Z92" s="220"/>
      <c r="AA92" s="220"/>
      <c r="AB92" s="244"/>
      <c r="AC92" s="220"/>
      <c r="AD92" s="220"/>
      <c r="AE92" s="220"/>
      <c r="AF92" s="220"/>
      <c r="AG92" s="220"/>
      <c r="AH92" s="244"/>
      <c r="AI92" s="244"/>
      <c r="AJ92" s="220"/>
      <c r="AK92" s="252"/>
    </row>
    <row r="93" spans="1:37" ht="12.75" customHeight="1" x14ac:dyDescent="0.25">
      <c r="A93" s="229"/>
      <c r="B93" s="229"/>
      <c r="C93" s="220"/>
      <c r="D93" s="220"/>
      <c r="E93" s="252"/>
      <c r="F93" s="248"/>
      <c r="G93" s="248"/>
      <c r="H93" s="248"/>
      <c r="I93" s="248"/>
      <c r="J93" s="248"/>
      <c r="K93" s="220"/>
      <c r="L93" s="254"/>
      <c r="M93" s="254"/>
      <c r="N93" s="220"/>
      <c r="O93" s="220"/>
      <c r="P93" s="220"/>
      <c r="Q93" s="220"/>
      <c r="R93" s="244"/>
      <c r="S93" s="254"/>
      <c r="T93" s="247"/>
      <c r="U93" s="220"/>
      <c r="V93" s="220"/>
      <c r="W93" s="244"/>
      <c r="X93" s="220"/>
      <c r="Y93" s="220"/>
      <c r="Z93" s="220"/>
      <c r="AA93" s="220"/>
      <c r="AB93" s="244"/>
      <c r="AC93" s="220"/>
      <c r="AD93" s="220"/>
      <c r="AE93" s="220"/>
      <c r="AF93" s="220"/>
      <c r="AG93" s="220"/>
      <c r="AH93" s="244"/>
      <c r="AI93" s="244"/>
      <c r="AJ93" s="220"/>
      <c r="AK93" s="252"/>
    </row>
    <row r="94" spans="1:37" ht="12.75" customHeight="1" x14ac:dyDescent="0.25">
      <c r="A94" s="229"/>
      <c r="B94" s="229"/>
      <c r="C94" s="220"/>
      <c r="D94" s="220"/>
      <c r="E94" s="252"/>
      <c r="F94" s="248"/>
      <c r="G94" s="248"/>
      <c r="H94" s="248"/>
      <c r="I94" s="248"/>
      <c r="J94" s="248"/>
      <c r="K94" s="220"/>
      <c r="L94" s="254"/>
      <c r="M94" s="254"/>
      <c r="N94" s="220"/>
      <c r="O94" s="220"/>
      <c r="P94" s="220"/>
      <c r="Q94" s="220"/>
      <c r="R94" s="244"/>
      <c r="S94" s="254"/>
      <c r="T94" s="247"/>
      <c r="U94" s="220"/>
      <c r="V94" s="220"/>
      <c r="W94" s="244"/>
      <c r="X94" s="220"/>
      <c r="Y94" s="220"/>
      <c r="Z94" s="220"/>
      <c r="AA94" s="220"/>
      <c r="AB94" s="244"/>
      <c r="AC94" s="220"/>
      <c r="AD94" s="220"/>
      <c r="AE94" s="220"/>
      <c r="AF94" s="220"/>
      <c r="AG94" s="220"/>
      <c r="AH94" s="244"/>
      <c r="AI94" s="244"/>
      <c r="AJ94" s="220"/>
      <c r="AK94" s="252"/>
    </row>
    <row r="95" spans="1:37" ht="12.75" customHeight="1" x14ac:dyDescent="0.25">
      <c r="A95" s="229"/>
      <c r="B95" s="229"/>
      <c r="C95" s="220"/>
      <c r="D95" s="220"/>
      <c r="E95" s="252"/>
      <c r="F95" s="248"/>
      <c r="G95" s="248"/>
      <c r="H95" s="248"/>
      <c r="I95" s="248"/>
      <c r="J95" s="248"/>
      <c r="K95" s="220"/>
      <c r="L95" s="254"/>
      <c r="M95" s="254"/>
      <c r="N95" s="220"/>
      <c r="O95" s="220"/>
      <c r="P95" s="220"/>
      <c r="Q95" s="220"/>
      <c r="R95" s="244"/>
      <c r="S95" s="254"/>
      <c r="T95" s="247"/>
      <c r="U95" s="220"/>
      <c r="V95" s="220"/>
      <c r="W95" s="244"/>
      <c r="X95" s="220"/>
      <c r="Y95" s="220"/>
      <c r="Z95" s="220"/>
      <c r="AA95" s="220"/>
      <c r="AB95" s="244"/>
      <c r="AC95" s="220"/>
      <c r="AD95" s="220"/>
      <c r="AE95" s="220"/>
      <c r="AF95" s="220"/>
      <c r="AG95" s="220"/>
      <c r="AH95" s="244"/>
      <c r="AI95" s="244"/>
      <c r="AJ95" s="220"/>
      <c r="AK95" s="252"/>
    </row>
    <row r="96" spans="1:37" ht="12.75" customHeight="1" x14ac:dyDescent="0.25">
      <c r="A96" s="229"/>
      <c r="B96" s="229"/>
      <c r="C96" s="220"/>
      <c r="D96" s="220"/>
      <c r="E96" s="252"/>
      <c r="F96" s="248"/>
      <c r="G96" s="248"/>
      <c r="H96" s="248"/>
      <c r="I96" s="248"/>
      <c r="J96" s="248"/>
      <c r="K96" s="220"/>
      <c r="L96" s="254"/>
      <c r="M96" s="254"/>
      <c r="N96" s="220"/>
      <c r="O96" s="220"/>
      <c r="P96" s="220"/>
      <c r="Q96" s="220"/>
      <c r="R96" s="244"/>
      <c r="S96" s="254"/>
      <c r="T96" s="247"/>
      <c r="U96" s="220"/>
      <c r="V96" s="220"/>
      <c r="W96" s="244"/>
      <c r="X96" s="220"/>
      <c r="Y96" s="220"/>
      <c r="Z96" s="220"/>
      <c r="AA96" s="220"/>
      <c r="AB96" s="244"/>
      <c r="AC96" s="220"/>
      <c r="AD96" s="220"/>
      <c r="AE96" s="220"/>
      <c r="AF96" s="220"/>
      <c r="AG96" s="220"/>
      <c r="AH96" s="244"/>
      <c r="AI96" s="244"/>
      <c r="AJ96" s="220"/>
      <c r="AK96" s="252"/>
    </row>
    <row r="97" spans="1:37" ht="12.75" customHeight="1" x14ac:dyDescent="0.25">
      <c r="A97" s="229"/>
      <c r="B97" s="229"/>
      <c r="C97" s="220"/>
      <c r="D97" s="220"/>
      <c r="E97" s="252"/>
      <c r="F97" s="248"/>
      <c r="G97" s="248"/>
      <c r="H97" s="248"/>
      <c r="I97" s="248"/>
      <c r="J97" s="248"/>
      <c r="K97" s="220"/>
      <c r="L97" s="254"/>
      <c r="M97" s="254"/>
      <c r="N97" s="220"/>
      <c r="O97" s="220"/>
      <c r="P97" s="220"/>
      <c r="Q97" s="220"/>
      <c r="R97" s="244"/>
      <c r="S97" s="254"/>
      <c r="T97" s="247"/>
      <c r="U97" s="220"/>
      <c r="V97" s="220"/>
      <c r="W97" s="244"/>
      <c r="X97" s="220"/>
      <c r="Y97" s="220"/>
      <c r="Z97" s="220"/>
      <c r="AA97" s="220"/>
      <c r="AB97" s="244"/>
      <c r="AC97" s="220"/>
      <c r="AD97" s="220"/>
      <c r="AE97" s="220"/>
      <c r="AF97" s="220"/>
      <c r="AG97" s="220"/>
      <c r="AH97" s="244"/>
      <c r="AI97" s="244"/>
      <c r="AJ97" s="220"/>
      <c r="AK97" s="252"/>
    </row>
    <row r="98" spans="1:37" ht="12.75" customHeight="1" x14ac:dyDescent="0.25">
      <c r="A98" s="229"/>
      <c r="B98" s="229"/>
      <c r="C98" s="220"/>
      <c r="D98" s="220"/>
      <c r="E98" s="252"/>
      <c r="F98" s="248"/>
      <c r="G98" s="248"/>
      <c r="H98" s="248"/>
      <c r="I98" s="248"/>
      <c r="J98" s="248"/>
      <c r="K98" s="220"/>
      <c r="L98" s="254"/>
      <c r="M98" s="254"/>
      <c r="N98" s="220"/>
      <c r="O98" s="220"/>
      <c r="P98" s="220"/>
      <c r="Q98" s="220"/>
      <c r="R98" s="244"/>
      <c r="S98" s="254"/>
      <c r="T98" s="247"/>
      <c r="U98" s="220"/>
      <c r="V98" s="220"/>
      <c r="W98" s="244"/>
      <c r="X98" s="220"/>
      <c r="Y98" s="220"/>
      <c r="Z98" s="220"/>
      <c r="AA98" s="220"/>
      <c r="AB98" s="244"/>
      <c r="AC98" s="220"/>
      <c r="AD98" s="220"/>
      <c r="AE98" s="220"/>
      <c r="AF98" s="220"/>
      <c r="AG98" s="220"/>
      <c r="AH98" s="244"/>
      <c r="AI98" s="244"/>
      <c r="AJ98" s="220"/>
      <c r="AK98" s="252"/>
    </row>
    <row r="99" spans="1:37" ht="12.75" customHeight="1" x14ac:dyDescent="0.25">
      <c r="A99" s="229"/>
      <c r="B99" s="229"/>
      <c r="C99" s="220"/>
      <c r="D99" s="220"/>
      <c r="E99" s="252"/>
      <c r="F99" s="248"/>
      <c r="G99" s="248"/>
      <c r="H99" s="248"/>
      <c r="I99" s="248"/>
      <c r="J99" s="248"/>
      <c r="K99" s="220"/>
      <c r="L99" s="254"/>
      <c r="M99" s="254"/>
      <c r="N99" s="220"/>
      <c r="O99" s="220"/>
      <c r="P99" s="220"/>
      <c r="Q99" s="220"/>
      <c r="R99" s="244"/>
      <c r="S99" s="254"/>
      <c r="T99" s="247"/>
      <c r="U99" s="220"/>
      <c r="V99" s="220"/>
      <c r="W99" s="244"/>
      <c r="X99" s="220"/>
      <c r="Y99" s="220"/>
      <c r="Z99" s="220"/>
      <c r="AA99" s="220"/>
      <c r="AB99" s="244"/>
      <c r="AC99" s="220"/>
      <c r="AD99" s="220"/>
      <c r="AE99" s="220"/>
      <c r="AF99" s="220"/>
      <c r="AG99" s="220"/>
      <c r="AH99" s="244"/>
      <c r="AI99" s="244"/>
      <c r="AJ99" s="220"/>
      <c r="AK99" s="252"/>
    </row>
    <row r="100" spans="1:37" ht="12.75" customHeight="1" x14ac:dyDescent="0.25">
      <c r="A100" s="229"/>
      <c r="B100" s="229"/>
      <c r="C100" s="220"/>
      <c r="D100" s="220"/>
      <c r="E100" s="252"/>
      <c r="F100" s="248"/>
      <c r="G100" s="248"/>
      <c r="H100" s="248"/>
      <c r="I100" s="248"/>
      <c r="J100" s="248"/>
      <c r="K100" s="220"/>
      <c r="L100" s="254"/>
      <c r="M100" s="254"/>
      <c r="N100" s="220"/>
      <c r="O100" s="220"/>
      <c r="P100" s="220"/>
      <c r="Q100" s="220"/>
      <c r="R100" s="244"/>
      <c r="S100" s="254"/>
      <c r="T100" s="247"/>
      <c r="U100" s="220"/>
      <c r="V100" s="220"/>
      <c r="W100" s="244"/>
      <c r="X100" s="220"/>
      <c r="Y100" s="220"/>
      <c r="Z100" s="220"/>
      <c r="AA100" s="220"/>
      <c r="AB100" s="244"/>
      <c r="AC100" s="220"/>
      <c r="AD100" s="220"/>
      <c r="AE100" s="220"/>
      <c r="AF100" s="220"/>
      <c r="AG100" s="220"/>
      <c r="AH100" s="244"/>
      <c r="AI100" s="244"/>
      <c r="AJ100" s="220"/>
      <c r="AK100" s="252"/>
    </row>
    <row r="101" spans="1:37" ht="12.75" customHeight="1" x14ac:dyDescent="0.25">
      <c r="A101" s="229"/>
      <c r="B101" s="229"/>
      <c r="C101" s="220"/>
      <c r="D101" s="220"/>
      <c r="E101" s="252"/>
      <c r="F101" s="248"/>
      <c r="G101" s="248"/>
      <c r="H101" s="248"/>
      <c r="I101" s="248"/>
      <c r="J101" s="248"/>
      <c r="K101" s="220"/>
      <c r="L101" s="254"/>
      <c r="M101" s="254"/>
      <c r="N101" s="220"/>
      <c r="O101" s="220"/>
      <c r="P101" s="220"/>
      <c r="Q101" s="220"/>
      <c r="R101" s="244"/>
      <c r="S101" s="254"/>
      <c r="T101" s="247"/>
      <c r="U101" s="220"/>
      <c r="V101" s="220"/>
      <c r="W101" s="244"/>
      <c r="X101" s="220"/>
      <c r="Y101" s="220"/>
      <c r="Z101" s="220"/>
      <c r="AA101" s="220"/>
      <c r="AB101" s="244"/>
      <c r="AC101" s="220"/>
      <c r="AD101" s="220"/>
      <c r="AE101" s="220"/>
      <c r="AF101" s="220"/>
      <c r="AG101" s="220"/>
      <c r="AH101" s="244"/>
      <c r="AI101" s="244"/>
      <c r="AJ101" s="220"/>
      <c r="AK101" s="252"/>
    </row>
    <row r="102" spans="1:37" ht="12.75" customHeight="1" x14ac:dyDescent="0.25">
      <c r="A102" s="229"/>
      <c r="B102" s="229"/>
      <c r="C102" s="220"/>
      <c r="D102" s="220"/>
      <c r="E102" s="252"/>
      <c r="F102" s="248"/>
      <c r="G102" s="248"/>
      <c r="H102" s="248"/>
      <c r="I102" s="248"/>
      <c r="J102" s="248"/>
      <c r="K102" s="220"/>
      <c r="L102" s="254"/>
      <c r="M102" s="254"/>
      <c r="N102" s="220"/>
      <c r="O102" s="220"/>
      <c r="P102" s="220"/>
      <c r="Q102" s="220"/>
      <c r="R102" s="244"/>
      <c r="S102" s="254"/>
      <c r="T102" s="247"/>
      <c r="U102" s="220"/>
      <c r="V102" s="220"/>
      <c r="W102" s="244"/>
      <c r="X102" s="220"/>
      <c r="Y102" s="220"/>
      <c r="Z102" s="220"/>
      <c r="AA102" s="220"/>
      <c r="AB102" s="244"/>
      <c r="AC102" s="220"/>
      <c r="AD102" s="220"/>
      <c r="AE102" s="220"/>
      <c r="AF102" s="220"/>
      <c r="AG102" s="220"/>
      <c r="AH102" s="244"/>
      <c r="AI102" s="244"/>
      <c r="AJ102" s="220"/>
      <c r="AK102" s="252"/>
    </row>
    <row r="103" spans="1:37" ht="12.75" customHeight="1" x14ac:dyDescent="0.25">
      <c r="A103" s="229"/>
      <c r="B103" s="229"/>
      <c r="C103" s="220"/>
      <c r="D103" s="220"/>
      <c r="E103" s="252"/>
      <c r="F103" s="248"/>
      <c r="G103" s="248"/>
      <c r="H103" s="248"/>
      <c r="I103" s="248"/>
      <c r="J103" s="248"/>
      <c r="K103" s="220"/>
      <c r="L103" s="254"/>
      <c r="M103" s="254"/>
      <c r="N103" s="220"/>
      <c r="O103" s="220"/>
      <c r="P103" s="220"/>
      <c r="Q103" s="220"/>
      <c r="R103" s="244"/>
      <c r="S103" s="254"/>
      <c r="T103" s="247"/>
      <c r="U103" s="220"/>
      <c r="V103" s="220"/>
      <c r="W103" s="244"/>
      <c r="X103" s="220"/>
      <c r="Y103" s="220"/>
      <c r="Z103" s="220"/>
      <c r="AA103" s="220"/>
      <c r="AB103" s="244"/>
      <c r="AC103" s="220"/>
      <c r="AD103" s="220"/>
      <c r="AE103" s="220"/>
      <c r="AF103" s="220"/>
      <c r="AG103" s="220"/>
      <c r="AH103" s="244"/>
      <c r="AI103" s="244"/>
      <c r="AJ103" s="220"/>
      <c r="AK103" s="252"/>
    </row>
    <row r="104" spans="1:37" ht="12.75" customHeight="1" x14ac:dyDescent="0.25">
      <c r="A104" s="229"/>
      <c r="B104" s="229"/>
      <c r="C104" s="220"/>
      <c r="D104" s="220"/>
      <c r="E104" s="252"/>
      <c r="F104" s="248"/>
      <c r="G104" s="248"/>
      <c r="H104" s="248"/>
      <c r="I104" s="248"/>
      <c r="J104" s="248"/>
      <c r="K104" s="220"/>
      <c r="L104" s="254"/>
      <c r="M104" s="254"/>
      <c r="N104" s="220"/>
      <c r="O104" s="220"/>
      <c r="P104" s="220"/>
      <c r="Q104" s="220"/>
      <c r="R104" s="244"/>
      <c r="S104" s="254"/>
      <c r="T104" s="247"/>
      <c r="U104" s="220"/>
      <c r="V104" s="220"/>
      <c r="W104" s="244"/>
      <c r="X104" s="220"/>
      <c r="Y104" s="220"/>
      <c r="Z104" s="220"/>
      <c r="AA104" s="220"/>
      <c r="AB104" s="244"/>
      <c r="AC104" s="220"/>
      <c r="AD104" s="220"/>
      <c r="AE104" s="220"/>
      <c r="AF104" s="220"/>
      <c r="AG104" s="220"/>
      <c r="AH104" s="244"/>
      <c r="AI104" s="244"/>
      <c r="AJ104" s="220"/>
      <c r="AK104" s="252"/>
    </row>
    <row r="105" spans="1:37" ht="12.75" customHeight="1" x14ac:dyDescent="0.25">
      <c r="A105" s="229"/>
      <c r="B105" s="229"/>
      <c r="C105" s="220"/>
      <c r="D105" s="220"/>
      <c r="E105" s="252"/>
      <c r="F105" s="248"/>
      <c r="G105" s="248"/>
      <c r="H105" s="248"/>
      <c r="I105" s="248"/>
      <c r="J105" s="248"/>
      <c r="K105" s="220"/>
      <c r="L105" s="254"/>
      <c r="M105" s="254"/>
      <c r="N105" s="220"/>
      <c r="O105" s="220"/>
      <c r="P105" s="220"/>
      <c r="Q105" s="220"/>
      <c r="R105" s="244"/>
      <c r="S105" s="254"/>
      <c r="T105" s="247"/>
      <c r="U105" s="220"/>
      <c r="V105" s="220"/>
      <c r="W105" s="244"/>
      <c r="X105" s="220"/>
      <c r="Y105" s="220"/>
      <c r="Z105" s="220"/>
      <c r="AA105" s="220"/>
      <c r="AB105" s="244"/>
      <c r="AC105" s="220"/>
      <c r="AD105" s="220"/>
      <c r="AE105" s="220"/>
      <c r="AF105" s="220"/>
      <c r="AG105" s="220"/>
      <c r="AH105" s="244"/>
      <c r="AI105" s="244"/>
      <c r="AJ105" s="220"/>
      <c r="AK105" s="252"/>
    </row>
    <row r="106" spans="1:37" ht="12.75" customHeight="1" x14ac:dyDescent="0.25">
      <c r="A106" s="229"/>
      <c r="B106" s="229"/>
      <c r="C106" s="220"/>
      <c r="D106" s="220"/>
      <c r="E106" s="252"/>
      <c r="F106" s="248"/>
      <c r="G106" s="248"/>
      <c r="H106" s="248"/>
      <c r="I106" s="248"/>
      <c r="J106" s="248"/>
      <c r="K106" s="220"/>
      <c r="L106" s="254"/>
      <c r="M106" s="254"/>
      <c r="N106" s="220"/>
      <c r="O106" s="220"/>
      <c r="P106" s="220"/>
      <c r="Q106" s="220"/>
      <c r="R106" s="244"/>
      <c r="S106" s="254"/>
      <c r="T106" s="247"/>
      <c r="U106" s="220"/>
      <c r="V106" s="220"/>
      <c r="W106" s="244"/>
      <c r="X106" s="220"/>
      <c r="Y106" s="220"/>
      <c r="Z106" s="220"/>
      <c r="AA106" s="220"/>
      <c r="AB106" s="244"/>
      <c r="AC106" s="220"/>
      <c r="AD106" s="220"/>
      <c r="AE106" s="220"/>
      <c r="AF106" s="220"/>
      <c r="AG106" s="220"/>
      <c r="AH106" s="244"/>
      <c r="AI106" s="244"/>
      <c r="AJ106" s="220"/>
      <c r="AK106" s="252"/>
    </row>
    <row r="107" spans="1:37" ht="12.75" customHeight="1" x14ac:dyDescent="0.25">
      <c r="A107" s="229"/>
      <c r="B107" s="229"/>
      <c r="C107" s="220"/>
      <c r="D107" s="220"/>
      <c r="E107" s="252"/>
      <c r="F107" s="248"/>
      <c r="G107" s="248"/>
      <c r="H107" s="248"/>
      <c r="I107" s="248"/>
      <c r="J107" s="248"/>
      <c r="K107" s="220"/>
      <c r="L107" s="254"/>
      <c r="M107" s="254"/>
      <c r="N107" s="220"/>
      <c r="O107" s="220"/>
      <c r="P107" s="220"/>
      <c r="Q107" s="220"/>
      <c r="R107" s="244"/>
      <c r="S107" s="254"/>
      <c r="T107" s="247"/>
      <c r="U107" s="220"/>
      <c r="V107" s="220"/>
      <c r="W107" s="244"/>
      <c r="X107" s="220"/>
      <c r="Y107" s="220"/>
      <c r="Z107" s="220"/>
      <c r="AA107" s="220"/>
      <c r="AB107" s="244"/>
      <c r="AC107" s="220"/>
      <c r="AD107" s="220"/>
      <c r="AE107" s="220"/>
      <c r="AF107" s="220"/>
      <c r="AG107" s="220"/>
      <c r="AH107" s="244"/>
      <c r="AI107" s="244"/>
      <c r="AJ107" s="220"/>
      <c r="AK107" s="252"/>
    </row>
    <row r="108" spans="1:37" ht="12.75" customHeight="1" x14ac:dyDescent="0.25">
      <c r="A108" s="229"/>
      <c r="B108" s="229"/>
      <c r="C108" s="220"/>
      <c r="D108" s="220"/>
      <c r="E108" s="252"/>
      <c r="F108" s="248"/>
      <c r="G108" s="248"/>
      <c r="H108" s="248"/>
      <c r="I108" s="248"/>
      <c r="J108" s="248"/>
      <c r="K108" s="220"/>
      <c r="L108" s="254"/>
      <c r="M108" s="254"/>
      <c r="N108" s="220"/>
      <c r="O108" s="220"/>
      <c r="P108" s="220"/>
      <c r="Q108" s="220"/>
      <c r="R108" s="244"/>
      <c r="S108" s="254"/>
      <c r="T108" s="247"/>
      <c r="U108" s="220"/>
      <c r="V108" s="220"/>
      <c r="W108" s="244"/>
      <c r="X108" s="220"/>
      <c r="Y108" s="220"/>
      <c r="Z108" s="220"/>
      <c r="AA108" s="220"/>
      <c r="AB108" s="244"/>
      <c r="AC108" s="220"/>
      <c r="AD108" s="220"/>
      <c r="AE108" s="220"/>
      <c r="AF108" s="220"/>
      <c r="AG108" s="220"/>
      <c r="AH108" s="244"/>
      <c r="AI108" s="244"/>
      <c r="AJ108" s="220"/>
      <c r="AK108" s="252"/>
    </row>
    <row r="109" spans="1:37" ht="12.75" customHeight="1" x14ac:dyDescent="0.25">
      <c r="A109" s="229"/>
      <c r="B109" s="229"/>
      <c r="C109" s="220"/>
      <c r="D109" s="220"/>
      <c r="E109" s="252"/>
      <c r="F109" s="248"/>
      <c r="G109" s="248"/>
      <c r="H109" s="248"/>
      <c r="I109" s="248"/>
      <c r="J109" s="248"/>
      <c r="K109" s="220"/>
      <c r="L109" s="254"/>
      <c r="M109" s="254"/>
      <c r="N109" s="220"/>
      <c r="O109" s="220"/>
      <c r="P109" s="220"/>
      <c r="Q109" s="220"/>
      <c r="R109" s="244"/>
      <c r="S109" s="254"/>
      <c r="T109" s="247"/>
      <c r="U109" s="220"/>
      <c r="V109" s="220"/>
      <c r="W109" s="244"/>
      <c r="X109" s="220"/>
      <c r="Y109" s="220"/>
      <c r="Z109" s="220"/>
      <c r="AA109" s="220"/>
      <c r="AB109" s="244"/>
      <c r="AC109" s="220"/>
      <c r="AD109" s="220"/>
      <c r="AE109" s="220"/>
      <c r="AF109" s="220"/>
      <c r="AG109" s="220"/>
      <c r="AH109" s="244"/>
      <c r="AI109" s="244"/>
      <c r="AJ109" s="220"/>
      <c r="AK109" s="252"/>
    </row>
    <row r="110" spans="1:37" ht="12.75" customHeight="1" x14ac:dyDescent="0.25">
      <c r="A110" s="229"/>
      <c r="B110" s="229"/>
      <c r="C110" s="220"/>
      <c r="D110" s="220"/>
      <c r="E110" s="252"/>
      <c r="F110" s="248"/>
      <c r="G110" s="248"/>
      <c r="H110" s="248"/>
      <c r="I110" s="248"/>
      <c r="J110" s="248"/>
      <c r="K110" s="220"/>
      <c r="L110" s="254"/>
      <c r="M110" s="254"/>
      <c r="N110" s="220"/>
      <c r="O110" s="220"/>
      <c r="P110" s="220"/>
      <c r="Q110" s="220"/>
      <c r="R110" s="244"/>
      <c r="S110" s="254"/>
      <c r="T110" s="247"/>
      <c r="U110" s="220"/>
      <c r="V110" s="220"/>
      <c r="W110" s="244"/>
      <c r="X110" s="220"/>
      <c r="Y110" s="220"/>
      <c r="Z110" s="220"/>
      <c r="AA110" s="220"/>
      <c r="AB110" s="244"/>
      <c r="AC110" s="220"/>
      <c r="AD110" s="220"/>
      <c r="AE110" s="220"/>
      <c r="AF110" s="220"/>
      <c r="AG110" s="220"/>
      <c r="AH110" s="244"/>
      <c r="AI110" s="244"/>
      <c r="AJ110" s="220"/>
      <c r="AK110" s="252"/>
    </row>
    <row r="111" spans="1:37" ht="12.75" customHeight="1" x14ac:dyDescent="0.25">
      <c r="A111" s="229"/>
      <c r="B111" s="229"/>
      <c r="C111" s="220"/>
      <c r="D111" s="220"/>
      <c r="E111" s="252"/>
      <c r="F111" s="248"/>
      <c r="G111" s="248"/>
      <c r="H111" s="248"/>
      <c r="I111" s="248"/>
      <c r="J111" s="248"/>
      <c r="K111" s="220"/>
      <c r="L111" s="254"/>
      <c r="M111" s="254"/>
      <c r="N111" s="220"/>
      <c r="O111" s="220"/>
      <c r="P111" s="220"/>
      <c r="Q111" s="220"/>
      <c r="R111" s="244"/>
      <c r="S111" s="254"/>
      <c r="T111" s="247"/>
      <c r="U111" s="220"/>
      <c r="V111" s="220"/>
      <c r="W111" s="244"/>
      <c r="X111" s="220"/>
      <c r="Y111" s="220"/>
      <c r="Z111" s="220"/>
      <c r="AA111" s="220"/>
      <c r="AB111" s="244"/>
      <c r="AC111" s="220"/>
      <c r="AD111" s="220"/>
      <c r="AE111" s="220"/>
      <c r="AF111" s="220"/>
      <c r="AG111" s="220"/>
      <c r="AH111" s="244"/>
      <c r="AI111" s="244"/>
      <c r="AJ111" s="220"/>
      <c r="AK111" s="252"/>
    </row>
    <row r="112" spans="1:37" ht="12.75" customHeight="1" x14ac:dyDescent="0.25">
      <c r="A112" s="229"/>
      <c r="B112" s="229"/>
      <c r="C112" s="220"/>
      <c r="D112" s="220"/>
      <c r="E112" s="252"/>
      <c r="F112" s="248"/>
      <c r="G112" s="248"/>
      <c r="H112" s="248"/>
      <c r="I112" s="248"/>
      <c r="J112" s="248"/>
      <c r="K112" s="220"/>
      <c r="L112" s="254"/>
      <c r="M112" s="254"/>
      <c r="N112" s="220"/>
      <c r="O112" s="220"/>
      <c r="P112" s="220"/>
      <c r="Q112" s="220"/>
      <c r="R112" s="244"/>
      <c r="S112" s="254"/>
      <c r="T112" s="247"/>
      <c r="U112" s="220"/>
      <c r="V112" s="220"/>
      <c r="W112" s="244"/>
      <c r="X112" s="220"/>
      <c r="Y112" s="220"/>
      <c r="Z112" s="220"/>
      <c r="AA112" s="220"/>
      <c r="AB112" s="244"/>
      <c r="AC112" s="220"/>
      <c r="AD112" s="220"/>
      <c r="AE112" s="220"/>
      <c r="AF112" s="220"/>
      <c r="AG112" s="220"/>
      <c r="AH112" s="244"/>
      <c r="AI112" s="244"/>
      <c r="AJ112" s="220"/>
      <c r="AK112" s="252"/>
    </row>
    <row r="113" spans="1:37" ht="12.75" customHeight="1" x14ac:dyDescent="0.25">
      <c r="A113" s="229"/>
      <c r="B113" s="229"/>
      <c r="C113" s="220"/>
      <c r="D113" s="220"/>
      <c r="E113" s="252"/>
      <c r="F113" s="248"/>
      <c r="G113" s="248"/>
      <c r="H113" s="248"/>
      <c r="I113" s="248"/>
      <c r="J113" s="248"/>
      <c r="K113" s="220"/>
      <c r="L113" s="254"/>
      <c r="M113" s="254"/>
      <c r="N113" s="220"/>
      <c r="O113" s="220"/>
      <c r="P113" s="220"/>
      <c r="Q113" s="220"/>
      <c r="R113" s="244"/>
      <c r="S113" s="254"/>
      <c r="T113" s="247"/>
      <c r="U113" s="220"/>
      <c r="V113" s="220"/>
      <c r="W113" s="244"/>
      <c r="X113" s="220"/>
      <c r="Y113" s="220"/>
      <c r="Z113" s="220"/>
      <c r="AA113" s="220"/>
      <c r="AB113" s="244"/>
      <c r="AC113" s="220"/>
      <c r="AD113" s="220"/>
      <c r="AE113" s="220"/>
      <c r="AF113" s="220"/>
      <c r="AG113" s="220"/>
      <c r="AH113" s="244"/>
      <c r="AI113" s="244"/>
      <c r="AJ113" s="220"/>
      <c r="AK113" s="252"/>
    </row>
    <row r="114" spans="1:37" ht="12.75" customHeight="1" x14ac:dyDescent="0.25">
      <c r="A114" s="229"/>
      <c r="B114" s="229"/>
      <c r="C114" s="220"/>
      <c r="D114" s="220"/>
      <c r="E114" s="252"/>
      <c r="F114" s="248"/>
      <c r="G114" s="248"/>
      <c r="H114" s="248"/>
      <c r="I114" s="248"/>
      <c r="J114" s="248"/>
      <c r="K114" s="220"/>
      <c r="L114" s="254"/>
      <c r="M114" s="254"/>
      <c r="N114" s="220"/>
      <c r="O114" s="220"/>
      <c r="P114" s="220"/>
      <c r="Q114" s="220"/>
      <c r="R114" s="244"/>
      <c r="S114" s="254"/>
      <c r="T114" s="247"/>
      <c r="U114" s="220"/>
      <c r="V114" s="220"/>
      <c r="W114" s="244"/>
      <c r="X114" s="220"/>
      <c r="Y114" s="220"/>
      <c r="Z114" s="220"/>
      <c r="AA114" s="220"/>
      <c r="AB114" s="244"/>
      <c r="AC114" s="220"/>
      <c r="AD114" s="220"/>
      <c r="AE114" s="220"/>
      <c r="AF114" s="220"/>
      <c r="AG114" s="220"/>
      <c r="AH114" s="244"/>
      <c r="AI114" s="244"/>
      <c r="AJ114" s="220"/>
      <c r="AK114" s="252"/>
    </row>
    <row r="115" spans="1:37" ht="12.75" customHeight="1" x14ac:dyDescent="0.25">
      <c r="A115" s="229"/>
      <c r="B115" s="229"/>
      <c r="C115" s="220"/>
      <c r="D115" s="220"/>
      <c r="E115" s="252"/>
      <c r="F115" s="248"/>
      <c r="G115" s="248"/>
      <c r="H115" s="248"/>
      <c r="I115" s="248"/>
      <c r="J115" s="248"/>
      <c r="K115" s="220"/>
      <c r="L115" s="254"/>
      <c r="M115" s="254"/>
      <c r="N115" s="220"/>
      <c r="O115" s="220"/>
      <c r="P115" s="220"/>
      <c r="Q115" s="220"/>
      <c r="R115" s="244"/>
      <c r="S115" s="254"/>
      <c r="T115" s="247"/>
      <c r="U115" s="220"/>
      <c r="V115" s="220"/>
      <c r="W115" s="244"/>
      <c r="X115" s="220"/>
      <c r="Y115" s="220"/>
      <c r="Z115" s="220"/>
      <c r="AA115" s="220"/>
      <c r="AB115" s="244"/>
      <c r="AC115" s="220"/>
      <c r="AD115" s="220"/>
      <c r="AE115" s="220"/>
      <c r="AF115" s="220"/>
      <c r="AG115" s="220"/>
      <c r="AH115" s="244"/>
      <c r="AI115" s="244"/>
      <c r="AJ115" s="220"/>
      <c r="AK115" s="252"/>
    </row>
    <row r="116" spans="1:37" ht="12.75" customHeight="1" x14ac:dyDescent="0.25">
      <c r="A116" s="229"/>
      <c r="B116" s="229"/>
      <c r="C116" s="220"/>
      <c r="D116" s="220"/>
      <c r="E116" s="252"/>
      <c r="F116" s="248"/>
      <c r="G116" s="248"/>
      <c r="H116" s="248"/>
      <c r="I116" s="248"/>
      <c r="J116" s="248"/>
      <c r="K116" s="220"/>
      <c r="L116" s="254"/>
      <c r="M116" s="254"/>
      <c r="N116" s="220"/>
      <c r="O116" s="220"/>
      <c r="P116" s="220"/>
      <c r="Q116" s="220"/>
      <c r="R116" s="244"/>
      <c r="S116" s="254"/>
      <c r="T116" s="247"/>
      <c r="U116" s="220"/>
      <c r="V116" s="220"/>
      <c r="W116" s="244"/>
      <c r="X116" s="220"/>
      <c r="Y116" s="220"/>
      <c r="Z116" s="220"/>
      <c r="AA116" s="220"/>
      <c r="AB116" s="244"/>
      <c r="AC116" s="220"/>
      <c r="AD116" s="220"/>
      <c r="AE116" s="220"/>
      <c r="AF116" s="220"/>
      <c r="AG116" s="220"/>
      <c r="AH116" s="244"/>
      <c r="AI116" s="244"/>
      <c r="AJ116" s="220"/>
      <c r="AK116" s="252"/>
    </row>
    <row r="117" spans="1:37" ht="12.75" customHeight="1" x14ac:dyDescent="0.25">
      <c r="A117" s="229"/>
      <c r="B117" s="229"/>
      <c r="C117" s="220"/>
      <c r="D117" s="220"/>
      <c r="E117" s="252"/>
      <c r="F117" s="248"/>
      <c r="G117" s="248"/>
      <c r="H117" s="248"/>
      <c r="I117" s="248"/>
      <c r="J117" s="248"/>
      <c r="K117" s="220"/>
      <c r="L117" s="254"/>
      <c r="M117" s="254"/>
      <c r="N117" s="220"/>
      <c r="O117" s="220"/>
      <c r="P117" s="220"/>
      <c r="Q117" s="220"/>
      <c r="R117" s="244"/>
      <c r="S117" s="254"/>
      <c r="T117" s="247"/>
      <c r="U117" s="220"/>
      <c r="V117" s="220"/>
      <c r="W117" s="244"/>
      <c r="X117" s="220"/>
      <c r="Y117" s="220"/>
      <c r="Z117" s="220"/>
      <c r="AA117" s="220"/>
      <c r="AB117" s="244"/>
      <c r="AC117" s="220"/>
      <c r="AD117" s="220"/>
      <c r="AE117" s="220"/>
      <c r="AF117" s="220"/>
      <c r="AG117" s="220"/>
      <c r="AH117" s="244"/>
      <c r="AI117" s="244"/>
      <c r="AJ117" s="220"/>
      <c r="AK117" s="252"/>
    </row>
    <row r="118" spans="1:37" ht="12.75" customHeight="1" x14ac:dyDescent="0.25">
      <c r="A118" s="229"/>
      <c r="B118" s="229"/>
      <c r="C118" s="220"/>
      <c r="D118" s="220"/>
      <c r="E118" s="252"/>
      <c r="F118" s="248"/>
      <c r="G118" s="248"/>
      <c r="H118" s="248"/>
      <c r="I118" s="248"/>
      <c r="J118" s="248"/>
      <c r="K118" s="220"/>
      <c r="L118" s="254"/>
      <c r="M118" s="254"/>
      <c r="N118" s="220"/>
      <c r="O118" s="220"/>
      <c r="P118" s="220"/>
      <c r="Q118" s="220"/>
      <c r="R118" s="244"/>
      <c r="S118" s="254"/>
      <c r="T118" s="247"/>
      <c r="U118" s="220"/>
      <c r="V118" s="220"/>
      <c r="W118" s="244"/>
      <c r="X118" s="220"/>
      <c r="Y118" s="220"/>
      <c r="Z118" s="220"/>
      <c r="AA118" s="220"/>
      <c r="AB118" s="244"/>
      <c r="AC118" s="220"/>
      <c r="AD118" s="220"/>
      <c r="AE118" s="220"/>
      <c r="AF118" s="220"/>
      <c r="AG118" s="220"/>
      <c r="AH118" s="244"/>
      <c r="AI118" s="244"/>
      <c r="AJ118" s="220"/>
      <c r="AK118" s="252"/>
    </row>
    <row r="119" spans="1:37" ht="12.75" customHeight="1" x14ac:dyDescent="0.25">
      <c r="A119" s="229"/>
      <c r="B119" s="229"/>
      <c r="C119" s="220"/>
      <c r="D119" s="220"/>
      <c r="E119" s="252"/>
      <c r="F119" s="248"/>
      <c r="G119" s="248"/>
      <c r="H119" s="248"/>
      <c r="I119" s="248"/>
      <c r="J119" s="248"/>
      <c r="K119" s="220"/>
      <c r="L119" s="254"/>
      <c r="M119" s="254"/>
      <c r="N119" s="220"/>
      <c r="O119" s="220"/>
      <c r="P119" s="220"/>
      <c r="Q119" s="220"/>
      <c r="R119" s="244"/>
      <c r="S119" s="254"/>
      <c r="T119" s="247"/>
      <c r="U119" s="220"/>
      <c r="V119" s="220"/>
      <c r="W119" s="244"/>
      <c r="X119" s="220"/>
      <c r="Y119" s="220"/>
      <c r="Z119" s="220"/>
      <c r="AA119" s="220"/>
      <c r="AB119" s="244"/>
      <c r="AC119" s="220"/>
      <c r="AD119" s="220"/>
      <c r="AE119" s="220"/>
      <c r="AF119" s="220"/>
      <c r="AG119" s="220"/>
      <c r="AH119" s="244"/>
      <c r="AI119" s="244"/>
      <c r="AJ119" s="220"/>
      <c r="AK119" s="252"/>
    </row>
    <row r="120" spans="1:37" ht="12.75" customHeight="1" x14ac:dyDescent="0.25">
      <c r="A120" s="229"/>
      <c r="B120" s="229"/>
      <c r="C120" s="220"/>
      <c r="D120" s="220"/>
      <c r="E120" s="252"/>
      <c r="F120" s="248"/>
      <c r="G120" s="248"/>
      <c r="H120" s="248"/>
      <c r="I120" s="248"/>
      <c r="J120" s="248"/>
      <c r="K120" s="220"/>
      <c r="L120" s="254"/>
      <c r="M120" s="254"/>
      <c r="N120" s="220"/>
      <c r="O120" s="220"/>
      <c r="P120" s="220"/>
      <c r="Q120" s="220"/>
      <c r="R120" s="244"/>
      <c r="S120" s="254"/>
      <c r="T120" s="247"/>
      <c r="U120" s="220"/>
      <c r="V120" s="220"/>
      <c r="W120" s="244"/>
      <c r="X120" s="220"/>
      <c r="Y120" s="220"/>
      <c r="Z120" s="220"/>
      <c r="AA120" s="220"/>
      <c r="AB120" s="244"/>
      <c r="AC120" s="220"/>
      <c r="AD120" s="220"/>
      <c r="AE120" s="220"/>
      <c r="AF120" s="220"/>
      <c r="AG120" s="220"/>
      <c r="AH120" s="244"/>
      <c r="AI120" s="244"/>
      <c r="AJ120" s="220"/>
      <c r="AK120" s="252"/>
    </row>
    <row r="121" spans="1:37" ht="12.75" customHeight="1" x14ac:dyDescent="0.25">
      <c r="A121" s="229"/>
      <c r="B121" s="229"/>
      <c r="C121" s="220"/>
      <c r="D121" s="220"/>
      <c r="E121" s="252"/>
      <c r="F121" s="248"/>
      <c r="G121" s="248"/>
      <c r="H121" s="248"/>
      <c r="I121" s="248"/>
      <c r="J121" s="248"/>
      <c r="K121" s="220"/>
      <c r="L121" s="254"/>
      <c r="M121" s="254"/>
      <c r="N121" s="220"/>
      <c r="O121" s="220"/>
      <c r="P121" s="220"/>
      <c r="Q121" s="220"/>
      <c r="R121" s="244"/>
      <c r="S121" s="254"/>
      <c r="T121" s="247"/>
      <c r="U121" s="220"/>
      <c r="V121" s="220"/>
      <c r="W121" s="244"/>
      <c r="X121" s="220"/>
      <c r="Y121" s="220"/>
      <c r="Z121" s="220"/>
      <c r="AA121" s="220"/>
      <c r="AB121" s="244"/>
      <c r="AC121" s="220"/>
      <c r="AD121" s="220"/>
      <c r="AE121" s="220"/>
      <c r="AF121" s="220"/>
      <c r="AG121" s="220"/>
      <c r="AH121" s="244"/>
      <c r="AI121" s="244"/>
      <c r="AJ121" s="220"/>
      <c r="AK121" s="252"/>
    </row>
    <row r="122" spans="1:37" ht="12.75" customHeight="1" x14ac:dyDescent="0.25">
      <c r="A122" s="229"/>
      <c r="B122" s="229"/>
      <c r="C122" s="220"/>
      <c r="D122" s="220"/>
      <c r="E122" s="252"/>
      <c r="F122" s="248"/>
      <c r="G122" s="248"/>
      <c r="H122" s="248"/>
      <c r="I122" s="248"/>
      <c r="J122" s="248"/>
      <c r="K122" s="220"/>
      <c r="L122" s="254"/>
      <c r="M122" s="254"/>
      <c r="N122" s="220"/>
      <c r="O122" s="220"/>
      <c r="P122" s="220"/>
      <c r="Q122" s="220"/>
      <c r="R122" s="244"/>
      <c r="S122" s="254"/>
      <c r="T122" s="247"/>
      <c r="U122" s="220"/>
      <c r="V122" s="220"/>
      <c r="W122" s="244"/>
      <c r="X122" s="220"/>
      <c r="Y122" s="220"/>
      <c r="Z122" s="220"/>
      <c r="AA122" s="220"/>
      <c r="AB122" s="244"/>
      <c r="AC122" s="220"/>
      <c r="AD122" s="220"/>
      <c r="AE122" s="220"/>
      <c r="AF122" s="220"/>
      <c r="AG122" s="220"/>
      <c r="AH122" s="244"/>
      <c r="AI122" s="244"/>
      <c r="AJ122" s="220"/>
      <c r="AK122" s="252"/>
    </row>
    <row r="123" spans="1:37" ht="12.75" customHeight="1" x14ac:dyDescent="0.25">
      <c r="A123" s="229"/>
      <c r="B123" s="229"/>
      <c r="C123" s="220"/>
      <c r="D123" s="220"/>
      <c r="E123" s="252"/>
      <c r="F123" s="248"/>
      <c r="G123" s="248"/>
      <c r="H123" s="248"/>
      <c r="I123" s="248"/>
      <c r="J123" s="248"/>
      <c r="K123" s="220"/>
      <c r="L123" s="254"/>
      <c r="M123" s="254"/>
      <c r="N123" s="220"/>
      <c r="O123" s="220"/>
      <c r="P123" s="220"/>
      <c r="Q123" s="220"/>
      <c r="R123" s="244"/>
      <c r="S123" s="254"/>
      <c r="T123" s="247"/>
      <c r="U123" s="220"/>
      <c r="V123" s="220"/>
      <c r="W123" s="244"/>
      <c r="X123" s="220"/>
      <c r="Y123" s="220"/>
      <c r="Z123" s="220"/>
      <c r="AA123" s="220"/>
      <c r="AB123" s="244"/>
      <c r="AC123" s="220"/>
      <c r="AD123" s="220"/>
      <c r="AE123" s="220"/>
      <c r="AF123" s="220"/>
      <c r="AG123" s="220"/>
      <c r="AH123" s="244"/>
      <c r="AI123" s="244"/>
      <c r="AJ123" s="220"/>
      <c r="AK123" s="252"/>
    </row>
    <row r="124" spans="1:37" ht="12.75" customHeight="1" x14ac:dyDescent="0.25">
      <c r="A124" s="229"/>
      <c r="B124" s="229"/>
      <c r="C124" s="220"/>
      <c r="D124" s="220"/>
      <c r="E124" s="252"/>
      <c r="F124" s="248"/>
      <c r="G124" s="248"/>
      <c r="H124" s="248"/>
      <c r="I124" s="248"/>
      <c r="J124" s="248"/>
      <c r="K124" s="220"/>
      <c r="L124" s="254"/>
      <c r="M124" s="254"/>
      <c r="N124" s="220"/>
      <c r="O124" s="220"/>
      <c r="P124" s="220"/>
      <c r="Q124" s="220"/>
      <c r="R124" s="244"/>
      <c r="S124" s="254"/>
      <c r="T124" s="247"/>
      <c r="U124" s="220"/>
      <c r="V124" s="220"/>
      <c r="W124" s="244"/>
      <c r="X124" s="220"/>
      <c r="Y124" s="220"/>
      <c r="Z124" s="220"/>
      <c r="AA124" s="220"/>
      <c r="AB124" s="244"/>
      <c r="AC124" s="220"/>
      <c r="AD124" s="220"/>
      <c r="AE124" s="220"/>
      <c r="AF124" s="220"/>
      <c r="AG124" s="220"/>
      <c r="AH124" s="244"/>
      <c r="AI124" s="244"/>
      <c r="AJ124" s="220"/>
      <c r="AK124" s="252"/>
    </row>
    <row r="125" spans="1:37" ht="12.75" customHeight="1" x14ac:dyDescent="0.25">
      <c r="A125" s="229"/>
      <c r="B125" s="229"/>
      <c r="C125" s="220"/>
      <c r="D125" s="220"/>
      <c r="E125" s="252"/>
      <c r="F125" s="248"/>
      <c r="G125" s="248"/>
      <c r="H125" s="248"/>
      <c r="I125" s="248"/>
      <c r="J125" s="248"/>
      <c r="K125" s="220"/>
      <c r="L125" s="254"/>
      <c r="M125" s="254"/>
      <c r="N125" s="220"/>
      <c r="O125" s="220"/>
      <c r="P125" s="220"/>
      <c r="Q125" s="220"/>
      <c r="R125" s="244"/>
      <c r="S125" s="254"/>
      <c r="T125" s="247"/>
      <c r="U125" s="220"/>
      <c r="V125" s="220"/>
      <c r="W125" s="244"/>
      <c r="X125" s="220"/>
      <c r="Y125" s="220"/>
      <c r="Z125" s="220"/>
      <c r="AA125" s="220"/>
      <c r="AB125" s="244"/>
      <c r="AC125" s="220"/>
      <c r="AD125" s="220"/>
      <c r="AE125" s="220"/>
      <c r="AF125" s="220"/>
      <c r="AG125" s="220"/>
      <c r="AH125" s="244"/>
      <c r="AI125" s="244"/>
      <c r="AJ125" s="220"/>
      <c r="AK125" s="252"/>
    </row>
    <row r="126" spans="1:37" ht="12.75" customHeight="1" x14ac:dyDescent="0.25">
      <c r="A126" s="229"/>
      <c r="B126" s="229"/>
      <c r="C126" s="220"/>
      <c r="D126" s="220"/>
      <c r="E126" s="252"/>
      <c r="F126" s="248"/>
      <c r="G126" s="248"/>
      <c r="H126" s="248"/>
      <c r="I126" s="248"/>
      <c r="J126" s="248"/>
      <c r="K126" s="220"/>
      <c r="L126" s="254"/>
      <c r="M126" s="254"/>
      <c r="N126" s="220"/>
      <c r="O126" s="220"/>
      <c r="P126" s="220"/>
      <c r="Q126" s="220"/>
      <c r="R126" s="244"/>
      <c r="S126" s="254"/>
      <c r="T126" s="247"/>
      <c r="U126" s="220"/>
      <c r="V126" s="220"/>
      <c r="W126" s="244"/>
      <c r="X126" s="220"/>
      <c r="Y126" s="220"/>
      <c r="Z126" s="220"/>
      <c r="AA126" s="220"/>
      <c r="AB126" s="244"/>
      <c r="AC126" s="220"/>
      <c r="AD126" s="220"/>
      <c r="AE126" s="220"/>
      <c r="AF126" s="220"/>
      <c r="AG126" s="220"/>
      <c r="AH126" s="244"/>
      <c r="AI126" s="244"/>
      <c r="AJ126" s="220"/>
      <c r="AK126" s="252"/>
    </row>
    <row r="127" spans="1:37" ht="12.75" customHeight="1" x14ac:dyDescent="0.25">
      <c r="A127" s="229"/>
      <c r="B127" s="229"/>
      <c r="C127" s="220"/>
      <c r="D127" s="220"/>
      <c r="E127" s="252"/>
      <c r="F127" s="248"/>
      <c r="G127" s="248"/>
      <c r="H127" s="248"/>
      <c r="I127" s="248"/>
      <c r="J127" s="248"/>
      <c r="K127" s="220"/>
      <c r="L127" s="254"/>
      <c r="M127" s="254"/>
      <c r="N127" s="220"/>
      <c r="O127" s="220"/>
      <c r="P127" s="220"/>
      <c r="Q127" s="220"/>
      <c r="R127" s="244"/>
      <c r="S127" s="254"/>
      <c r="T127" s="247"/>
      <c r="U127" s="220"/>
      <c r="V127" s="220"/>
      <c r="W127" s="244"/>
      <c r="X127" s="220"/>
      <c r="Y127" s="220"/>
      <c r="Z127" s="220"/>
      <c r="AA127" s="220"/>
      <c r="AB127" s="244"/>
      <c r="AC127" s="220"/>
      <c r="AD127" s="220"/>
      <c r="AE127" s="220"/>
      <c r="AF127" s="220"/>
      <c r="AG127" s="220"/>
      <c r="AH127" s="244"/>
      <c r="AI127" s="244"/>
      <c r="AJ127" s="220"/>
      <c r="AK127" s="252"/>
    </row>
    <row r="128" spans="1:37" ht="12.75" customHeight="1" x14ac:dyDescent="0.25">
      <c r="A128" s="229"/>
      <c r="B128" s="229"/>
      <c r="C128" s="220"/>
      <c r="D128" s="220"/>
      <c r="E128" s="252"/>
      <c r="F128" s="248"/>
      <c r="G128" s="248"/>
      <c r="H128" s="248"/>
      <c r="I128" s="248"/>
      <c r="J128" s="248"/>
      <c r="K128" s="220"/>
      <c r="L128" s="254"/>
      <c r="M128" s="254"/>
      <c r="N128" s="220"/>
      <c r="O128" s="220"/>
      <c r="P128" s="220"/>
      <c r="Q128" s="220"/>
      <c r="R128" s="244"/>
      <c r="S128" s="254"/>
      <c r="T128" s="247"/>
      <c r="U128" s="220"/>
      <c r="V128" s="220"/>
      <c r="W128" s="244"/>
      <c r="X128" s="220"/>
      <c r="Y128" s="220"/>
      <c r="Z128" s="220"/>
      <c r="AA128" s="220"/>
      <c r="AB128" s="244"/>
      <c r="AC128" s="220"/>
      <c r="AD128" s="220"/>
      <c r="AE128" s="220"/>
      <c r="AF128" s="220"/>
      <c r="AG128" s="220"/>
      <c r="AH128" s="244"/>
      <c r="AI128" s="244"/>
      <c r="AJ128" s="220"/>
      <c r="AK128" s="252"/>
    </row>
    <row r="129" spans="1:37" ht="12.75" customHeight="1" x14ac:dyDescent="0.25">
      <c r="A129" s="229"/>
      <c r="B129" s="229"/>
      <c r="C129" s="220"/>
      <c r="D129" s="220"/>
      <c r="E129" s="252"/>
      <c r="F129" s="248"/>
      <c r="G129" s="248"/>
      <c r="H129" s="248"/>
      <c r="I129" s="248"/>
      <c r="J129" s="248"/>
      <c r="K129" s="220"/>
      <c r="L129" s="254"/>
      <c r="M129" s="254"/>
      <c r="N129" s="220"/>
      <c r="O129" s="220"/>
      <c r="P129" s="220"/>
      <c r="Q129" s="220"/>
      <c r="R129" s="244"/>
      <c r="S129" s="254"/>
      <c r="T129" s="247"/>
      <c r="U129" s="220"/>
      <c r="V129" s="220"/>
      <c r="W129" s="244"/>
      <c r="X129" s="220"/>
      <c r="Y129" s="220"/>
      <c r="Z129" s="220"/>
      <c r="AA129" s="220"/>
      <c r="AB129" s="244"/>
      <c r="AC129" s="220"/>
      <c r="AD129" s="220"/>
      <c r="AE129" s="220"/>
      <c r="AF129" s="220"/>
      <c r="AG129" s="220"/>
      <c r="AH129" s="244"/>
      <c r="AI129" s="244"/>
      <c r="AJ129" s="220"/>
      <c r="AK129" s="252"/>
    </row>
    <row r="130" spans="1:37" ht="12.75" customHeight="1" x14ac:dyDescent="0.25">
      <c r="A130" s="229"/>
      <c r="B130" s="229"/>
      <c r="C130" s="220"/>
      <c r="D130" s="220"/>
      <c r="E130" s="252"/>
      <c r="F130" s="248"/>
      <c r="G130" s="248"/>
      <c r="H130" s="248"/>
      <c r="I130" s="248"/>
      <c r="J130" s="248"/>
      <c r="K130" s="220"/>
      <c r="L130" s="254"/>
      <c r="M130" s="254"/>
      <c r="N130" s="220"/>
      <c r="O130" s="220"/>
      <c r="P130" s="220"/>
      <c r="Q130" s="220"/>
      <c r="R130" s="244"/>
      <c r="S130" s="254"/>
      <c r="T130" s="247"/>
      <c r="U130" s="220"/>
      <c r="V130" s="220"/>
      <c r="W130" s="244"/>
      <c r="X130" s="220"/>
      <c r="Y130" s="220"/>
      <c r="Z130" s="220"/>
      <c r="AA130" s="220"/>
      <c r="AB130" s="244"/>
      <c r="AC130" s="220"/>
      <c r="AD130" s="220"/>
      <c r="AE130" s="220"/>
      <c r="AF130" s="220"/>
      <c r="AG130" s="220"/>
      <c r="AH130" s="244"/>
      <c r="AI130" s="244"/>
      <c r="AJ130" s="220"/>
      <c r="AK130" s="252"/>
    </row>
    <row r="131" spans="1:37" ht="12.75" customHeight="1" x14ac:dyDescent="0.25">
      <c r="A131" s="229"/>
      <c r="B131" s="229"/>
      <c r="C131" s="220"/>
      <c r="D131" s="220"/>
      <c r="E131" s="252"/>
      <c r="F131" s="248"/>
      <c r="G131" s="248"/>
      <c r="H131" s="248"/>
      <c r="I131" s="248"/>
      <c r="J131" s="248"/>
      <c r="K131" s="220"/>
      <c r="L131" s="254"/>
      <c r="M131" s="254"/>
      <c r="N131" s="220"/>
      <c r="O131" s="220"/>
      <c r="P131" s="220"/>
      <c r="Q131" s="220"/>
      <c r="R131" s="244"/>
      <c r="S131" s="254"/>
      <c r="T131" s="247"/>
      <c r="U131" s="220"/>
      <c r="V131" s="220"/>
      <c r="W131" s="244"/>
      <c r="X131" s="220"/>
      <c r="Y131" s="220"/>
      <c r="Z131" s="220"/>
      <c r="AA131" s="220"/>
      <c r="AB131" s="244"/>
      <c r="AC131" s="220"/>
      <c r="AD131" s="220"/>
      <c r="AE131" s="220"/>
      <c r="AF131" s="220"/>
      <c r="AG131" s="220"/>
      <c r="AH131" s="244"/>
      <c r="AI131" s="244"/>
      <c r="AJ131" s="220"/>
      <c r="AK131" s="252"/>
    </row>
    <row r="132" spans="1:37" ht="12.75" customHeight="1" x14ac:dyDescent="0.25">
      <c r="A132" s="229"/>
      <c r="B132" s="229"/>
      <c r="C132" s="220"/>
      <c r="D132" s="220"/>
      <c r="E132" s="252"/>
      <c r="F132" s="248"/>
      <c r="G132" s="248"/>
      <c r="H132" s="248"/>
      <c r="I132" s="248"/>
      <c r="J132" s="248"/>
      <c r="K132" s="220"/>
      <c r="L132" s="254"/>
      <c r="M132" s="254"/>
      <c r="N132" s="220"/>
      <c r="O132" s="220"/>
      <c r="P132" s="220"/>
      <c r="Q132" s="220"/>
      <c r="R132" s="244"/>
      <c r="S132" s="254"/>
      <c r="T132" s="247"/>
      <c r="U132" s="220"/>
      <c r="V132" s="220"/>
      <c r="W132" s="244"/>
      <c r="X132" s="220"/>
      <c r="Y132" s="220"/>
      <c r="Z132" s="220"/>
      <c r="AA132" s="220"/>
      <c r="AB132" s="244"/>
      <c r="AC132" s="220"/>
      <c r="AD132" s="220"/>
      <c r="AE132" s="220"/>
      <c r="AF132" s="220"/>
      <c r="AG132" s="220"/>
      <c r="AH132" s="244"/>
      <c r="AI132" s="244"/>
      <c r="AJ132" s="220"/>
      <c r="AK132" s="252"/>
    </row>
    <row r="133" spans="1:37" ht="12.75" customHeight="1" x14ac:dyDescent="0.25">
      <c r="A133" s="229"/>
      <c r="B133" s="229"/>
      <c r="C133" s="220"/>
      <c r="D133" s="220"/>
      <c r="E133" s="252"/>
      <c r="F133" s="248"/>
      <c r="G133" s="248"/>
      <c r="H133" s="248"/>
      <c r="I133" s="248"/>
      <c r="J133" s="248"/>
      <c r="K133" s="220"/>
      <c r="L133" s="254"/>
      <c r="M133" s="254"/>
      <c r="N133" s="220"/>
      <c r="O133" s="220"/>
      <c r="P133" s="220"/>
      <c r="Q133" s="220"/>
      <c r="R133" s="244"/>
      <c r="S133" s="254"/>
      <c r="T133" s="247"/>
      <c r="U133" s="220"/>
      <c r="V133" s="220"/>
      <c r="W133" s="244"/>
      <c r="X133" s="220"/>
      <c r="Y133" s="220"/>
      <c r="Z133" s="220"/>
      <c r="AA133" s="220"/>
      <c r="AB133" s="244"/>
      <c r="AC133" s="220"/>
      <c r="AD133" s="220"/>
      <c r="AE133" s="220"/>
      <c r="AF133" s="220"/>
      <c r="AG133" s="220"/>
      <c r="AH133" s="244"/>
      <c r="AI133" s="244"/>
      <c r="AJ133" s="220"/>
      <c r="AK133" s="252"/>
    </row>
    <row r="134" spans="1:37" ht="12.75" customHeight="1" x14ac:dyDescent="0.25">
      <c r="A134" s="229"/>
      <c r="B134" s="229"/>
      <c r="C134" s="220"/>
      <c r="D134" s="220"/>
      <c r="E134" s="252"/>
      <c r="F134" s="248"/>
      <c r="G134" s="248"/>
      <c r="H134" s="248"/>
      <c r="I134" s="248"/>
      <c r="J134" s="248"/>
      <c r="K134" s="220"/>
      <c r="L134" s="254"/>
      <c r="M134" s="254"/>
      <c r="N134" s="220"/>
      <c r="O134" s="220"/>
      <c r="P134" s="220"/>
      <c r="Q134" s="220"/>
      <c r="R134" s="244"/>
      <c r="S134" s="254"/>
      <c r="T134" s="247"/>
      <c r="U134" s="220"/>
      <c r="V134" s="220"/>
      <c r="W134" s="244"/>
      <c r="X134" s="220"/>
      <c r="Y134" s="220"/>
      <c r="Z134" s="220"/>
      <c r="AA134" s="220"/>
      <c r="AB134" s="244"/>
      <c r="AC134" s="220"/>
      <c r="AD134" s="220"/>
      <c r="AE134" s="220"/>
      <c r="AF134" s="220"/>
      <c r="AG134" s="220"/>
      <c r="AH134" s="244"/>
      <c r="AI134" s="244"/>
      <c r="AJ134" s="220"/>
      <c r="AK134" s="252"/>
    </row>
    <row r="135" spans="1:37" ht="12.75" customHeight="1" x14ac:dyDescent="0.25">
      <c r="A135" s="229"/>
      <c r="B135" s="229"/>
      <c r="C135" s="220"/>
      <c r="D135" s="220"/>
      <c r="E135" s="252"/>
      <c r="F135" s="248"/>
      <c r="G135" s="248"/>
      <c r="H135" s="248"/>
      <c r="I135" s="248"/>
      <c r="J135" s="248"/>
      <c r="K135" s="220"/>
      <c r="L135" s="254"/>
      <c r="M135" s="254"/>
      <c r="N135" s="220"/>
      <c r="O135" s="220"/>
      <c r="P135" s="220"/>
      <c r="Q135" s="220"/>
      <c r="R135" s="244"/>
      <c r="S135" s="254"/>
      <c r="T135" s="247"/>
      <c r="U135" s="220"/>
      <c r="V135" s="220"/>
      <c r="W135" s="244"/>
      <c r="X135" s="220"/>
      <c r="Y135" s="220"/>
      <c r="Z135" s="220"/>
      <c r="AA135" s="220"/>
      <c r="AB135" s="244"/>
      <c r="AC135" s="220"/>
      <c r="AD135" s="220"/>
      <c r="AE135" s="220"/>
      <c r="AF135" s="220"/>
      <c r="AG135" s="220"/>
      <c r="AH135" s="244"/>
      <c r="AI135" s="244"/>
      <c r="AJ135" s="220"/>
      <c r="AK135" s="252"/>
    </row>
    <row r="136" spans="1:37" ht="12.75" customHeight="1" x14ac:dyDescent="0.25">
      <c r="A136" s="229"/>
      <c r="B136" s="229"/>
      <c r="C136" s="220"/>
      <c r="D136" s="220"/>
      <c r="E136" s="252"/>
      <c r="F136" s="248"/>
      <c r="G136" s="248"/>
      <c r="H136" s="248"/>
      <c r="I136" s="248"/>
      <c r="J136" s="248"/>
      <c r="K136" s="220"/>
      <c r="L136" s="254"/>
      <c r="M136" s="254"/>
      <c r="N136" s="220"/>
      <c r="O136" s="220"/>
      <c r="P136" s="220"/>
      <c r="Q136" s="220"/>
      <c r="R136" s="244"/>
      <c r="S136" s="254"/>
      <c r="T136" s="247"/>
      <c r="U136" s="220"/>
      <c r="V136" s="220"/>
      <c r="W136" s="244"/>
      <c r="X136" s="220"/>
      <c r="Y136" s="220"/>
      <c r="Z136" s="220"/>
      <c r="AA136" s="220"/>
      <c r="AB136" s="244"/>
      <c r="AC136" s="220"/>
      <c r="AD136" s="220"/>
      <c r="AE136" s="220"/>
      <c r="AF136" s="220"/>
      <c r="AG136" s="220"/>
      <c r="AH136" s="244"/>
      <c r="AI136" s="244"/>
      <c r="AJ136" s="220"/>
      <c r="AK136" s="252"/>
    </row>
    <row r="137" spans="1:37" ht="12.75" customHeight="1" x14ac:dyDescent="0.25">
      <c r="A137" s="229"/>
      <c r="B137" s="229"/>
      <c r="C137" s="220"/>
      <c r="D137" s="220"/>
      <c r="E137" s="252"/>
      <c r="F137" s="248"/>
      <c r="G137" s="248"/>
      <c r="H137" s="248"/>
      <c r="I137" s="248"/>
      <c r="J137" s="248"/>
      <c r="K137" s="220"/>
      <c r="L137" s="254"/>
      <c r="M137" s="254"/>
      <c r="N137" s="220"/>
      <c r="O137" s="220"/>
      <c r="P137" s="220"/>
      <c r="Q137" s="220"/>
      <c r="R137" s="244"/>
      <c r="S137" s="254"/>
      <c r="T137" s="247"/>
      <c r="U137" s="220"/>
      <c r="V137" s="220"/>
      <c r="W137" s="244"/>
      <c r="X137" s="220"/>
      <c r="Y137" s="220"/>
      <c r="Z137" s="220"/>
      <c r="AA137" s="220"/>
      <c r="AB137" s="244"/>
      <c r="AC137" s="220"/>
      <c r="AD137" s="220"/>
      <c r="AE137" s="220"/>
      <c r="AF137" s="220"/>
      <c r="AG137" s="220"/>
      <c r="AH137" s="244"/>
      <c r="AI137" s="244"/>
      <c r="AJ137" s="220"/>
      <c r="AK137" s="252"/>
    </row>
    <row r="138" spans="1:37" ht="12.75" customHeight="1" x14ac:dyDescent="0.25">
      <c r="A138" s="229"/>
      <c r="B138" s="229"/>
      <c r="C138" s="220"/>
      <c r="D138" s="220"/>
      <c r="E138" s="252"/>
      <c r="F138" s="248"/>
      <c r="G138" s="248"/>
      <c r="H138" s="248"/>
      <c r="I138" s="248"/>
      <c r="J138" s="248"/>
      <c r="K138" s="220"/>
      <c r="L138" s="254"/>
      <c r="M138" s="254"/>
      <c r="N138" s="220"/>
      <c r="O138" s="220"/>
      <c r="P138" s="220"/>
      <c r="Q138" s="220"/>
      <c r="R138" s="244"/>
      <c r="S138" s="254"/>
      <c r="T138" s="247"/>
      <c r="U138" s="220"/>
      <c r="V138" s="220"/>
      <c r="W138" s="244"/>
      <c r="X138" s="220"/>
      <c r="Y138" s="220"/>
      <c r="Z138" s="220"/>
      <c r="AA138" s="220"/>
      <c r="AB138" s="244"/>
      <c r="AC138" s="220"/>
      <c r="AD138" s="220"/>
      <c r="AE138" s="220"/>
      <c r="AF138" s="220"/>
      <c r="AG138" s="220"/>
      <c r="AH138" s="244"/>
      <c r="AI138" s="244"/>
      <c r="AJ138" s="220"/>
      <c r="AK138" s="252"/>
    </row>
    <row r="139" spans="1:37" ht="12.75" customHeight="1" x14ac:dyDescent="0.25">
      <c r="A139" s="229"/>
      <c r="B139" s="229"/>
      <c r="C139" s="220"/>
      <c r="D139" s="220"/>
      <c r="E139" s="252"/>
      <c r="F139" s="248"/>
      <c r="G139" s="248"/>
      <c r="H139" s="248"/>
      <c r="I139" s="248"/>
      <c r="J139" s="248"/>
      <c r="K139" s="220"/>
      <c r="L139" s="254"/>
      <c r="M139" s="254"/>
      <c r="N139" s="220"/>
      <c r="O139" s="220"/>
      <c r="P139" s="220"/>
      <c r="Q139" s="220"/>
      <c r="R139" s="244"/>
      <c r="S139" s="254"/>
      <c r="T139" s="247"/>
      <c r="U139" s="220"/>
      <c r="V139" s="220"/>
      <c r="W139" s="244"/>
      <c r="X139" s="220"/>
      <c r="Y139" s="220"/>
      <c r="Z139" s="220"/>
      <c r="AA139" s="220"/>
      <c r="AB139" s="244"/>
      <c r="AC139" s="220"/>
      <c r="AD139" s="220"/>
      <c r="AE139" s="220"/>
      <c r="AF139" s="220"/>
      <c r="AG139" s="220"/>
      <c r="AH139" s="244"/>
      <c r="AI139" s="244"/>
      <c r="AJ139" s="220"/>
      <c r="AK139" s="252"/>
    </row>
    <row r="140" spans="1:37" ht="12.75" customHeight="1" x14ac:dyDescent="0.25">
      <c r="A140" s="229"/>
      <c r="B140" s="229"/>
      <c r="C140" s="220"/>
      <c r="D140" s="220"/>
      <c r="E140" s="252"/>
      <c r="F140" s="248"/>
      <c r="G140" s="248"/>
      <c r="H140" s="248"/>
      <c r="I140" s="248"/>
      <c r="J140" s="248"/>
      <c r="K140" s="220"/>
      <c r="L140" s="254"/>
      <c r="M140" s="254"/>
      <c r="N140" s="220"/>
      <c r="O140" s="220"/>
      <c r="P140" s="220"/>
      <c r="Q140" s="220"/>
      <c r="R140" s="244"/>
      <c r="S140" s="254"/>
      <c r="T140" s="247"/>
      <c r="U140" s="220"/>
      <c r="V140" s="220"/>
      <c r="W140" s="244"/>
      <c r="X140" s="220"/>
      <c r="Y140" s="220"/>
      <c r="Z140" s="220"/>
      <c r="AA140" s="220"/>
      <c r="AB140" s="244"/>
      <c r="AC140" s="220"/>
      <c r="AD140" s="220"/>
      <c r="AE140" s="220"/>
      <c r="AF140" s="220"/>
      <c r="AG140" s="220"/>
      <c r="AH140" s="244"/>
      <c r="AI140" s="244"/>
      <c r="AJ140" s="220"/>
      <c r="AK140" s="252"/>
    </row>
    <row r="141" spans="1:37" ht="12.75" customHeight="1" x14ac:dyDescent="0.25">
      <c r="A141" s="229"/>
      <c r="B141" s="229"/>
      <c r="C141" s="220"/>
      <c r="D141" s="220"/>
      <c r="E141" s="252"/>
      <c r="F141" s="248"/>
      <c r="G141" s="248"/>
      <c r="H141" s="248"/>
      <c r="I141" s="248"/>
      <c r="J141" s="248"/>
      <c r="K141" s="220"/>
      <c r="L141" s="254"/>
      <c r="M141" s="254"/>
      <c r="N141" s="220"/>
      <c r="O141" s="220"/>
      <c r="P141" s="220"/>
      <c r="Q141" s="220"/>
      <c r="R141" s="244"/>
      <c r="S141" s="254"/>
      <c r="T141" s="247"/>
      <c r="U141" s="220"/>
      <c r="V141" s="220"/>
      <c r="W141" s="244"/>
      <c r="X141" s="220"/>
      <c r="Y141" s="220"/>
      <c r="Z141" s="220"/>
      <c r="AA141" s="220"/>
      <c r="AB141" s="244"/>
      <c r="AC141" s="220"/>
      <c r="AD141" s="220"/>
      <c r="AE141" s="220"/>
      <c r="AF141" s="220"/>
      <c r="AG141" s="220"/>
      <c r="AH141" s="244"/>
      <c r="AI141" s="244"/>
      <c r="AJ141" s="220"/>
      <c r="AK141" s="252"/>
    </row>
    <row r="142" spans="1:37" ht="12.75" customHeight="1" x14ac:dyDescent="0.25">
      <c r="A142" s="229"/>
      <c r="B142" s="229"/>
      <c r="C142" s="220"/>
      <c r="D142" s="220"/>
      <c r="E142" s="252"/>
      <c r="F142" s="248"/>
      <c r="G142" s="248"/>
      <c r="H142" s="248"/>
      <c r="I142" s="248"/>
      <c r="J142" s="248"/>
      <c r="K142" s="220"/>
      <c r="L142" s="254"/>
      <c r="M142" s="254"/>
      <c r="N142" s="220"/>
      <c r="O142" s="220"/>
      <c r="P142" s="220"/>
      <c r="Q142" s="220"/>
      <c r="R142" s="244"/>
      <c r="S142" s="254"/>
      <c r="T142" s="247"/>
      <c r="U142" s="220"/>
      <c r="V142" s="220"/>
      <c r="W142" s="244"/>
      <c r="X142" s="220"/>
      <c r="Y142" s="220"/>
      <c r="Z142" s="220"/>
      <c r="AA142" s="220"/>
      <c r="AB142" s="244"/>
      <c r="AC142" s="220"/>
      <c r="AD142" s="220"/>
      <c r="AE142" s="220"/>
      <c r="AF142" s="220"/>
      <c r="AG142" s="220"/>
      <c r="AH142" s="244"/>
      <c r="AI142" s="244"/>
      <c r="AJ142" s="220"/>
      <c r="AK142" s="252"/>
    </row>
    <row r="143" spans="1:37" ht="12.75" customHeight="1" x14ac:dyDescent="0.25">
      <c r="A143" s="229"/>
      <c r="B143" s="229"/>
      <c r="C143" s="220"/>
      <c r="D143" s="220"/>
      <c r="E143" s="252"/>
      <c r="F143" s="248"/>
      <c r="G143" s="248"/>
      <c r="H143" s="248"/>
      <c r="I143" s="248"/>
      <c r="J143" s="248"/>
      <c r="K143" s="220"/>
      <c r="L143" s="254"/>
      <c r="M143" s="254"/>
      <c r="N143" s="220"/>
      <c r="O143" s="220"/>
      <c r="P143" s="220"/>
      <c r="Q143" s="220"/>
      <c r="R143" s="244"/>
      <c r="S143" s="254"/>
      <c r="T143" s="247"/>
      <c r="U143" s="220"/>
      <c r="V143" s="220"/>
      <c r="W143" s="244"/>
      <c r="X143" s="220"/>
      <c r="Y143" s="220"/>
      <c r="Z143" s="220"/>
      <c r="AA143" s="220"/>
      <c r="AB143" s="244"/>
      <c r="AC143" s="220"/>
      <c r="AD143" s="220"/>
      <c r="AE143" s="220"/>
      <c r="AF143" s="220"/>
      <c r="AG143" s="220"/>
      <c r="AH143" s="244"/>
      <c r="AI143" s="244"/>
      <c r="AJ143" s="220"/>
      <c r="AK143" s="252"/>
    </row>
    <row r="144" spans="1:37" ht="12.75" customHeight="1" x14ac:dyDescent="0.25">
      <c r="A144" s="229"/>
      <c r="B144" s="229"/>
      <c r="C144" s="220"/>
      <c r="D144" s="220"/>
      <c r="E144" s="252"/>
      <c r="F144" s="248"/>
      <c r="G144" s="248"/>
      <c r="H144" s="248"/>
      <c r="I144" s="248"/>
      <c r="J144" s="248"/>
      <c r="K144" s="220"/>
      <c r="L144" s="254"/>
      <c r="M144" s="254"/>
      <c r="N144" s="220"/>
      <c r="O144" s="220"/>
      <c r="P144" s="220"/>
      <c r="Q144" s="220"/>
      <c r="R144" s="244"/>
      <c r="S144" s="254"/>
      <c r="T144" s="247"/>
      <c r="U144" s="220"/>
      <c r="V144" s="220"/>
      <c r="W144" s="244"/>
      <c r="X144" s="220"/>
      <c r="Y144" s="220"/>
      <c r="Z144" s="220"/>
      <c r="AA144" s="220"/>
      <c r="AB144" s="244"/>
      <c r="AC144" s="220"/>
      <c r="AD144" s="220"/>
      <c r="AE144" s="220"/>
      <c r="AF144" s="220"/>
      <c r="AG144" s="220"/>
      <c r="AH144" s="244"/>
      <c r="AI144" s="244"/>
      <c r="AJ144" s="220"/>
      <c r="AK144" s="252"/>
    </row>
    <row r="145" spans="1:37" ht="12.75" customHeight="1" x14ac:dyDescent="0.25">
      <c r="A145" s="229"/>
      <c r="B145" s="229"/>
      <c r="C145" s="220"/>
      <c r="D145" s="220"/>
      <c r="E145" s="252"/>
      <c r="F145" s="248"/>
      <c r="G145" s="248"/>
      <c r="H145" s="248"/>
      <c r="I145" s="248"/>
      <c r="J145" s="248"/>
      <c r="K145" s="220"/>
      <c r="L145" s="254"/>
      <c r="M145" s="254"/>
      <c r="N145" s="220"/>
      <c r="O145" s="220"/>
      <c r="P145" s="220"/>
      <c r="Q145" s="220"/>
      <c r="R145" s="244"/>
      <c r="S145" s="254"/>
      <c r="T145" s="247"/>
      <c r="U145" s="220"/>
      <c r="V145" s="220"/>
      <c r="W145" s="244"/>
      <c r="X145" s="220"/>
      <c r="Y145" s="220"/>
      <c r="Z145" s="220"/>
      <c r="AA145" s="220"/>
      <c r="AB145" s="244"/>
      <c r="AC145" s="220"/>
      <c r="AD145" s="220"/>
      <c r="AE145" s="220"/>
      <c r="AF145" s="220"/>
      <c r="AG145" s="220"/>
      <c r="AH145" s="244"/>
      <c r="AI145" s="244"/>
      <c r="AJ145" s="220"/>
      <c r="AK145" s="252"/>
    </row>
    <row r="146" spans="1:37" ht="12.75" customHeight="1" x14ac:dyDescent="0.25">
      <c r="A146" s="229"/>
      <c r="B146" s="229"/>
      <c r="C146" s="220"/>
      <c r="D146" s="220"/>
      <c r="E146" s="252"/>
      <c r="F146" s="248"/>
      <c r="G146" s="248"/>
      <c r="H146" s="248"/>
      <c r="I146" s="248"/>
      <c r="J146" s="248"/>
      <c r="K146" s="220"/>
      <c r="L146" s="254"/>
      <c r="M146" s="254"/>
      <c r="N146" s="220"/>
      <c r="O146" s="220"/>
      <c r="P146" s="220"/>
      <c r="Q146" s="220"/>
      <c r="R146" s="244"/>
      <c r="S146" s="254"/>
      <c r="T146" s="247"/>
      <c r="U146" s="220"/>
      <c r="V146" s="220"/>
      <c r="W146" s="244"/>
      <c r="X146" s="220"/>
      <c r="Y146" s="220"/>
      <c r="Z146" s="220"/>
      <c r="AA146" s="220"/>
      <c r="AB146" s="244"/>
      <c r="AC146" s="220"/>
      <c r="AD146" s="220"/>
      <c r="AE146" s="220"/>
      <c r="AF146" s="220"/>
      <c r="AG146" s="220"/>
      <c r="AH146" s="244"/>
      <c r="AI146" s="244"/>
      <c r="AJ146" s="220"/>
      <c r="AK146" s="252"/>
    </row>
    <row r="147" spans="1:37" ht="12.75" customHeight="1" x14ac:dyDescent="0.25">
      <c r="A147" s="229"/>
      <c r="B147" s="229"/>
      <c r="C147" s="220"/>
      <c r="D147" s="220"/>
      <c r="E147" s="252"/>
      <c r="F147" s="248"/>
      <c r="G147" s="248"/>
      <c r="H147" s="248"/>
      <c r="I147" s="248"/>
      <c r="J147" s="248"/>
      <c r="K147" s="220"/>
      <c r="L147" s="254"/>
      <c r="M147" s="254"/>
      <c r="N147" s="220"/>
      <c r="O147" s="220"/>
      <c r="P147" s="220"/>
      <c r="Q147" s="220"/>
      <c r="R147" s="244"/>
      <c r="S147" s="254"/>
      <c r="T147" s="247"/>
      <c r="U147" s="220"/>
      <c r="V147" s="220"/>
      <c r="W147" s="244"/>
      <c r="X147" s="220"/>
      <c r="Y147" s="220"/>
      <c r="Z147" s="220"/>
      <c r="AA147" s="220"/>
      <c r="AB147" s="244"/>
      <c r="AC147" s="220"/>
      <c r="AD147" s="220"/>
      <c r="AE147" s="220"/>
      <c r="AF147" s="220"/>
      <c r="AG147" s="220"/>
      <c r="AH147" s="244"/>
      <c r="AI147" s="244"/>
      <c r="AJ147" s="220"/>
      <c r="AK147" s="252"/>
    </row>
    <row r="148" spans="1:37" ht="12.75" customHeight="1" x14ac:dyDescent="0.25">
      <c r="A148" s="229"/>
      <c r="B148" s="229"/>
      <c r="C148" s="220"/>
      <c r="D148" s="220"/>
      <c r="E148" s="252"/>
      <c r="F148" s="248"/>
      <c r="G148" s="248"/>
      <c r="H148" s="248"/>
      <c r="I148" s="248"/>
      <c r="J148" s="248"/>
      <c r="K148" s="220"/>
      <c r="L148" s="254"/>
      <c r="M148" s="254"/>
      <c r="N148" s="220"/>
      <c r="O148" s="220"/>
      <c r="P148" s="220"/>
      <c r="Q148" s="220"/>
      <c r="R148" s="244"/>
      <c r="S148" s="254"/>
      <c r="T148" s="247"/>
      <c r="U148" s="220"/>
      <c r="V148" s="220"/>
      <c r="W148" s="244"/>
      <c r="X148" s="220"/>
      <c r="Y148" s="220"/>
      <c r="Z148" s="220"/>
      <c r="AA148" s="220"/>
      <c r="AB148" s="244"/>
      <c r="AC148" s="220"/>
      <c r="AD148" s="220"/>
      <c r="AE148" s="220"/>
      <c r="AF148" s="220"/>
      <c r="AG148" s="220"/>
      <c r="AH148" s="244"/>
      <c r="AI148" s="244"/>
      <c r="AJ148" s="220"/>
      <c r="AK148" s="252"/>
    </row>
    <row r="149" spans="1:37" ht="12.75" customHeight="1" x14ac:dyDescent="0.25">
      <c r="A149" s="229"/>
      <c r="B149" s="229"/>
      <c r="C149" s="220"/>
      <c r="D149" s="220"/>
      <c r="E149" s="252"/>
      <c r="F149" s="248"/>
      <c r="G149" s="248"/>
      <c r="H149" s="248"/>
      <c r="I149" s="248"/>
      <c r="J149" s="248"/>
      <c r="K149" s="220"/>
      <c r="L149" s="254"/>
      <c r="M149" s="254"/>
      <c r="N149" s="220"/>
      <c r="O149" s="220"/>
      <c r="P149" s="220"/>
      <c r="Q149" s="220"/>
      <c r="R149" s="244"/>
      <c r="S149" s="254"/>
      <c r="T149" s="247"/>
      <c r="U149" s="220"/>
      <c r="V149" s="220"/>
      <c r="W149" s="244"/>
      <c r="X149" s="220"/>
      <c r="Y149" s="220"/>
      <c r="Z149" s="220"/>
      <c r="AA149" s="220"/>
      <c r="AB149" s="244"/>
      <c r="AC149" s="220"/>
      <c r="AD149" s="220"/>
      <c r="AE149" s="220"/>
      <c r="AF149" s="220"/>
      <c r="AG149" s="220"/>
      <c r="AH149" s="244"/>
      <c r="AI149" s="244"/>
      <c r="AJ149" s="220"/>
      <c r="AK149" s="252"/>
    </row>
    <row r="150" spans="1:37" ht="12.75" customHeight="1" x14ac:dyDescent="0.25">
      <c r="A150" s="229"/>
      <c r="B150" s="229"/>
      <c r="C150" s="220"/>
      <c r="D150" s="220"/>
      <c r="E150" s="252"/>
      <c r="F150" s="248"/>
      <c r="G150" s="248"/>
      <c r="H150" s="248"/>
      <c r="I150" s="248"/>
      <c r="J150" s="248"/>
      <c r="K150" s="220"/>
      <c r="L150" s="254"/>
      <c r="M150" s="254"/>
      <c r="N150" s="220"/>
      <c r="O150" s="220"/>
      <c r="P150" s="220"/>
      <c r="Q150" s="220"/>
      <c r="R150" s="244"/>
      <c r="S150" s="254"/>
      <c r="T150" s="247"/>
      <c r="U150" s="220"/>
      <c r="V150" s="220"/>
      <c r="W150" s="244"/>
      <c r="X150" s="220"/>
      <c r="Y150" s="220"/>
      <c r="Z150" s="220"/>
      <c r="AA150" s="220"/>
      <c r="AB150" s="244"/>
      <c r="AC150" s="220"/>
      <c r="AD150" s="220"/>
      <c r="AE150" s="220"/>
      <c r="AF150" s="220"/>
      <c r="AG150" s="220"/>
      <c r="AH150" s="244"/>
      <c r="AI150" s="244"/>
      <c r="AJ150" s="220"/>
      <c r="AK150" s="252"/>
    </row>
    <row r="151" spans="1:37" ht="12.75" customHeight="1" x14ac:dyDescent="0.25">
      <c r="A151" s="229"/>
      <c r="B151" s="229"/>
      <c r="C151" s="220"/>
      <c r="D151" s="220"/>
      <c r="E151" s="252"/>
      <c r="F151" s="248"/>
      <c r="G151" s="248"/>
      <c r="H151" s="248"/>
      <c r="I151" s="248"/>
      <c r="J151" s="248"/>
      <c r="K151" s="220"/>
      <c r="L151" s="254"/>
      <c r="M151" s="254"/>
      <c r="N151" s="220"/>
      <c r="O151" s="220"/>
      <c r="P151" s="220"/>
      <c r="Q151" s="220"/>
      <c r="R151" s="244"/>
      <c r="S151" s="254"/>
      <c r="T151" s="247"/>
      <c r="U151" s="220"/>
      <c r="V151" s="220"/>
      <c r="W151" s="244"/>
      <c r="X151" s="220"/>
      <c r="Y151" s="220"/>
      <c r="Z151" s="220"/>
      <c r="AA151" s="220"/>
      <c r="AB151" s="244"/>
      <c r="AC151" s="220"/>
      <c r="AD151" s="220"/>
      <c r="AE151" s="220"/>
      <c r="AF151" s="220"/>
      <c r="AG151" s="220"/>
      <c r="AH151" s="244"/>
      <c r="AI151" s="244"/>
      <c r="AJ151" s="220"/>
      <c r="AK151" s="252"/>
    </row>
    <row r="152" spans="1:37" ht="12.75" customHeight="1" x14ac:dyDescent="0.25">
      <c r="A152" s="229"/>
      <c r="B152" s="229"/>
      <c r="C152" s="220"/>
      <c r="D152" s="220"/>
      <c r="E152" s="252"/>
      <c r="F152" s="248"/>
      <c r="G152" s="248"/>
      <c r="H152" s="248"/>
      <c r="I152" s="248"/>
      <c r="J152" s="248"/>
      <c r="K152" s="220"/>
      <c r="L152" s="254"/>
      <c r="M152" s="254"/>
      <c r="N152" s="220"/>
      <c r="O152" s="220"/>
      <c r="P152" s="220"/>
      <c r="Q152" s="220"/>
      <c r="R152" s="244"/>
      <c r="S152" s="254"/>
      <c r="T152" s="247"/>
      <c r="U152" s="220"/>
      <c r="V152" s="220"/>
      <c r="W152" s="244"/>
      <c r="X152" s="220"/>
      <c r="Y152" s="220"/>
      <c r="Z152" s="220"/>
      <c r="AA152" s="220"/>
      <c r="AB152" s="244"/>
      <c r="AC152" s="220"/>
      <c r="AD152" s="220"/>
      <c r="AE152" s="220"/>
      <c r="AF152" s="220"/>
      <c r="AG152" s="220"/>
      <c r="AH152" s="244"/>
      <c r="AI152" s="244"/>
      <c r="AJ152" s="220"/>
      <c r="AK152" s="252"/>
    </row>
    <row r="153" spans="1:37" ht="12.75" customHeight="1" x14ac:dyDescent="0.25">
      <c r="A153" s="229"/>
      <c r="B153" s="229"/>
      <c r="C153" s="220"/>
      <c r="D153" s="220"/>
      <c r="E153" s="252"/>
      <c r="F153" s="248"/>
      <c r="G153" s="248"/>
      <c r="H153" s="248"/>
      <c r="I153" s="248"/>
      <c r="J153" s="248"/>
      <c r="K153" s="220"/>
      <c r="L153" s="254"/>
      <c r="M153" s="254"/>
      <c r="N153" s="220"/>
      <c r="O153" s="220"/>
      <c r="P153" s="220"/>
      <c r="Q153" s="220"/>
      <c r="R153" s="244"/>
      <c r="S153" s="254"/>
      <c r="T153" s="247"/>
      <c r="U153" s="220"/>
      <c r="V153" s="220"/>
      <c r="W153" s="244"/>
      <c r="X153" s="220"/>
      <c r="Y153" s="220"/>
      <c r="Z153" s="220"/>
      <c r="AA153" s="220"/>
      <c r="AB153" s="244"/>
      <c r="AC153" s="220"/>
      <c r="AD153" s="220"/>
      <c r="AE153" s="220"/>
      <c r="AF153" s="220"/>
      <c r="AG153" s="220"/>
      <c r="AH153" s="244"/>
      <c r="AI153" s="244"/>
      <c r="AJ153" s="220"/>
      <c r="AK153" s="252"/>
    </row>
    <row r="154" spans="1:37" ht="12.75" customHeight="1" x14ac:dyDescent="0.25">
      <c r="A154" s="229"/>
      <c r="B154" s="229"/>
      <c r="C154" s="220"/>
      <c r="D154" s="220"/>
      <c r="E154" s="252"/>
      <c r="F154" s="248"/>
      <c r="G154" s="248"/>
      <c r="H154" s="248"/>
      <c r="I154" s="248"/>
      <c r="J154" s="248"/>
      <c r="K154" s="220"/>
      <c r="L154" s="254"/>
      <c r="M154" s="254"/>
      <c r="N154" s="220"/>
      <c r="O154" s="220"/>
      <c r="P154" s="220"/>
      <c r="Q154" s="220"/>
      <c r="R154" s="244"/>
      <c r="S154" s="254"/>
      <c r="T154" s="247"/>
      <c r="U154" s="220"/>
      <c r="V154" s="220"/>
      <c r="W154" s="244"/>
      <c r="X154" s="220"/>
      <c r="Y154" s="220"/>
      <c r="Z154" s="220"/>
      <c r="AA154" s="220"/>
      <c r="AB154" s="244"/>
      <c r="AC154" s="220"/>
      <c r="AD154" s="220"/>
      <c r="AE154" s="220"/>
      <c r="AF154" s="220"/>
      <c r="AG154" s="220"/>
      <c r="AH154" s="244"/>
      <c r="AI154" s="244"/>
      <c r="AJ154" s="220"/>
      <c r="AK154" s="252"/>
    </row>
    <row r="155" spans="1:37" ht="12.75" customHeight="1" x14ac:dyDescent="0.25">
      <c r="A155" s="229"/>
      <c r="B155" s="229"/>
      <c r="C155" s="220"/>
      <c r="D155" s="220"/>
      <c r="E155" s="252"/>
      <c r="F155" s="248"/>
      <c r="G155" s="248"/>
      <c r="H155" s="248"/>
      <c r="I155" s="248"/>
      <c r="J155" s="248"/>
      <c r="K155" s="220"/>
      <c r="L155" s="254"/>
      <c r="M155" s="254"/>
      <c r="N155" s="220"/>
      <c r="O155" s="220"/>
      <c r="P155" s="220"/>
      <c r="Q155" s="220"/>
      <c r="R155" s="244"/>
      <c r="S155" s="254"/>
      <c r="T155" s="247"/>
      <c r="U155" s="220"/>
      <c r="V155" s="220"/>
      <c r="W155" s="244"/>
      <c r="X155" s="220"/>
      <c r="Y155" s="220"/>
      <c r="Z155" s="220"/>
      <c r="AA155" s="220"/>
      <c r="AB155" s="244"/>
      <c r="AC155" s="220"/>
      <c r="AD155" s="220"/>
      <c r="AE155" s="220"/>
      <c r="AF155" s="220"/>
      <c r="AG155" s="220"/>
      <c r="AH155" s="244"/>
      <c r="AI155" s="244"/>
      <c r="AJ155" s="220"/>
      <c r="AK155" s="252"/>
    </row>
    <row r="156" spans="1:37" ht="12.75" customHeight="1" x14ac:dyDescent="0.25">
      <c r="A156" s="229"/>
      <c r="B156" s="229"/>
      <c r="C156" s="220"/>
      <c r="D156" s="220"/>
      <c r="E156" s="252"/>
      <c r="F156" s="248"/>
      <c r="G156" s="248"/>
      <c r="H156" s="248"/>
      <c r="I156" s="248"/>
      <c r="J156" s="248"/>
      <c r="K156" s="220"/>
      <c r="L156" s="254"/>
      <c r="M156" s="254"/>
      <c r="N156" s="220"/>
      <c r="O156" s="220"/>
      <c r="P156" s="220"/>
      <c r="Q156" s="220"/>
      <c r="R156" s="244"/>
      <c r="S156" s="254"/>
      <c r="T156" s="247"/>
      <c r="U156" s="220"/>
      <c r="V156" s="220"/>
      <c r="W156" s="244"/>
      <c r="X156" s="220"/>
      <c r="Y156" s="220"/>
      <c r="Z156" s="220"/>
      <c r="AA156" s="220"/>
      <c r="AB156" s="244"/>
      <c r="AC156" s="220"/>
      <c r="AD156" s="220"/>
      <c r="AE156" s="220"/>
      <c r="AF156" s="220"/>
      <c r="AG156" s="220"/>
      <c r="AH156" s="244"/>
      <c r="AI156" s="244"/>
      <c r="AJ156" s="220"/>
      <c r="AK156" s="252"/>
    </row>
    <row r="157" spans="1:37" ht="12.75" customHeight="1" x14ac:dyDescent="0.25">
      <c r="A157" s="229"/>
      <c r="B157" s="229"/>
      <c r="C157" s="220"/>
      <c r="D157" s="220"/>
      <c r="E157" s="252"/>
      <c r="F157" s="248"/>
      <c r="G157" s="248"/>
      <c r="H157" s="248"/>
      <c r="I157" s="248"/>
      <c r="J157" s="248"/>
      <c r="K157" s="220"/>
      <c r="L157" s="254"/>
      <c r="M157" s="254"/>
      <c r="N157" s="220"/>
      <c r="O157" s="220"/>
      <c r="P157" s="220"/>
      <c r="Q157" s="220"/>
      <c r="R157" s="244"/>
      <c r="S157" s="254"/>
      <c r="T157" s="247"/>
      <c r="U157" s="220"/>
      <c r="V157" s="220"/>
      <c r="W157" s="244"/>
      <c r="X157" s="220"/>
      <c r="Y157" s="220"/>
      <c r="Z157" s="220"/>
      <c r="AA157" s="220"/>
      <c r="AB157" s="244"/>
      <c r="AC157" s="220"/>
      <c r="AD157" s="220"/>
      <c r="AE157" s="220"/>
      <c r="AF157" s="220"/>
      <c r="AG157" s="220"/>
      <c r="AH157" s="244"/>
      <c r="AI157" s="244"/>
      <c r="AJ157" s="220"/>
      <c r="AK157" s="252"/>
    </row>
    <row r="158" spans="1:37" ht="12.75" customHeight="1" x14ac:dyDescent="0.25">
      <c r="A158" s="229"/>
      <c r="B158" s="229"/>
      <c r="C158" s="220"/>
      <c r="D158" s="220"/>
      <c r="E158" s="252"/>
      <c r="F158" s="248"/>
      <c r="G158" s="248"/>
      <c r="H158" s="248"/>
      <c r="I158" s="248"/>
      <c r="J158" s="248"/>
      <c r="K158" s="220"/>
      <c r="L158" s="254"/>
      <c r="M158" s="254"/>
      <c r="N158" s="220"/>
      <c r="O158" s="220"/>
      <c r="P158" s="220"/>
      <c r="Q158" s="220"/>
      <c r="R158" s="244"/>
      <c r="S158" s="254"/>
      <c r="T158" s="247"/>
      <c r="U158" s="220"/>
      <c r="V158" s="220"/>
      <c r="W158" s="244"/>
      <c r="X158" s="220"/>
      <c r="Y158" s="220"/>
      <c r="Z158" s="220"/>
      <c r="AA158" s="220"/>
      <c r="AB158" s="244"/>
      <c r="AC158" s="220"/>
      <c r="AD158" s="220"/>
      <c r="AE158" s="220"/>
      <c r="AF158" s="220"/>
      <c r="AG158" s="220"/>
      <c r="AH158" s="244"/>
      <c r="AI158" s="244"/>
      <c r="AJ158" s="220"/>
      <c r="AK158" s="252"/>
    </row>
    <row r="159" spans="1:37" ht="12.75" customHeight="1" x14ac:dyDescent="0.25">
      <c r="A159" s="229"/>
      <c r="B159" s="229"/>
      <c r="C159" s="220"/>
      <c r="D159" s="220"/>
      <c r="E159" s="252"/>
      <c r="F159" s="248"/>
      <c r="G159" s="248"/>
      <c r="H159" s="248"/>
      <c r="I159" s="248"/>
      <c r="J159" s="248"/>
      <c r="K159" s="220"/>
      <c r="L159" s="254"/>
      <c r="M159" s="254"/>
      <c r="N159" s="220"/>
      <c r="O159" s="220"/>
      <c r="P159" s="220"/>
      <c r="Q159" s="220"/>
      <c r="R159" s="244"/>
      <c r="S159" s="254"/>
      <c r="T159" s="247"/>
      <c r="U159" s="220"/>
      <c r="V159" s="220"/>
      <c r="W159" s="244"/>
      <c r="X159" s="220"/>
      <c r="Y159" s="220"/>
      <c r="Z159" s="220"/>
      <c r="AA159" s="220"/>
      <c r="AB159" s="244"/>
      <c r="AC159" s="220"/>
      <c r="AD159" s="220"/>
      <c r="AE159" s="220"/>
      <c r="AF159" s="220"/>
      <c r="AG159" s="220"/>
      <c r="AH159" s="244"/>
      <c r="AI159" s="244"/>
      <c r="AJ159" s="220"/>
      <c r="AK159" s="252"/>
    </row>
    <row r="160" spans="1:37" ht="12.75" customHeight="1" x14ac:dyDescent="0.25">
      <c r="A160" s="229"/>
      <c r="B160" s="229"/>
      <c r="C160" s="220"/>
      <c r="D160" s="220"/>
      <c r="E160" s="252"/>
      <c r="F160" s="248"/>
      <c r="G160" s="248"/>
      <c r="H160" s="248"/>
      <c r="I160" s="248"/>
      <c r="J160" s="248"/>
      <c r="K160" s="220"/>
      <c r="L160" s="254"/>
      <c r="M160" s="254"/>
      <c r="N160" s="220"/>
      <c r="O160" s="220"/>
      <c r="P160" s="220"/>
      <c r="Q160" s="220"/>
      <c r="R160" s="244"/>
      <c r="S160" s="254"/>
      <c r="T160" s="247"/>
      <c r="U160" s="220"/>
      <c r="V160" s="220"/>
      <c r="W160" s="244"/>
      <c r="X160" s="220"/>
      <c r="Y160" s="220"/>
      <c r="Z160" s="220"/>
      <c r="AA160" s="220"/>
      <c r="AB160" s="244"/>
      <c r="AC160" s="220"/>
      <c r="AD160" s="220"/>
      <c r="AE160" s="220"/>
      <c r="AF160" s="220"/>
      <c r="AG160" s="220"/>
      <c r="AH160" s="244"/>
      <c r="AI160" s="244"/>
      <c r="AJ160" s="220"/>
      <c r="AK160" s="252"/>
    </row>
    <row r="161" spans="1:37" ht="12.75" customHeight="1" x14ac:dyDescent="0.25">
      <c r="A161" s="229"/>
      <c r="B161" s="229"/>
      <c r="C161" s="220"/>
      <c r="D161" s="220"/>
      <c r="E161" s="252"/>
      <c r="F161" s="248"/>
      <c r="G161" s="248"/>
      <c r="H161" s="248"/>
      <c r="I161" s="248"/>
      <c r="J161" s="248"/>
      <c r="K161" s="220"/>
      <c r="L161" s="254"/>
      <c r="M161" s="254"/>
      <c r="N161" s="220"/>
      <c r="O161" s="220"/>
      <c r="P161" s="220"/>
      <c r="Q161" s="220"/>
      <c r="R161" s="244"/>
      <c r="S161" s="254"/>
      <c r="T161" s="247"/>
      <c r="U161" s="220"/>
      <c r="V161" s="220"/>
      <c r="W161" s="244"/>
      <c r="X161" s="220"/>
      <c r="Y161" s="220"/>
      <c r="Z161" s="220"/>
      <c r="AA161" s="220"/>
      <c r="AB161" s="244"/>
      <c r="AC161" s="220"/>
      <c r="AD161" s="220"/>
      <c r="AE161" s="220"/>
      <c r="AF161" s="220"/>
      <c r="AG161" s="220"/>
      <c r="AH161" s="244"/>
      <c r="AI161" s="244"/>
      <c r="AJ161" s="220"/>
      <c r="AK161" s="252"/>
    </row>
    <row r="162" spans="1:37" ht="12.75" customHeight="1" x14ac:dyDescent="0.25">
      <c r="A162" s="229"/>
      <c r="B162" s="229"/>
      <c r="C162" s="220"/>
      <c r="D162" s="220"/>
      <c r="E162" s="252"/>
      <c r="F162" s="248"/>
      <c r="G162" s="248"/>
      <c r="H162" s="248"/>
      <c r="I162" s="248"/>
      <c r="J162" s="248"/>
      <c r="K162" s="220"/>
      <c r="L162" s="254"/>
      <c r="M162" s="254"/>
      <c r="N162" s="220"/>
      <c r="O162" s="220"/>
      <c r="P162" s="220"/>
      <c r="Q162" s="220"/>
      <c r="R162" s="244"/>
      <c r="S162" s="254"/>
      <c r="T162" s="247"/>
      <c r="U162" s="220"/>
      <c r="V162" s="220"/>
      <c r="W162" s="244"/>
      <c r="X162" s="220"/>
      <c r="Y162" s="220"/>
      <c r="Z162" s="220"/>
      <c r="AA162" s="220"/>
      <c r="AB162" s="244"/>
      <c r="AC162" s="220"/>
      <c r="AD162" s="220"/>
      <c r="AE162" s="220"/>
      <c r="AF162" s="220"/>
      <c r="AG162" s="220"/>
      <c r="AH162" s="244"/>
      <c r="AI162" s="244"/>
      <c r="AJ162" s="220"/>
      <c r="AK162" s="252"/>
    </row>
    <row r="163" spans="1:37" ht="12.75" customHeight="1" x14ac:dyDescent="0.25">
      <c r="A163" s="229"/>
      <c r="B163" s="229"/>
      <c r="C163" s="220"/>
      <c r="D163" s="220"/>
      <c r="E163" s="252"/>
      <c r="F163" s="248"/>
      <c r="G163" s="248"/>
      <c r="H163" s="248"/>
      <c r="I163" s="248"/>
      <c r="J163" s="248"/>
      <c r="K163" s="220"/>
      <c r="L163" s="254"/>
      <c r="M163" s="254"/>
      <c r="N163" s="220"/>
      <c r="O163" s="220"/>
      <c r="P163" s="220"/>
      <c r="Q163" s="220"/>
      <c r="R163" s="244"/>
      <c r="S163" s="254"/>
      <c r="T163" s="247"/>
      <c r="U163" s="220"/>
      <c r="V163" s="220"/>
      <c r="W163" s="244"/>
      <c r="X163" s="220"/>
      <c r="Y163" s="220"/>
      <c r="Z163" s="220"/>
      <c r="AA163" s="220"/>
      <c r="AB163" s="244"/>
      <c r="AC163" s="220"/>
      <c r="AD163" s="220"/>
      <c r="AE163" s="220"/>
      <c r="AF163" s="220"/>
      <c r="AG163" s="220"/>
      <c r="AH163" s="244"/>
      <c r="AI163" s="244"/>
      <c r="AJ163" s="220"/>
      <c r="AK163" s="252"/>
    </row>
    <row r="164" spans="1:37" ht="12.75" customHeight="1" x14ac:dyDescent="0.25">
      <c r="A164" s="229"/>
      <c r="B164" s="229"/>
      <c r="C164" s="220"/>
      <c r="D164" s="220"/>
      <c r="E164" s="252"/>
      <c r="F164" s="248"/>
      <c r="G164" s="248"/>
      <c r="H164" s="248"/>
      <c r="I164" s="248"/>
      <c r="J164" s="248"/>
      <c r="K164" s="220"/>
      <c r="L164" s="254"/>
      <c r="M164" s="254"/>
      <c r="N164" s="220"/>
      <c r="O164" s="220"/>
      <c r="P164" s="220"/>
      <c r="Q164" s="220"/>
      <c r="R164" s="244"/>
      <c r="S164" s="254"/>
      <c r="T164" s="247"/>
      <c r="U164" s="220"/>
      <c r="V164" s="220"/>
      <c r="W164" s="244"/>
      <c r="X164" s="220"/>
      <c r="Y164" s="220"/>
      <c r="Z164" s="220"/>
      <c r="AA164" s="220"/>
      <c r="AB164" s="244"/>
      <c r="AC164" s="220"/>
      <c r="AD164" s="220"/>
      <c r="AE164" s="220"/>
      <c r="AF164" s="220"/>
      <c r="AG164" s="220"/>
      <c r="AH164" s="244"/>
      <c r="AI164" s="244"/>
      <c r="AJ164" s="220"/>
      <c r="AK164" s="252"/>
    </row>
    <row r="165" spans="1:37" ht="12.75" customHeight="1" x14ac:dyDescent="0.25">
      <c r="A165" s="229"/>
      <c r="B165" s="229"/>
      <c r="C165" s="220"/>
      <c r="D165" s="220"/>
      <c r="E165" s="252"/>
      <c r="F165" s="248"/>
      <c r="G165" s="248"/>
      <c r="H165" s="248"/>
      <c r="I165" s="248"/>
      <c r="J165" s="248"/>
      <c r="K165" s="220"/>
      <c r="L165" s="254"/>
      <c r="M165" s="254"/>
      <c r="N165" s="220"/>
      <c r="O165" s="220"/>
      <c r="P165" s="220"/>
      <c r="Q165" s="220"/>
      <c r="R165" s="244"/>
      <c r="S165" s="254"/>
      <c r="T165" s="247"/>
      <c r="U165" s="220"/>
      <c r="V165" s="220"/>
      <c r="W165" s="244"/>
      <c r="X165" s="220"/>
      <c r="Y165" s="220"/>
      <c r="Z165" s="220"/>
      <c r="AA165" s="220"/>
      <c r="AB165" s="244"/>
      <c r="AC165" s="220"/>
      <c r="AD165" s="220"/>
      <c r="AE165" s="220"/>
      <c r="AF165" s="220"/>
      <c r="AG165" s="220"/>
      <c r="AH165" s="244"/>
      <c r="AI165" s="244"/>
      <c r="AJ165" s="220"/>
      <c r="AK165" s="252"/>
    </row>
    <row r="166" spans="1:37" ht="12.75" customHeight="1" x14ac:dyDescent="0.25">
      <c r="A166" s="229"/>
      <c r="B166" s="229"/>
      <c r="C166" s="220"/>
      <c r="D166" s="220"/>
      <c r="E166" s="252"/>
      <c r="F166" s="248"/>
      <c r="G166" s="248"/>
      <c r="H166" s="248"/>
      <c r="I166" s="248"/>
      <c r="J166" s="248"/>
      <c r="K166" s="220"/>
      <c r="L166" s="254"/>
      <c r="M166" s="254"/>
      <c r="N166" s="220"/>
      <c r="O166" s="220"/>
      <c r="P166" s="220"/>
      <c r="Q166" s="220"/>
      <c r="R166" s="244"/>
      <c r="S166" s="254"/>
      <c r="T166" s="247"/>
      <c r="U166" s="220"/>
      <c r="V166" s="220"/>
      <c r="W166" s="244"/>
      <c r="X166" s="220"/>
      <c r="Y166" s="220"/>
      <c r="Z166" s="220"/>
      <c r="AA166" s="220"/>
      <c r="AB166" s="244"/>
      <c r="AC166" s="220"/>
      <c r="AD166" s="220"/>
      <c r="AE166" s="220"/>
      <c r="AF166" s="220"/>
      <c r="AG166" s="220"/>
      <c r="AH166" s="244"/>
      <c r="AI166" s="244"/>
      <c r="AJ166" s="220"/>
      <c r="AK166" s="252"/>
    </row>
    <row r="167" spans="1:37" ht="12.75" customHeight="1" x14ac:dyDescent="0.25">
      <c r="A167" s="229"/>
      <c r="B167" s="229"/>
      <c r="C167" s="220"/>
      <c r="D167" s="220"/>
      <c r="E167" s="252"/>
      <c r="F167" s="248"/>
      <c r="G167" s="248"/>
      <c r="H167" s="248"/>
      <c r="I167" s="248"/>
      <c r="J167" s="248"/>
      <c r="K167" s="220"/>
      <c r="L167" s="254"/>
      <c r="M167" s="254"/>
      <c r="N167" s="220"/>
      <c r="O167" s="220"/>
      <c r="P167" s="220"/>
      <c r="Q167" s="220"/>
      <c r="R167" s="244"/>
      <c r="S167" s="254"/>
      <c r="T167" s="247"/>
      <c r="U167" s="220"/>
      <c r="V167" s="220"/>
      <c r="W167" s="244"/>
      <c r="X167" s="220"/>
      <c r="Y167" s="220"/>
      <c r="Z167" s="220"/>
      <c r="AA167" s="220"/>
      <c r="AB167" s="244"/>
      <c r="AC167" s="220"/>
      <c r="AD167" s="220"/>
      <c r="AE167" s="220"/>
      <c r="AF167" s="220"/>
      <c r="AG167" s="220"/>
      <c r="AH167" s="244"/>
      <c r="AI167" s="244"/>
      <c r="AJ167" s="220"/>
      <c r="AK167" s="252"/>
    </row>
    <row r="168" spans="1:37" ht="12.75" customHeight="1" x14ac:dyDescent="0.25">
      <c r="A168" s="229"/>
      <c r="B168" s="229"/>
      <c r="C168" s="220"/>
      <c r="D168" s="220"/>
      <c r="E168" s="252"/>
      <c r="F168" s="248"/>
      <c r="G168" s="248"/>
      <c r="H168" s="248"/>
      <c r="I168" s="248"/>
      <c r="J168" s="248"/>
      <c r="K168" s="220"/>
      <c r="L168" s="254"/>
      <c r="M168" s="254"/>
      <c r="N168" s="220"/>
      <c r="O168" s="220"/>
      <c r="P168" s="220"/>
      <c r="Q168" s="220"/>
      <c r="R168" s="244"/>
      <c r="S168" s="254"/>
      <c r="T168" s="247"/>
      <c r="U168" s="220"/>
      <c r="V168" s="220"/>
      <c r="W168" s="244"/>
      <c r="X168" s="220"/>
      <c r="Y168" s="220"/>
      <c r="Z168" s="220"/>
      <c r="AA168" s="220"/>
      <c r="AB168" s="244"/>
      <c r="AC168" s="220"/>
      <c r="AD168" s="220"/>
      <c r="AE168" s="220"/>
      <c r="AF168" s="220"/>
      <c r="AG168" s="220"/>
      <c r="AH168" s="244"/>
      <c r="AI168" s="244"/>
      <c r="AJ168" s="220"/>
      <c r="AK168" s="252"/>
    </row>
    <row r="169" spans="1:37" ht="12.75" customHeight="1" x14ac:dyDescent="0.25">
      <c r="A169" s="229"/>
      <c r="B169" s="229"/>
      <c r="C169" s="220"/>
      <c r="D169" s="220"/>
      <c r="E169" s="252"/>
      <c r="F169" s="248"/>
      <c r="G169" s="248"/>
      <c r="H169" s="248"/>
      <c r="I169" s="248"/>
      <c r="J169" s="248"/>
      <c r="K169" s="220"/>
      <c r="L169" s="254"/>
      <c r="M169" s="254"/>
      <c r="N169" s="220"/>
      <c r="O169" s="220"/>
      <c r="P169" s="220"/>
      <c r="Q169" s="220"/>
      <c r="R169" s="244"/>
      <c r="S169" s="254"/>
      <c r="T169" s="247"/>
      <c r="U169" s="220"/>
      <c r="V169" s="220"/>
      <c r="W169" s="244"/>
      <c r="X169" s="220"/>
      <c r="Y169" s="220"/>
      <c r="Z169" s="220"/>
      <c r="AA169" s="220"/>
      <c r="AB169" s="244"/>
      <c r="AC169" s="220"/>
      <c r="AD169" s="220"/>
      <c r="AE169" s="220"/>
      <c r="AF169" s="220"/>
      <c r="AG169" s="220"/>
      <c r="AH169" s="244"/>
      <c r="AI169" s="244"/>
      <c r="AJ169" s="220"/>
      <c r="AK169" s="252"/>
    </row>
    <row r="170" spans="1:37" ht="12.75" customHeight="1" x14ac:dyDescent="0.25">
      <c r="A170" s="229"/>
      <c r="B170" s="229"/>
      <c r="C170" s="220"/>
      <c r="D170" s="220"/>
      <c r="E170" s="252"/>
      <c r="F170" s="248"/>
      <c r="G170" s="248"/>
      <c r="H170" s="248"/>
      <c r="I170" s="248"/>
      <c r="J170" s="248"/>
      <c r="K170" s="220"/>
      <c r="L170" s="254"/>
      <c r="M170" s="254"/>
      <c r="N170" s="220"/>
      <c r="O170" s="220"/>
      <c r="P170" s="220"/>
      <c r="Q170" s="220"/>
      <c r="R170" s="244"/>
      <c r="S170" s="254"/>
      <c r="T170" s="247"/>
      <c r="U170" s="220"/>
      <c r="V170" s="220"/>
      <c r="W170" s="244"/>
      <c r="X170" s="220"/>
      <c r="Y170" s="220"/>
      <c r="Z170" s="220"/>
      <c r="AA170" s="220"/>
      <c r="AB170" s="244"/>
      <c r="AC170" s="220"/>
      <c r="AD170" s="220"/>
      <c r="AE170" s="220"/>
      <c r="AF170" s="220"/>
      <c r="AG170" s="220"/>
      <c r="AH170" s="244"/>
      <c r="AI170" s="244"/>
      <c r="AJ170" s="220"/>
      <c r="AK170" s="252"/>
    </row>
    <row r="171" spans="1:37" ht="12.75" customHeight="1" x14ac:dyDescent="0.25">
      <c r="A171" s="229"/>
      <c r="B171" s="229"/>
      <c r="C171" s="220"/>
      <c r="D171" s="220"/>
      <c r="E171" s="252"/>
      <c r="F171" s="248"/>
      <c r="G171" s="248"/>
      <c r="H171" s="248"/>
      <c r="I171" s="248"/>
      <c r="J171" s="248"/>
      <c r="K171" s="220"/>
      <c r="L171" s="254"/>
      <c r="M171" s="254"/>
      <c r="N171" s="220"/>
      <c r="O171" s="220"/>
      <c r="P171" s="220"/>
      <c r="Q171" s="220"/>
      <c r="R171" s="244"/>
      <c r="S171" s="254"/>
      <c r="T171" s="247"/>
      <c r="U171" s="220"/>
      <c r="V171" s="220"/>
      <c r="W171" s="244"/>
      <c r="X171" s="220"/>
      <c r="Y171" s="220"/>
      <c r="Z171" s="220"/>
      <c r="AA171" s="220"/>
      <c r="AB171" s="244"/>
      <c r="AC171" s="220"/>
      <c r="AD171" s="220"/>
      <c r="AE171" s="220"/>
      <c r="AF171" s="220"/>
      <c r="AG171" s="220"/>
      <c r="AH171" s="244"/>
      <c r="AI171" s="244"/>
      <c r="AJ171" s="220"/>
      <c r="AK171" s="252"/>
    </row>
    <row r="172" spans="1:37" ht="12.75" customHeight="1" x14ac:dyDescent="0.25">
      <c r="A172" s="229"/>
      <c r="B172" s="229"/>
      <c r="C172" s="220"/>
      <c r="D172" s="220"/>
      <c r="E172" s="252"/>
      <c r="F172" s="248"/>
      <c r="G172" s="248"/>
      <c r="H172" s="248"/>
      <c r="I172" s="248"/>
      <c r="J172" s="248"/>
      <c r="K172" s="220"/>
      <c r="L172" s="254"/>
      <c r="M172" s="254"/>
      <c r="N172" s="220"/>
      <c r="O172" s="220"/>
      <c r="P172" s="220"/>
      <c r="Q172" s="220"/>
      <c r="R172" s="244"/>
      <c r="S172" s="254"/>
      <c r="T172" s="247"/>
      <c r="U172" s="220"/>
      <c r="V172" s="220"/>
      <c r="W172" s="244"/>
      <c r="X172" s="220"/>
      <c r="Y172" s="220"/>
      <c r="Z172" s="220"/>
      <c r="AA172" s="220"/>
      <c r="AB172" s="244"/>
      <c r="AC172" s="220"/>
      <c r="AD172" s="220"/>
      <c r="AE172" s="220"/>
      <c r="AF172" s="220"/>
      <c r="AG172" s="220"/>
      <c r="AH172" s="244"/>
      <c r="AI172" s="244"/>
      <c r="AJ172" s="220"/>
      <c r="AK172" s="252"/>
    </row>
    <row r="173" spans="1:37" ht="12.75" customHeight="1" x14ac:dyDescent="0.25">
      <c r="A173" s="229"/>
      <c r="B173" s="229"/>
      <c r="C173" s="220"/>
      <c r="D173" s="220"/>
      <c r="E173" s="252"/>
      <c r="F173" s="248"/>
      <c r="G173" s="248"/>
      <c r="H173" s="248"/>
      <c r="I173" s="248"/>
      <c r="J173" s="248"/>
      <c r="K173" s="220"/>
      <c r="L173" s="254"/>
      <c r="M173" s="254"/>
      <c r="N173" s="220"/>
      <c r="O173" s="220"/>
      <c r="P173" s="220"/>
      <c r="Q173" s="220"/>
      <c r="R173" s="244"/>
      <c r="S173" s="254"/>
      <c r="T173" s="247"/>
      <c r="U173" s="220"/>
      <c r="V173" s="220"/>
      <c r="W173" s="244"/>
      <c r="X173" s="220"/>
      <c r="Y173" s="220"/>
      <c r="Z173" s="220"/>
      <c r="AA173" s="220"/>
      <c r="AB173" s="244"/>
      <c r="AC173" s="220"/>
      <c r="AD173" s="220"/>
      <c r="AE173" s="220"/>
      <c r="AF173" s="220"/>
      <c r="AG173" s="220"/>
      <c r="AH173" s="244"/>
      <c r="AI173" s="244"/>
      <c r="AJ173" s="220"/>
      <c r="AK173" s="252"/>
    </row>
    <row r="174" spans="1:37" ht="12.75" customHeight="1" x14ac:dyDescent="0.25">
      <c r="A174" s="229"/>
      <c r="B174" s="229"/>
      <c r="C174" s="220"/>
      <c r="D174" s="220"/>
      <c r="E174" s="252"/>
      <c r="F174" s="248"/>
      <c r="G174" s="248"/>
      <c r="H174" s="248"/>
      <c r="I174" s="248"/>
      <c r="J174" s="248"/>
      <c r="K174" s="220"/>
      <c r="L174" s="254"/>
      <c r="M174" s="254"/>
      <c r="N174" s="220"/>
      <c r="O174" s="220"/>
      <c r="P174" s="220"/>
      <c r="Q174" s="220"/>
      <c r="R174" s="244"/>
      <c r="S174" s="254"/>
      <c r="T174" s="247"/>
      <c r="U174" s="220"/>
      <c r="V174" s="220"/>
      <c r="W174" s="244"/>
      <c r="X174" s="220"/>
      <c r="Y174" s="220"/>
      <c r="Z174" s="220"/>
      <c r="AA174" s="220"/>
      <c r="AB174" s="244"/>
      <c r="AC174" s="220"/>
      <c r="AD174" s="220"/>
      <c r="AE174" s="220"/>
      <c r="AF174" s="220"/>
      <c r="AG174" s="220"/>
      <c r="AH174" s="244"/>
      <c r="AI174" s="244"/>
      <c r="AJ174" s="220"/>
      <c r="AK174" s="252"/>
    </row>
    <row r="175" spans="1:37" ht="12.75" customHeight="1" x14ac:dyDescent="0.25">
      <c r="A175" s="229"/>
      <c r="B175" s="229"/>
      <c r="C175" s="220"/>
      <c r="D175" s="220"/>
      <c r="E175" s="252"/>
      <c r="F175" s="248"/>
      <c r="G175" s="248"/>
      <c r="H175" s="248"/>
      <c r="I175" s="248"/>
      <c r="J175" s="248"/>
      <c r="K175" s="220"/>
      <c r="L175" s="254"/>
      <c r="M175" s="254"/>
      <c r="N175" s="220"/>
      <c r="O175" s="220"/>
      <c r="P175" s="220"/>
      <c r="Q175" s="220"/>
      <c r="R175" s="244"/>
      <c r="S175" s="254"/>
      <c r="T175" s="247"/>
      <c r="U175" s="220"/>
      <c r="V175" s="220"/>
      <c r="W175" s="244"/>
      <c r="X175" s="220"/>
      <c r="Y175" s="220"/>
      <c r="Z175" s="220"/>
      <c r="AA175" s="220"/>
      <c r="AB175" s="244"/>
      <c r="AC175" s="220"/>
      <c r="AD175" s="220"/>
      <c r="AE175" s="220"/>
      <c r="AF175" s="220"/>
      <c r="AG175" s="220"/>
      <c r="AH175" s="244"/>
      <c r="AI175" s="244"/>
      <c r="AJ175" s="220"/>
      <c r="AK175" s="252"/>
    </row>
    <row r="176" spans="1:37" ht="12.75" customHeight="1" x14ac:dyDescent="0.25">
      <c r="A176" s="229"/>
      <c r="B176" s="229"/>
      <c r="C176" s="220"/>
      <c r="D176" s="220"/>
      <c r="E176" s="252"/>
      <c r="F176" s="248"/>
      <c r="G176" s="248"/>
      <c r="H176" s="248"/>
      <c r="I176" s="248"/>
      <c r="J176" s="248"/>
      <c r="K176" s="220"/>
      <c r="L176" s="254"/>
      <c r="M176" s="254"/>
      <c r="N176" s="220"/>
      <c r="O176" s="220"/>
      <c r="P176" s="220"/>
      <c r="Q176" s="220"/>
      <c r="R176" s="244"/>
      <c r="S176" s="254"/>
      <c r="T176" s="247"/>
      <c r="U176" s="220"/>
      <c r="V176" s="220"/>
      <c r="W176" s="244"/>
      <c r="X176" s="220"/>
      <c r="Y176" s="220"/>
      <c r="Z176" s="220"/>
      <c r="AA176" s="220"/>
      <c r="AB176" s="244"/>
      <c r="AC176" s="220"/>
      <c r="AD176" s="220"/>
      <c r="AE176" s="220"/>
      <c r="AF176" s="220"/>
      <c r="AG176" s="220"/>
      <c r="AH176" s="244"/>
      <c r="AI176" s="244"/>
      <c r="AJ176" s="220"/>
      <c r="AK176" s="252"/>
    </row>
    <row r="177" spans="1:37" ht="12.75" customHeight="1" x14ac:dyDescent="0.25">
      <c r="A177" s="229"/>
      <c r="B177" s="229"/>
      <c r="C177" s="220"/>
      <c r="D177" s="220"/>
      <c r="E177" s="252"/>
      <c r="F177" s="248"/>
      <c r="G177" s="248"/>
      <c r="H177" s="248"/>
      <c r="I177" s="248"/>
      <c r="J177" s="248"/>
      <c r="K177" s="220"/>
      <c r="L177" s="254"/>
      <c r="M177" s="254"/>
      <c r="N177" s="220"/>
      <c r="O177" s="220"/>
      <c r="P177" s="220"/>
      <c r="Q177" s="220"/>
      <c r="R177" s="244"/>
      <c r="S177" s="254"/>
      <c r="T177" s="247"/>
      <c r="U177" s="220"/>
      <c r="V177" s="220"/>
      <c r="W177" s="244"/>
      <c r="X177" s="220"/>
      <c r="Y177" s="220"/>
      <c r="Z177" s="220"/>
      <c r="AA177" s="220"/>
      <c r="AB177" s="244"/>
      <c r="AC177" s="220"/>
      <c r="AD177" s="220"/>
      <c r="AE177" s="220"/>
      <c r="AF177" s="220"/>
      <c r="AG177" s="220"/>
      <c r="AH177" s="244"/>
      <c r="AI177" s="244"/>
      <c r="AJ177" s="220"/>
      <c r="AK177" s="252"/>
    </row>
    <row r="178" spans="1:37" ht="12.75" customHeight="1" x14ac:dyDescent="0.25">
      <c r="A178" s="229"/>
      <c r="B178" s="229"/>
      <c r="C178" s="220"/>
      <c r="D178" s="220"/>
      <c r="E178" s="252"/>
      <c r="F178" s="248"/>
      <c r="G178" s="248"/>
      <c r="H178" s="248"/>
      <c r="I178" s="248"/>
      <c r="J178" s="248"/>
      <c r="K178" s="220"/>
      <c r="L178" s="254"/>
      <c r="M178" s="254"/>
      <c r="N178" s="220"/>
      <c r="O178" s="220"/>
      <c r="P178" s="220"/>
      <c r="Q178" s="220"/>
      <c r="R178" s="244"/>
      <c r="S178" s="254"/>
      <c r="T178" s="247"/>
      <c r="U178" s="220"/>
      <c r="V178" s="220"/>
      <c r="W178" s="244"/>
      <c r="X178" s="220"/>
      <c r="Y178" s="220"/>
      <c r="Z178" s="220"/>
      <c r="AA178" s="220"/>
      <c r="AB178" s="244"/>
      <c r="AC178" s="220"/>
      <c r="AD178" s="220"/>
      <c r="AE178" s="220"/>
      <c r="AF178" s="220"/>
      <c r="AG178" s="220"/>
      <c r="AH178" s="244"/>
      <c r="AI178" s="244"/>
      <c r="AJ178" s="220"/>
      <c r="AK178" s="252"/>
    </row>
    <row r="179" spans="1:37" ht="12.75" customHeight="1" x14ac:dyDescent="0.25">
      <c r="A179" s="229"/>
      <c r="B179" s="229"/>
      <c r="C179" s="220"/>
      <c r="D179" s="220"/>
      <c r="E179" s="252"/>
      <c r="F179" s="248"/>
      <c r="G179" s="248"/>
      <c r="H179" s="248"/>
      <c r="I179" s="248"/>
      <c r="J179" s="248"/>
      <c r="K179" s="220"/>
      <c r="L179" s="254"/>
      <c r="M179" s="254"/>
      <c r="N179" s="220"/>
      <c r="O179" s="220"/>
      <c r="P179" s="220"/>
      <c r="Q179" s="220"/>
      <c r="R179" s="244"/>
      <c r="S179" s="254"/>
      <c r="T179" s="247"/>
      <c r="U179" s="220"/>
      <c r="V179" s="220"/>
      <c r="W179" s="244"/>
      <c r="X179" s="220"/>
      <c r="Y179" s="220"/>
      <c r="Z179" s="220"/>
      <c r="AA179" s="220"/>
      <c r="AB179" s="244"/>
      <c r="AC179" s="220"/>
      <c r="AD179" s="220"/>
      <c r="AE179" s="220"/>
      <c r="AF179" s="220"/>
      <c r="AG179" s="220"/>
      <c r="AH179" s="244"/>
      <c r="AI179" s="244"/>
      <c r="AJ179" s="220"/>
      <c r="AK179" s="252"/>
    </row>
    <row r="180" spans="1:37" ht="12.75" customHeight="1" x14ac:dyDescent="0.25">
      <c r="A180" s="229"/>
      <c r="B180" s="229"/>
      <c r="C180" s="220"/>
      <c r="D180" s="220"/>
      <c r="E180" s="252"/>
      <c r="F180" s="248"/>
      <c r="G180" s="248"/>
      <c r="H180" s="248"/>
      <c r="I180" s="248"/>
      <c r="J180" s="248"/>
      <c r="K180" s="220"/>
      <c r="L180" s="254"/>
      <c r="M180" s="254"/>
      <c r="N180" s="220"/>
      <c r="O180" s="220"/>
      <c r="P180" s="220"/>
      <c r="Q180" s="220"/>
      <c r="R180" s="244"/>
      <c r="S180" s="254"/>
      <c r="T180" s="247"/>
      <c r="U180" s="220"/>
      <c r="V180" s="220"/>
      <c r="W180" s="244"/>
      <c r="X180" s="220"/>
      <c r="Y180" s="220"/>
      <c r="Z180" s="220"/>
      <c r="AA180" s="220"/>
      <c r="AB180" s="244"/>
      <c r="AC180" s="220"/>
      <c r="AD180" s="220"/>
      <c r="AE180" s="220"/>
      <c r="AF180" s="220"/>
      <c r="AG180" s="220"/>
      <c r="AH180" s="244"/>
      <c r="AI180" s="244"/>
      <c r="AJ180" s="220"/>
      <c r="AK180" s="252"/>
    </row>
    <row r="181" spans="1:37" ht="12.75" customHeight="1" x14ac:dyDescent="0.25">
      <c r="A181" s="229"/>
      <c r="B181" s="229"/>
      <c r="C181" s="220"/>
      <c r="D181" s="220"/>
      <c r="E181" s="252"/>
      <c r="F181" s="248"/>
      <c r="G181" s="248"/>
      <c r="H181" s="248"/>
      <c r="I181" s="248"/>
      <c r="J181" s="248"/>
      <c r="K181" s="220"/>
      <c r="L181" s="254"/>
      <c r="M181" s="254"/>
      <c r="N181" s="220"/>
      <c r="O181" s="220"/>
      <c r="P181" s="220"/>
      <c r="Q181" s="220"/>
      <c r="R181" s="244"/>
      <c r="S181" s="254"/>
      <c r="T181" s="247"/>
      <c r="U181" s="220"/>
      <c r="V181" s="220"/>
      <c r="W181" s="244"/>
      <c r="X181" s="220"/>
      <c r="Y181" s="220"/>
      <c r="Z181" s="220"/>
      <c r="AA181" s="220"/>
      <c r="AB181" s="244"/>
      <c r="AC181" s="220"/>
      <c r="AD181" s="220"/>
      <c r="AE181" s="220"/>
      <c r="AF181" s="220"/>
      <c r="AG181" s="220"/>
      <c r="AH181" s="244"/>
      <c r="AI181" s="244"/>
      <c r="AJ181" s="220"/>
      <c r="AK181" s="252"/>
    </row>
    <row r="182" spans="1:37" ht="12.75" customHeight="1" x14ac:dyDescent="0.25">
      <c r="A182" s="229"/>
      <c r="B182" s="229"/>
      <c r="C182" s="220"/>
      <c r="D182" s="220"/>
      <c r="E182" s="252"/>
      <c r="F182" s="248"/>
      <c r="G182" s="248"/>
      <c r="H182" s="248"/>
      <c r="I182" s="248"/>
      <c r="J182" s="248"/>
      <c r="K182" s="220"/>
      <c r="L182" s="254"/>
      <c r="M182" s="254"/>
      <c r="N182" s="220"/>
      <c r="O182" s="220"/>
      <c r="P182" s="220"/>
      <c r="Q182" s="220"/>
      <c r="R182" s="244"/>
      <c r="S182" s="254"/>
      <c r="T182" s="247"/>
      <c r="U182" s="220"/>
      <c r="V182" s="220"/>
      <c r="W182" s="244"/>
      <c r="X182" s="220"/>
      <c r="Y182" s="220"/>
      <c r="Z182" s="220"/>
      <c r="AA182" s="220"/>
      <c r="AB182" s="244"/>
      <c r="AC182" s="220"/>
      <c r="AD182" s="220"/>
      <c r="AE182" s="220"/>
      <c r="AF182" s="220"/>
      <c r="AG182" s="220"/>
      <c r="AH182" s="244"/>
      <c r="AI182" s="244"/>
      <c r="AJ182" s="220"/>
      <c r="AK182" s="252"/>
    </row>
    <row r="183" spans="1:37" ht="12.75" customHeight="1" x14ac:dyDescent="0.25">
      <c r="A183" s="229"/>
      <c r="B183" s="229"/>
      <c r="C183" s="220"/>
      <c r="D183" s="220"/>
      <c r="E183" s="252"/>
      <c r="F183" s="248"/>
      <c r="G183" s="248"/>
      <c r="H183" s="248"/>
      <c r="I183" s="248"/>
      <c r="J183" s="248"/>
      <c r="K183" s="220"/>
      <c r="L183" s="254"/>
      <c r="M183" s="254"/>
      <c r="N183" s="220"/>
      <c r="O183" s="220"/>
      <c r="P183" s="220"/>
      <c r="Q183" s="220"/>
      <c r="R183" s="244"/>
      <c r="S183" s="254"/>
      <c r="T183" s="247"/>
      <c r="U183" s="220"/>
      <c r="V183" s="220"/>
      <c r="W183" s="244"/>
      <c r="X183" s="220"/>
      <c r="Y183" s="220"/>
      <c r="Z183" s="220"/>
      <c r="AA183" s="220"/>
      <c r="AB183" s="244"/>
      <c r="AC183" s="220"/>
      <c r="AD183" s="220"/>
      <c r="AE183" s="220"/>
      <c r="AF183" s="220"/>
      <c r="AG183" s="220"/>
      <c r="AH183" s="244"/>
      <c r="AI183" s="244"/>
      <c r="AJ183" s="220"/>
      <c r="AK183" s="252"/>
    </row>
    <row r="184" spans="1:37" ht="12.75" customHeight="1" x14ac:dyDescent="0.25">
      <c r="A184" s="229"/>
      <c r="B184" s="229"/>
      <c r="C184" s="220"/>
      <c r="D184" s="220"/>
      <c r="E184" s="252"/>
      <c r="F184" s="248"/>
      <c r="G184" s="248"/>
      <c r="H184" s="248"/>
      <c r="I184" s="248"/>
      <c r="J184" s="248"/>
      <c r="K184" s="220"/>
      <c r="L184" s="254"/>
      <c r="M184" s="254"/>
      <c r="N184" s="220"/>
      <c r="O184" s="220"/>
      <c r="P184" s="220"/>
      <c r="Q184" s="220"/>
      <c r="R184" s="244"/>
      <c r="S184" s="254"/>
      <c r="T184" s="247"/>
      <c r="U184" s="220"/>
      <c r="V184" s="220"/>
      <c r="W184" s="244"/>
      <c r="X184" s="220"/>
      <c r="Y184" s="220"/>
      <c r="Z184" s="220"/>
      <c r="AA184" s="220"/>
      <c r="AB184" s="244"/>
      <c r="AC184" s="220"/>
      <c r="AD184" s="220"/>
      <c r="AE184" s="220"/>
      <c r="AF184" s="220"/>
      <c r="AG184" s="220"/>
      <c r="AH184" s="244"/>
      <c r="AI184" s="244"/>
      <c r="AJ184" s="220"/>
      <c r="AK184" s="252"/>
    </row>
    <row r="185" spans="1:37" ht="12.75" customHeight="1" x14ac:dyDescent="0.25">
      <c r="A185" s="229"/>
      <c r="B185" s="229"/>
      <c r="C185" s="220"/>
      <c r="D185" s="220"/>
      <c r="E185" s="252"/>
      <c r="F185" s="248"/>
      <c r="G185" s="248"/>
      <c r="H185" s="248"/>
      <c r="I185" s="248"/>
      <c r="J185" s="248"/>
      <c r="K185" s="220"/>
      <c r="L185" s="254"/>
      <c r="M185" s="254"/>
      <c r="N185" s="220"/>
      <c r="O185" s="220"/>
      <c r="P185" s="220"/>
      <c r="Q185" s="220"/>
      <c r="R185" s="244"/>
      <c r="S185" s="254"/>
      <c r="T185" s="247"/>
      <c r="U185" s="220"/>
      <c r="V185" s="220"/>
      <c r="W185" s="244"/>
      <c r="X185" s="220"/>
      <c r="Y185" s="220"/>
      <c r="Z185" s="220"/>
      <c r="AA185" s="220"/>
      <c r="AB185" s="244"/>
      <c r="AC185" s="220"/>
      <c r="AD185" s="220"/>
      <c r="AE185" s="220"/>
      <c r="AF185" s="220"/>
      <c r="AG185" s="220"/>
      <c r="AH185" s="244"/>
      <c r="AI185" s="244"/>
      <c r="AJ185" s="220"/>
      <c r="AK185" s="252"/>
    </row>
    <row r="186" spans="1:37" ht="12.75" customHeight="1" x14ac:dyDescent="0.25">
      <c r="A186" s="229"/>
      <c r="B186" s="229"/>
      <c r="C186" s="220"/>
      <c r="D186" s="220"/>
      <c r="E186" s="252"/>
      <c r="F186" s="248"/>
      <c r="G186" s="248"/>
      <c r="H186" s="248"/>
      <c r="I186" s="248"/>
      <c r="J186" s="248"/>
      <c r="K186" s="220"/>
      <c r="L186" s="254"/>
      <c r="M186" s="254"/>
      <c r="N186" s="220"/>
      <c r="O186" s="220"/>
      <c r="P186" s="220"/>
      <c r="Q186" s="220"/>
      <c r="R186" s="244"/>
      <c r="S186" s="254"/>
      <c r="T186" s="247"/>
      <c r="U186" s="220"/>
      <c r="V186" s="220"/>
      <c r="W186" s="244"/>
      <c r="X186" s="220"/>
      <c r="Y186" s="220"/>
      <c r="Z186" s="220"/>
      <c r="AA186" s="220"/>
      <c r="AB186" s="244"/>
      <c r="AC186" s="220"/>
      <c r="AD186" s="220"/>
      <c r="AE186" s="220"/>
      <c r="AF186" s="220"/>
      <c r="AG186" s="220"/>
      <c r="AH186" s="244"/>
      <c r="AI186" s="244"/>
      <c r="AJ186" s="220"/>
      <c r="AK186" s="252"/>
    </row>
    <row r="187" spans="1:37" ht="12.75" customHeight="1" x14ac:dyDescent="0.25">
      <c r="A187" s="229"/>
      <c r="B187" s="229"/>
      <c r="C187" s="220"/>
      <c r="D187" s="220"/>
      <c r="E187" s="252"/>
      <c r="F187" s="248"/>
      <c r="G187" s="248"/>
      <c r="H187" s="248"/>
      <c r="I187" s="248"/>
      <c r="J187" s="248"/>
      <c r="K187" s="220"/>
      <c r="L187" s="254"/>
      <c r="M187" s="254"/>
      <c r="N187" s="220"/>
      <c r="O187" s="220"/>
      <c r="P187" s="220"/>
      <c r="Q187" s="220"/>
      <c r="R187" s="244"/>
      <c r="S187" s="254"/>
      <c r="T187" s="247"/>
      <c r="U187" s="220"/>
      <c r="V187" s="220"/>
      <c r="W187" s="244"/>
      <c r="X187" s="220"/>
      <c r="Y187" s="220"/>
      <c r="Z187" s="220"/>
      <c r="AA187" s="220"/>
      <c r="AB187" s="244"/>
      <c r="AC187" s="220"/>
      <c r="AD187" s="220"/>
      <c r="AE187" s="220"/>
      <c r="AF187" s="220"/>
      <c r="AG187" s="220"/>
      <c r="AH187" s="244"/>
      <c r="AI187" s="244"/>
      <c r="AJ187" s="220"/>
      <c r="AK187" s="252"/>
    </row>
    <row r="188" spans="1:37" ht="12.75" customHeight="1" x14ac:dyDescent="0.25">
      <c r="A188" s="229"/>
      <c r="B188" s="229"/>
      <c r="C188" s="220"/>
      <c r="D188" s="220"/>
      <c r="E188" s="252"/>
      <c r="F188" s="248"/>
      <c r="G188" s="248"/>
      <c r="H188" s="248"/>
      <c r="I188" s="248"/>
      <c r="J188" s="248"/>
      <c r="K188" s="220"/>
      <c r="L188" s="254"/>
      <c r="M188" s="254"/>
      <c r="N188" s="220"/>
      <c r="O188" s="220"/>
      <c r="P188" s="220"/>
      <c r="Q188" s="220"/>
      <c r="R188" s="244"/>
      <c r="S188" s="254"/>
      <c r="T188" s="247"/>
      <c r="U188" s="220"/>
      <c r="V188" s="220"/>
      <c r="W188" s="244"/>
      <c r="X188" s="220"/>
      <c r="Y188" s="220"/>
      <c r="Z188" s="220"/>
      <c r="AA188" s="220"/>
      <c r="AB188" s="244"/>
      <c r="AC188" s="220"/>
      <c r="AD188" s="220"/>
      <c r="AE188" s="220"/>
      <c r="AF188" s="220"/>
      <c r="AG188" s="220"/>
      <c r="AH188" s="244"/>
      <c r="AI188" s="244"/>
      <c r="AJ188" s="220"/>
      <c r="AK188" s="252"/>
    </row>
    <row r="189" spans="1:37" ht="12.75" customHeight="1" x14ac:dyDescent="0.25">
      <c r="A189" s="229"/>
      <c r="B189" s="229"/>
      <c r="C189" s="220"/>
      <c r="D189" s="220"/>
      <c r="E189" s="252"/>
      <c r="F189" s="248"/>
      <c r="G189" s="248"/>
      <c r="H189" s="248"/>
      <c r="I189" s="248"/>
      <c r="J189" s="248"/>
      <c r="K189" s="220"/>
      <c r="L189" s="254"/>
      <c r="M189" s="254"/>
      <c r="N189" s="220"/>
      <c r="O189" s="220"/>
      <c r="P189" s="220"/>
      <c r="Q189" s="220"/>
      <c r="R189" s="244"/>
      <c r="S189" s="254"/>
      <c r="T189" s="247"/>
      <c r="U189" s="220"/>
      <c r="V189" s="220"/>
      <c r="W189" s="244"/>
      <c r="X189" s="220"/>
      <c r="Y189" s="220"/>
      <c r="Z189" s="220"/>
      <c r="AA189" s="220"/>
      <c r="AB189" s="244"/>
      <c r="AC189" s="220"/>
      <c r="AD189" s="220"/>
      <c r="AE189" s="220"/>
      <c r="AF189" s="220"/>
      <c r="AG189" s="220"/>
      <c r="AH189" s="244"/>
      <c r="AI189" s="244"/>
      <c r="AJ189" s="220"/>
      <c r="AK189" s="252"/>
    </row>
    <row r="190" spans="1:37" ht="12.75" customHeight="1" x14ac:dyDescent="0.25">
      <c r="A190" s="229"/>
      <c r="B190" s="229"/>
      <c r="C190" s="220"/>
      <c r="D190" s="220"/>
      <c r="E190" s="252"/>
      <c r="F190" s="248"/>
      <c r="G190" s="248"/>
      <c r="H190" s="248"/>
      <c r="I190" s="248"/>
      <c r="J190" s="248"/>
      <c r="K190" s="220"/>
      <c r="L190" s="254"/>
      <c r="M190" s="254"/>
      <c r="N190" s="220"/>
      <c r="O190" s="220"/>
      <c r="P190" s="220"/>
      <c r="Q190" s="220"/>
      <c r="R190" s="244"/>
      <c r="S190" s="254"/>
      <c r="T190" s="247"/>
      <c r="U190" s="220"/>
      <c r="V190" s="220"/>
      <c r="W190" s="244"/>
      <c r="X190" s="220"/>
      <c r="Y190" s="220"/>
      <c r="Z190" s="220"/>
      <c r="AA190" s="220"/>
      <c r="AB190" s="244"/>
      <c r="AC190" s="220"/>
      <c r="AD190" s="220"/>
      <c r="AE190" s="220"/>
      <c r="AF190" s="220"/>
      <c r="AG190" s="220"/>
      <c r="AH190" s="244"/>
      <c r="AI190" s="244"/>
      <c r="AJ190" s="220"/>
      <c r="AK190" s="252"/>
    </row>
    <row r="191" spans="1:37" ht="12.75" customHeight="1" x14ac:dyDescent="0.25">
      <c r="A191" s="229"/>
      <c r="B191" s="229"/>
      <c r="C191" s="220"/>
      <c r="D191" s="220"/>
      <c r="E191" s="252"/>
      <c r="F191" s="248"/>
      <c r="G191" s="248"/>
      <c r="H191" s="248"/>
      <c r="I191" s="248"/>
      <c r="J191" s="248"/>
      <c r="K191" s="220"/>
      <c r="L191" s="254"/>
      <c r="M191" s="254"/>
      <c r="N191" s="220"/>
      <c r="O191" s="220"/>
      <c r="P191" s="220"/>
      <c r="Q191" s="220"/>
      <c r="R191" s="244"/>
      <c r="S191" s="254"/>
      <c r="T191" s="247"/>
      <c r="U191" s="220"/>
      <c r="V191" s="220"/>
      <c r="W191" s="244"/>
      <c r="X191" s="220"/>
      <c r="Y191" s="220"/>
      <c r="Z191" s="220"/>
      <c r="AA191" s="220"/>
      <c r="AB191" s="244"/>
      <c r="AC191" s="220"/>
      <c r="AD191" s="220"/>
      <c r="AE191" s="220"/>
      <c r="AF191" s="220"/>
      <c r="AG191" s="220"/>
      <c r="AH191" s="244"/>
      <c r="AI191" s="244"/>
      <c r="AJ191" s="220"/>
      <c r="AK191" s="252"/>
    </row>
    <row r="192" spans="1:37" ht="12.75" customHeight="1" x14ac:dyDescent="0.25">
      <c r="A192" s="229"/>
      <c r="B192" s="229"/>
      <c r="C192" s="220"/>
      <c r="D192" s="220"/>
      <c r="E192" s="252"/>
      <c r="F192" s="248"/>
      <c r="G192" s="248"/>
      <c r="H192" s="248"/>
      <c r="I192" s="248"/>
      <c r="J192" s="248"/>
      <c r="K192" s="220"/>
      <c r="L192" s="254"/>
      <c r="M192" s="254"/>
      <c r="N192" s="220"/>
      <c r="O192" s="220"/>
      <c r="P192" s="220"/>
      <c r="Q192" s="220"/>
      <c r="R192" s="244"/>
      <c r="S192" s="254"/>
      <c r="T192" s="247"/>
      <c r="U192" s="220"/>
      <c r="V192" s="220"/>
      <c r="W192" s="244"/>
      <c r="X192" s="220"/>
      <c r="Y192" s="220"/>
      <c r="Z192" s="220"/>
      <c r="AA192" s="220"/>
      <c r="AB192" s="244"/>
      <c r="AC192" s="220"/>
      <c r="AD192" s="220"/>
      <c r="AE192" s="220"/>
      <c r="AF192" s="220"/>
      <c r="AG192" s="220"/>
      <c r="AH192" s="244"/>
      <c r="AI192" s="244"/>
      <c r="AJ192" s="220"/>
      <c r="AK192" s="252"/>
    </row>
    <row r="193" spans="1:37" ht="12.75" customHeight="1" x14ac:dyDescent="0.25">
      <c r="A193" s="229"/>
      <c r="B193" s="229"/>
      <c r="C193" s="220"/>
      <c r="D193" s="220"/>
      <c r="E193" s="252"/>
      <c r="F193" s="248"/>
      <c r="G193" s="248"/>
      <c r="H193" s="248"/>
      <c r="I193" s="248"/>
      <c r="J193" s="248"/>
      <c r="K193" s="220"/>
      <c r="L193" s="254"/>
      <c r="M193" s="254"/>
      <c r="N193" s="220"/>
      <c r="O193" s="220"/>
      <c r="P193" s="220"/>
      <c r="Q193" s="220"/>
      <c r="R193" s="244"/>
      <c r="S193" s="254"/>
      <c r="T193" s="247"/>
      <c r="U193" s="220"/>
      <c r="V193" s="220"/>
      <c r="W193" s="244"/>
      <c r="X193" s="220"/>
      <c r="Y193" s="220"/>
      <c r="Z193" s="220"/>
      <c r="AA193" s="220"/>
      <c r="AB193" s="244"/>
      <c r="AC193" s="220"/>
      <c r="AD193" s="220"/>
      <c r="AE193" s="220"/>
      <c r="AF193" s="220"/>
      <c r="AG193" s="220"/>
      <c r="AH193" s="244"/>
      <c r="AI193" s="244"/>
      <c r="AJ193" s="220"/>
      <c r="AK193" s="252"/>
    </row>
    <row r="194" spans="1:37" ht="12.75" customHeight="1" x14ac:dyDescent="0.25">
      <c r="A194" s="229"/>
      <c r="B194" s="229"/>
      <c r="C194" s="220"/>
      <c r="D194" s="220"/>
      <c r="E194" s="252"/>
      <c r="F194" s="248"/>
      <c r="G194" s="248"/>
      <c r="H194" s="248"/>
      <c r="I194" s="248"/>
      <c r="J194" s="248"/>
      <c r="K194" s="220"/>
      <c r="L194" s="254"/>
      <c r="M194" s="254"/>
      <c r="N194" s="220"/>
      <c r="O194" s="220"/>
      <c r="P194" s="220"/>
      <c r="Q194" s="220"/>
      <c r="R194" s="244"/>
      <c r="S194" s="254"/>
      <c r="T194" s="247"/>
      <c r="U194" s="220"/>
      <c r="V194" s="220"/>
      <c r="W194" s="244"/>
      <c r="X194" s="220"/>
      <c r="Y194" s="220"/>
      <c r="Z194" s="220"/>
      <c r="AA194" s="220"/>
      <c r="AB194" s="244"/>
      <c r="AC194" s="220"/>
      <c r="AD194" s="220"/>
      <c r="AE194" s="220"/>
      <c r="AF194" s="220"/>
      <c r="AG194" s="220"/>
      <c r="AH194" s="244"/>
      <c r="AI194" s="244"/>
      <c r="AJ194" s="220"/>
      <c r="AK194" s="252"/>
    </row>
    <row r="195" spans="1:37" ht="12.75" customHeight="1" x14ac:dyDescent="0.25">
      <c r="A195" s="229"/>
      <c r="B195" s="229"/>
      <c r="C195" s="220"/>
      <c r="D195" s="220"/>
      <c r="E195" s="252"/>
      <c r="F195" s="248"/>
      <c r="G195" s="248"/>
      <c r="H195" s="248"/>
      <c r="I195" s="248"/>
      <c r="J195" s="248"/>
      <c r="K195" s="220"/>
      <c r="L195" s="254"/>
      <c r="M195" s="254"/>
      <c r="N195" s="220"/>
      <c r="O195" s="220"/>
      <c r="P195" s="220"/>
      <c r="Q195" s="220"/>
      <c r="R195" s="244"/>
      <c r="S195" s="254"/>
      <c r="T195" s="247"/>
      <c r="U195" s="220"/>
      <c r="V195" s="220"/>
      <c r="W195" s="244"/>
      <c r="X195" s="220"/>
      <c r="Y195" s="220"/>
      <c r="Z195" s="220"/>
      <c r="AA195" s="220"/>
      <c r="AB195" s="244"/>
      <c r="AC195" s="220"/>
      <c r="AD195" s="220"/>
      <c r="AE195" s="220"/>
      <c r="AF195" s="220"/>
      <c r="AG195" s="220"/>
      <c r="AH195" s="244"/>
      <c r="AI195" s="244"/>
      <c r="AJ195" s="220"/>
      <c r="AK195" s="252"/>
    </row>
    <row r="196" spans="1:37" ht="12.75" customHeight="1" x14ac:dyDescent="0.25">
      <c r="A196" s="229"/>
      <c r="B196" s="229"/>
      <c r="C196" s="220"/>
      <c r="D196" s="220"/>
      <c r="E196" s="252"/>
      <c r="F196" s="248"/>
      <c r="G196" s="248"/>
      <c r="H196" s="248"/>
      <c r="I196" s="248"/>
      <c r="J196" s="248"/>
      <c r="K196" s="220"/>
      <c r="L196" s="254"/>
      <c r="M196" s="254"/>
      <c r="N196" s="220"/>
      <c r="O196" s="220"/>
      <c r="P196" s="220"/>
      <c r="Q196" s="220"/>
      <c r="R196" s="244"/>
      <c r="S196" s="254"/>
      <c r="T196" s="247"/>
      <c r="U196" s="220"/>
      <c r="V196" s="220"/>
      <c r="W196" s="244"/>
      <c r="X196" s="220"/>
      <c r="Y196" s="220"/>
      <c r="Z196" s="220"/>
      <c r="AA196" s="220"/>
      <c r="AB196" s="244"/>
      <c r="AC196" s="220"/>
      <c r="AD196" s="220"/>
      <c r="AE196" s="220"/>
      <c r="AF196" s="220"/>
      <c r="AG196" s="220"/>
      <c r="AH196" s="244"/>
      <c r="AI196" s="244"/>
      <c r="AJ196" s="220"/>
      <c r="AK196" s="252"/>
    </row>
    <row r="197" spans="1:37" ht="12.75" customHeight="1" x14ac:dyDescent="0.25">
      <c r="A197" s="229"/>
      <c r="B197" s="229"/>
      <c r="C197" s="220"/>
      <c r="D197" s="220"/>
      <c r="E197" s="252"/>
      <c r="F197" s="248"/>
      <c r="G197" s="248"/>
      <c r="H197" s="248"/>
      <c r="I197" s="248"/>
      <c r="J197" s="248"/>
      <c r="K197" s="220"/>
      <c r="L197" s="254"/>
      <c r="M197" s="254"/>
      <c r="N197" s="220"/>
      <c r="O197" s="220"/>
      <c r="P197" s="220"/>
      <c r="Q197" s="220"/>
      <c r="R197" s="244"/>
      <c r="S197" s="254"/>
      <c r="T197" s="247"/>
      <c r="U197" s="220"/>
      <c r="V197" s="220"/>
      <c r="W197" s="244"/>
      <c r="X197" s="220"/>
      <c r="Y197" s="220"/>
      <c r="Z197" s="220"/>
      <c r="AA197" s="220"/>
      <c r="AB197" s="244"/>
      <c r="AC197" s="220"/>
      <c r="AD197" s="220"/>
      <c r="AE197" s="220"/>
      <c r="AF197" s="220"/>
      <c r="AG197" s="220"/>
      <c r="AH197" s="244"/>
      <c r="AI197" s="244"/>
      <c r="AJ197" s="220"/>
      <c r="AK197" s="252"/>
    </row>
    <row r="198" spans="1:37" ht="12.75" customHeight="1" x14ac:dyDescent="0.25">
      <c r="A198" s="229"/>
      <c r="B198" s="229"/>
      <c r="C198" s="220"/>
      <c r="D198" s="220"/>
      <c r="E198" s="252"/>
      <c r="F198" s="248"/>
      <c r="G198" s="248"/>
      <c r="H198" s="248"/>
      <c r="I198" s="248"/>
      <c r="J198" s="248"/>
      <c r="K198" s="220"/>
      <c r="L198" s="254"/>
      <c r="M198" s="254"/>
      <c r="N198" s="220"/>
      <c r="O198" s="220"/>
      <c r="P198" s="220"/>
      <c r="Q198" s="220"/>
      <c r="R198" s="244"/>
      <c r="S198" s="254"/>
      <c r="T198" s="247"/>
      <c r="U198" s="220"/>
      <c r="V198" s="220"/>
      <c r="W198" s="244"/>
      <c r="X198" s="220"/>
      <c r="Y198" s="220"/>
      <c r="Z198" s="220"/>
      <c r="AA198" s="220"/>
      <c r="AB198" s="244"/>
      <c r="AC198" s="220"/>
      <c r="AD198" s="220"/>
      <c r="AE198" s="220"/>
      <c r="AF198" s="220"/>
      <c r="AG198" s="220"/>
      <c r="AH198" s="244"/>
      <c r="AI198" s="244"/>
      <c r="AJ198" s="220"/>
      <c r="AK198" s="252"/>
    </row>
    <row r="199" spans="1:37" ht="12.75" customHeight="1" x14ac:dyDescent="0.25">
      <c r="A199" s="229"/>
      <c r="B199" s="229"/>
      <c r="C199" s="220"/>
      <c r="D199" s="220"/>
      <c r="E199" s="252"/>
      <c r="F199" s="248"/>
      <c r="G199" s="248"/>
      <c r="H199" s="248"/>
      <c r="I199" s="248"/>
      <c r="J199" s="248"/>
      <c r="K199" s="220"/>
      <c r="L199" s="254"/>
      <c r="M199" s="254"/>
      <c r="N199" s="220"/>
      <c r="O199" s="220"/>
      <c r="P199" s="220"/>
      <c r="Q199" s="220"/>
      <c r="R199" s="244"/>
      <c r="S199" s="254"/>
      <c r="T199" s="247"/>
      <c r="U199" s="220"/>
      <c r="V199" s="220"/>
      <c r="W199" s="244"/>
      <c r="X199" s="220"/>
      <c r="Y199" s="220"/>
      <c r="Z199" s="220"/>
      <c r="AA199" s="220"/>
      <c r="AB199" s="244"/>
      <c r="AC199" s="220"/>
      <c r="AD199" s="220"/>
      <c r="AE199" s="220"/>
      <c r="AF199" s="220"/>
      <c r="AG199" s="220"/>
      <c r="AH199" s="244"/>
      <c r="AI199" s="244"/>
      <c r="AJ199" s="220"/>
      <c r="AK199" s="252"/>
    </row>
    <row r="200" spans="1:37" ht="12.75" customHeight="1" x14ac:dyDescent="0.25">
      <c r="A200" s="229"/>
      <c r="B200" s="229"/>
      <c r="C200" s="220"/>
      <c r="D200" s="220"/>
      <c r="E200" s="252"/>
      <c r="F200" s="248"/>
      <c r="G200" s="248"/>
      <c r="H200" s="248"/>
      <c r="I200" s="248"/>
      <c r="J200" s="248"/>
      <c r="K200" s="220"/>
      <c r="L200" s="254"/>
      <c r="M200" s="254"/>
      <c r="N200" s="220"/>
      <c r="O200" s="220"/>
      <c r="P200" s="220"/>
      <c r="Q200" s="220"/>
      <c r="R200" s="244"/>
      <c r="S200" s="254"/>
      <c r="T200" s="247"/>
      <c r="U200" s="220"/>
      <c r="V200" s="220"/>
      <c r="W200" s="244"/>
      <c r="X200" s="220"/>
      <c r="Y200" s="220"/>
      <c r="Z200" s="220"/>
      <c r="AA200" s="220"/>
      <c r="AB200" s="244"/>
      <c r="AC200" s="220"/>
      <c r="AD200" s="220"/>
      <c r="AE200" s="220"/>
      <c r="AF200" s="220"/>
      <c r="AG200" s="220"/>
      <c r="AH200" s="244"/>
      <c r="AI200" s="244"/>
      <c r="AJ200" s="220"/>
      <c r="AK200" s="252"/>
    </row>
    <row r="201" spans="1:37" ht="12.75" customHeight="1" x14ac:dyDescent="0.25">
      <c r="C201" s="190"/>
      <c r="D201" s="190"/>
      <c r="E201" s="192"/>
      <c r="F201" s="188"/>
      <c r="G201" s="188"/>
      <c r="H201" s="188"/>
      <c r="I201" s="188"/>
      <c r="J201" s="188"/>
      <c r="K201" s="190"/>
      <c r="L201" s="193"/>
      <c r="M201" s="193"/>
      <c r="N201" s="190"/>
      <c r="O201" s="190"/>
      <c r="P201" s="190"/>
      <c r="Q201" s="190"/>
      <c r="R201" s="181"/>
      <c r="S201" s="193"/>
      <c r="T201" s="179"/>
      <c r="U201" s="190"/>
      <c r="V201" s="190"/>
      <c r="W201" s="181"/>
      <c r="X201" s="190"/>
      <c r="Y201" s="190"/>
      <c r="Z201" s="190"/>
      <c r="AA201" s="190"/>
      <c r="AB201" s="181"/>
      <c r="AC201" s="190"/>
      <c r="AD201" s="190"/>
      <c r="AE201" s="190"/>
      <c r="AF201" s="190"/>
      <c r="AG201" s="190"/>
      <c r="AH201" s="181"/>
      <c r="AI201" s="181"/>
      <c r="AJ201" s="190"/>
    </row>
  </sheetData>
  <sheetProtection algorithmName="SHA-512" hashValue="IcQFSQz2VHIl/xGJhKJce6B62TQdV7PAxyzLKGJKb+9vvzBj91RBL3/iXpUfbOJWswMq/tpRUtXDjUEDR9ra4g==" saltValue="yWJsKaUrXqxT6cKeDautkw==" spinCount="100000" sheet="1" objects="1" scenarios="1" formatCells="0" formatRows="0"/>
  <phoneticPr fontId="12" type="noConversion"/>
  <conditionalFormatting sqref="AJ13:AJ200">
    <cfRule type="expression" priority="5">
      <formula>AND($S13&gt;=10000000,$AI13="Yes")</formula>
    </cfRule>
    <cfRule type="expression" dxfId="75" priority="6">
      <formula>OR($S13&lt;10000000,$AI13="No")</formula>
    </cfRule>
  </conditionalFormatting>
  <conditionalFormatting sqref="AH13:AI200">
    <cfRule type="expression" priority="7">
      <formula>$S13&gt;=10000000</formula>
    </cfRule>
    <cfRule type="expression" dxfId="74" priority="8">
      <formula>$S13&lt;10000000</formula>
    </cfRule>
  </conditionalFormatting>
  <conditionalFormatting sqref="AC13:AG200">
    <cfRule type="expression" priority="9">
      <formula>AND($AB13="No",$S13&gt;=10000000)</formula>
    </cfRule>
    <cfRule type="expression" dxfId="73" priority="10">
      <formula>OR($AB13="Yes",$S13&lt;10000000)</formula>
    </cfRule>
  </conditionalFormatting>
  <conditionalFormatting sqref="AB13:AB200">
    <cfRule type="expression" priority="11">
      <formula>$S13&gt;=10000000</formula>
    </cfRule>
    <cfRule type="expression" dxfId="72" priority="12">
      <formula>$S13&lt;10000000</formula>
    </cfRule>
  </conditionalFormatting>
  <conditionalFormatting sqref="X13:AA200">
    <cfRule type="expression" priority="13">
      <formula>AND($W13="No",$S13&gt;=10000000)</formula>
    </cfRule>
    <cfRule type="expression" dxfId="71" priority="14">
      <formula>OR($W13="Yes",$S13&lt;10000000)</formula>
    </cfRule>
  </conditionalFormatting>
  <conditionalFormatting sqref="W13:W200">
    <cfRule type="expression" priority="15">
      <formula>$S13&gt;=10000000</formula>
    </cfRule>
    <cfRule type="expression" dxfId="70" priority="16">
      <formula>$S13&lt;10000000</formula>
    </cfRule>
  </conditionalFormatting>
  <conditionalFormatting sqref="V13:V200">
    <cfRule type="expression" priority="17" stopIfTrue="1">
      <formula>AND($S13&gt;=1000000,LEFT($T13,5)="Other")</formula>
    </cfRule>
    <cfRule type="expression" dxfId="69" priority="18">
      <formula>$S13&lt;10000000</formula>
    </cfRule>
    <cfRule type="expression" dxfId="68" priority="19">
      <formula>$S13&gt;=10000000</formula>
    </cfRule>
  </conditionalFormatting>
  <conditionalFormatting sqref="U13:U200">
    <cfRule type="expression" priority="20">
      <formula>LEFT($T13,5)="Other"</formula>
    </cfRule>
    <cfRule type="expression" dxfId="67" priority="21">
      <formula>LEFT($T13,5)&lt;&gt;"Other"</formula>
    </cfRule>
  </conditionalFormatting>
  <conditionalFormatting sqref="S13:T200">
    <cfRule type="expression" priority="22">
      <formula>$R13="Yes"</formula>
    </cfRule>
    <cfRule type="expression" dxfId="66" priority="23">
      <formula>$R13&lt;&gt;"Yes"</formula>
    </cfRule>
  </conditionalFormatting>
  <conditionalFormatting sqref="R13:R200">
    <cfRule type="expression" dxfId="65" priority="31">
      <formula>#REF!&gt;=10000000</formula>
    </cfRule>
    <cfRule type="expression" dxfId="64" priority="32">
      <formula>#REF!&lt;10000000</formula>
    </cfRule>
  </conditionalFormatting>
  <conditionalFormatting sqref="AK13:AK200">
    <cfRule type="expression" priority="3">
      <formula>$E13="Cancelled"</formula>
    </cfRule>
    <cfRule type="expression" dxfId="63" priority="4">
      <formula>$E13&lt;&gt;"Cancelled"</formula>
    </cfRule>
  </conditionalFormatting>
  <conditionalFormatting sqref="N13:Q200">
    <cfRule type="expression" priority="1">
      <formula>$E13&lt;&gt;"Not Started"</formula>
    </cfRule>
    <cfRule type="expression" dxfId="62" priority="2">
      <formula>$E13="Not Started"</formula>
    </cfRule>
  </conditionalFormatting>
  <dataValidations count="26">
    <dataValidation type="textLength" operator="lessThanOrEqual" allowBlank="1" showInputMessage="1" showErrorMessage="1" errorTitle="Max Length Exceed" error="Value cannot exceed 150 characters." sqref="C201" xr:uid="{D741E5E9-AE4A-4865-A259-58C4614BB95C}">
      <formula1>150</formula1>
    </dataValidation>
    <dataValidation type="textLength" operator="lessThanOrEqual" allowBlank="1" showInputMessage="1" showErrorMessage="1" errorTitle="Max Length Exceed" error="Value cannot exceed 20 characters." sqref="D201" xr:uid="{46FAD0B5-4566-44B0-8A32-9F59AE5A3848}">
      <formula1>20</formula1>
    </dataValidation>
    <dataValidation type="decimal" operator="lessThanOrEqual" allowBlank="1" showInputMessage="1" showErrorMessage="1" errorTitle="Maximum Exceeded" error="Value cannot exceed 999,999,999,999.99" sqref="M201 J201 F201 G201 H201 I201 L201 S201" xr:uid="{2C0B8AD2-62E9-4D44-9ABB-6EB263E7A6E7}">
      <formula1>999999999999.99</formula1>
    </dataValidation>
    <dataValidation type="textLength" operator="lessThanOrEqual" allowBlank="1" showInputMessage="1" showErrorMessage="1" errorTitle="Max Length Exceed" error="Value cannot exceed 1500 characters." sqref="K201 V201" xr:uid="{A7951C74-8FF0-4A8B-A939-7936F51D1788}">
      <formula1>1500</formula1>
    </dataValidation>
    <dataValidation type="textLength" operator="lessThanOrEqual" allowBlank="1" showInputMessage="1" showErrorMessage="1" errorTitle="Max Length Exceed" error="Value cannot exceed 250 characters." sqref="N201 O201" xr:uid="{50C47C46-8D85-4FE8-A041-19524D7ECB98}">
      <formula1>250</formula1>
    </dataValidation>
    <dataValidation type="textLength" operator="lessThanOrEqual" allowBlank="1" showInputMessage="1" showErrorMessage="1" errorTitle="Max Length Exceed" error="Value cannot exceed 6 characters." sqref="P201:Q201" xr:uid="{2CDCCAD8-FF7C-45F5-804A-06CA877A17F8}">
      <formula1>6</formula1>
    </dataValidation>
    <dataValidation type="textLength" operator="lessThanOrEqual" allowBlank="1" showInputMessage="1" showErrorMessage="1" errorTitle="Max Length Exceed" error="Value cannot exceed 255 characters." sqref="U201" xr:uid="{38AFAD6C-A5F1-4A75-B14C-CD864C6A0556}">
      <formula1>255</formula1>
    </dataValidation>
    <dataValidation type="list" allowBlank="1" showInputMessage="1" showErrorMessage="1" sqref="E13:E200" xr:uid="{1088455F-EF75-4C2D-8AE6-6D934514CBEC}">
      <formula1>Status</formula1>
    </dataValidation>
    <dataValidation type="textLength" operator="lessThanOrEqual" allowBlank="1" showInputMessage="1" showErrorMessage="1" errorTitle="Max Length Exceed" error="Value cannot exceed 150 characters." sqref="C13:C200" xr:uid="{7706CB25-5A68-40C5-8ECC-63E4C4A629B0}">
      <formula1>150</formula1>
    </dataValidation>
    <dataValidation type="textLength" operator="lessThanOrEqual" allowBlank="1" showInputMessage="1" showErrorMessage="1" errorTitle="Max Length Exceed" error="Value cannot exceed 20 characters." sqref="D13:D200" xr:uid="{C07AF14E-2DD9-431D-963E-7F48B0813F95}">
      <formula1>20</formula1>
    </dataValidation>
    <dataValidation type="decimal" operator="lessThanOrEqual" allowBlank="1" showInputMessage="1" showErrorMessage="1" errorTitle="Maximum Exceeded" error="Value cannot exceed 999,999,999,999.99" sqref="F13:F200" xr:uid="{FAF366E9-CC3E-4820-94E2-E3134D8DDE44}">
      <formula1>999999999999.99</formula1>
    </dataValidation>
    <dataValidation type="decimal" operator="lessThanOrEqual" allowBlank="1" showInputMessage="1" showErrorMessage="1" errorTitle="Maximum Exceeded" error="Value cannot exceed 999,999,999,999.99" sqref="G13:G200" xr:uid="{513D7600-77FC-4A3B-9E47-E52E5BF29364}">
      <formula1>999999999999.99</formula1>
    </dataValidation>
    <dataValidation type="decimal" operator="lessThanOrEqual" allowBlank="1" showInputMessage="1" showErrorMessage="1" errorTitle="Maximum Exceeded" error="Value cannot exceed 999,999,999,999.99" sqref="H13:H200" xr:uid="{938B63D6-E37C-4437-A849-0CFB5FCA30F8}">
      <formula1>999999999999.99</formula1>
    </dataValidation>
    <dataValidation type="decimal" operator="lessThanOrEqual" allowBlank="1" showInputMessage="1" showErrorMessage="1" errorTitle="Maximum Exceeded" error="Value cannot exceed 999,999,999,999.99" sqref="I13:I200" xr:uid="{39563D5D-98C4-41B3-9F3D-C4543DD5BDEE}">
      <formula1>999999999999.99</formula1>
    </dataValidation>
    <dataValidation type="decimal" operator="lessThanOrEqual" allowBlank="1" showInputMessage="1" showErrorMessage="1" errorTitle="Maximum Exceeded" error="Value cannot exceed 999,999,999,999.99" sqref="J13:J200" xr:uid="{015CDDA9-41EA-43A1-9E09-3EFC308F792B}">
      <formula1>999999999999.99</formula1>
    </dataValidation>
    <dataValidation type="textLength" operator="lessThanOrEqual" allowBlank="1" showInputMessage="1" showErrorMessage="1" errorTitle="Max Length Exceed" error="Value cannot exceed 1500 characters." sqref="K13:K200" xr:uid="{5F895DB3-333E-48D3-BC6F-AA9C545A534F}">
      <formula1>1500</formula1>
    </dataValidation>
    <dataValidation type="decimal" operator="lessThanOrEqual" allowBlank="1" showInputMessage="1" showErrorMessage="1" errorTitle="Maximum Exceeded" error="Value cannot exceed 999,999,999,999.99" sqref="L13:L200" xr:uid="{F42A7619-86D6-4653-816B-8680944D95CE}">
      <formula1>999999999999.99</formula1>
    </dataValidation>
    <dataValidation type="decimal" operator="lessThanOrEqual" allowBlank="1" showInputMessage="1" showErrorMessage="1" errorTitle="Maximum Exceeded" error="Value cannot exceed 999,999,999,999.99" sqref="M13:M200" xr:uid="{1379CDC3-8180-4F3B-9C64-7942FE12DF9C}">
      <formula1>999999999999.99</formula1>
    </dataValidation>
    <dataValidation type="textLength" operator="lessThanOrEqual" allowBlank="1" showInputMessage="1" showErrorMessage="1" errorTitle="Max Length Exceed" error="Value cannot exceed 250 characters." sqref="N13:N200" xr:uid="{34C6E59C-3A9C-46E9-8143-2016CBB2A5E8}">
      <formula1>250</formula1>
    </dataValidation>
    <dataValidation type="textLength" operator="lessThanOrEqual" allowBlank="1" showInputMessage="1" showErrorMessage="1" errorTitle="Max Length Exceed" error="Value cannot exceed 250 characters." sqref="O13:O200" xr:uid="{69CBB4B6-65F8-4E2F-B537-549F7693AD02}">
      <formula1>250</formula1>
    </dataValidation>
    <dataValidation type="textLength" operator="lessThanOrEqual" allowBlank="1" showInputMessage="1" showErrorMessage="1" errorTitle="Max Length Exceed" error="Value cannot exceed 10 characters." sqref="P13:P200" xr:uid="{9C2E4512-4173-49A3-93C3-C0F467E62EFD}">
      <formula1>10</formula1>
    </dataValidation>
    <dataValidation type="textLength" operator="lessThanOrEqual" allowBlank="1" showInputMessage="1" showErrorMessage="1" errorTitle="Max Length Exceed" error="Value cannot exceed 10 characters." sqref="Q13:Q200" xr:uid="{D13BAF9C-A17E-4459-89FB-D08E3E7F3381}">
      <formula1>10</formula1>
    </dataValidation>
    <dataValidation type="decimal" operator="lessThanOrEqual" allowBlank="1" showInputMessage="1" showErrorMessage="1" errorTitle="Maximum Exceeded" error="Value cannot exceed 999,999,999,999.99" sqref="S13:S200" xr:uid="{C2F5F08E-420B-4C7F-A9CD-1D82E3E5C573}">
      <formula1>999999999999.99</formula1>
    </dataValidation>
    <dataValidation type="textLength" operator="lessThanOrEqual" allowBlank="1" showInputMessage="1" showErrorMessage="1" errorTitle="Max Length Exceed" error="Value cannot exceed 255 characters." sqref="U13:U200" xr:uid="{48D8FFF4-BCF8-462F-9AC8-220047A51850}">
      <formula1>255</formula1>
    </dataValidation>
    <dataValidation type="textLength" operator="lessThanOrEqual" allowBlank="1" showInputMessage="1" showErrorMessage="1" errorTitle="Max Length Exceed" error="Value cannot exceed 1500 characters." sqref="V13:V200" xr:uid="{A7E48707-92F8-44DD-85E6-95EC1A9E25D8}">
      <formula1>1500</formula1>
    </dataValidation>
    <dataValidation type="textLength" operator="lessThanOrEqual" allowBlank="1" showInputMessage="1" showErrorMessage="1" errorTitle="Max Length Exceed" error="Value cannot exceed 255 characters." sqref="AK13:AK200" xr:uid="{944B41B6-36D9-48F7-99B9-CDCA885298B1}">
      <formula1>255</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3">
        <x14:dataValidation type="list" allowBlank="1" showInputMessage="1" showErrorMessage="1" xr:uid="{D0BA97FF-8762-477A-BF72-AABFF299A934}">
          <x14:formula1>
            <xm:f>Dropdowns!$G$3:$G$6</xm:f>
          </x14:formula1>
          <xm:sqref>E201</xm:sqref>
        </x14:dataValidation>
        <x14:dataValidation type="list" allowBlank="1" showInputMessage="1" showErrorMessage="1" xr:uid="{BFEFC0A6-E141-43AE-8BE1-79864DAC97A1}">
          <x14:formula1>
            <xm:f>Dropdowns!$H$3:$H$4</xm:f>
          </x14:formula1>
          <xm:sqref>AB13:AB201 AH13:AI201 W13:W201 R13:R201</xm:sqref>
        </x14:dataValidation>
        <x14:dataValidation type="list" allowBlank="1" showInputMessage="1" showErrorMessage="1" xr:uid="{FE06705A-1E7F-4A23-861F-35B9944D8926}">
          <x14:formula1>
            <xm:f>Dropdowns!$N$3:$N$28</xm:f>
          </x14:formula1>
          <xm:sqref>T13:T201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DB57F1-C57D-45C6-B381-877D3A11BC0C}">
  <sheetPr codeName="Sheet7"/>
  <dimension ref="A1:R201"/>
  <sheetViews>
    <sheetView showGridLines="0" zoomScaleNormal="100" workbookViewId="0">
      <pane xSplit="4" ySplit="12" topLeftCell="O13" activePane="bottomRight" state="frozen"/>
      <selection pane="topRight" activeCell="E1" sqref="E1"/>
      <selection pane="bottomLeft" activeCell="A12" sqref="A12"/>
      <selection pane="bottomRight" sqref="A1:XFD10"/>
    </sheetView>
  </sheetViews>
  <sheetFormatPr defaultColWidth="8.7265625" defaultRowHeight="12.75" customHeight="1" x14ac:dyDescent="0.25"/>
  <cols>
    <col min="1" max="1" width="14.26953125" style="161" hidden="1" customWidth="1"/>
    <col min="2" max="2" width="6.26953125" style="161" hidden="1" customWidth="1"/>
    <col min="3" max="3" width="20.7265625" style="161" customWidth="1"/>
    <col min="4" max="4" width="19.7265625" style="161" customWidth="1"/>
    <col min="5" max="5" width="21.26953125" style="161" customWidth="1"/>
    <col min="6" max="6" width="16.54296875" style="161" customWidth="1"/>
    <col min="7" max="10" width="14" style="161" customWidth="1"/>
    <col min="11" max="11" width="42.26953125" style="161" customWidth="1"/>
    <col min="12" max="13" width="18.26953125" style="161" customWidth="1"/>
    <col min="14" max="14" width="63.453125" style="161" customWidth="1"/>
    <col min="15" max="15" width="18.54296875" style="161" customWidth="1"/>
    <col min="16" max="16" width="49.81640625" style="161" customWidth="1"/>
    <col min="17" max="17" width="30.7265625" style="161" customWidth="1"/>
    <col min="18" max="18" width="24.90625" style="161" customWidth="1"/>
    <col min="19" max="67" width="8.7265625" style="161" customWidth="1"/>
    <col min="68" max="16384" width="8.7265625" style="161"/>
  </cols>
  <sheetData>
    <row r="1" spans="1:18" ht="27" hidden="1" customHeight="1" x14ac:dyDescent="0.25">
      <c r="A1" s="110" t="s">
        <v>393</v>
      </c>
      <c r="B1" s="112" t="s">
        <v>503</v>
      </c>
      <c r="C1" s="115" t="s">
        <v>202</v>
      </c>
      <c r="D1" s="115" t="s">
        <v>202</v>
      </c>
      <c r="E1" s="115" t="s">
        <v>202</v>
      </c>
      <c r="F1" s="115" t="s">
        <v>202</v>
      </c>
      <c r="G1" s="115" t="s">
        <v>202</v>
      </c>
      <c r="H1" s="115" t="s">
        <v>202</v>
      </c>
      <c r="I1" s="115" t="s">
        <v>202</v>
      </c>
      <c r="J1" s="115" t="s">
        <v>202</v>
      </c>
      <c r="K1" s="115" t="s">
        <v>202</v>
      </c>
      <c r="L1" s="115" t="s">
        <v>202</v>
      </c>
      <c r="M1" s="115" t="s">
        <v>202</v>
      </c>
      <c r="N1" s="115" t="s">
        <v>202</v>
      </c>
      <c r="O1" s="115" t="s">
        <v>202</v>
      </c>
      <c r="P1" s="115" t="s">
        <v>202</v>
      </c>
      <c r="Q1" s="115" t="s">
        <v>202</v>
      </c>
      <c r="R1" s="115" t="s">
        <v>878</v>
      </c>
    </row>
    <row r="2" spans="1:18" ht="27" hidden="1" customHeight="1" x14ac:dyDescent="0.25">
      <c r="A2" s="110" t="s">
        <v>394</v>
      </c>
      <c r="B2" s="112"/>
      <c r="C2" s="115" t="s">
        <v>614</v>
      </c>
      <c r="D2" s="115" t="s">
        <v>614</v>
      </c>
      <c r="E2" s="115" t="s">
        <v>614</v>
      </c>
      <c r="F2" s="115" t="s">
        <v>614</v>
      </c>
      <c r="G2" s="115" t="s">
        <v>614</v>
      </c>
      <c r="H2" s="115" t="s">
        <v>614</v>
      </c>
      <c r="I2" s="115" t="s">
        <v>614</v>
      </c>
      <c r="J2" s="115" t="s">
        <v>614</v>
      </c>
      <c r="K2" s="115" t="s">
        <v>614</v>
      </c>
      <c r="L2" s="115" t="s">
        <v>614</v>
      </c>
      <c r="M2" s="115" t="s">
        <v>614</v>
      </c>
      <c r="N2" s="115" t="s">
        <v>614</v>
      </c>
      <c r="O2" s="115" t="s">
        <v>614</v>
      </c>
      <c r="P2" s="115" t="s">
        <v>614</v>
      </c>
      <c r="Q2" s="115" t="s">
        <v>614</v>
      </c>
      <c r="R2" s="115" t="s">
        <v>613</v>
      </c>
    </row>
    <row r="3" spans="1:18" ht="27" hidden="1" customHeight="1" x14ac:dyDescent="0.25">
      <c r="A3" s="110" t="s">
        <v>163</v>
      </c>
      <c r="B3" s="156"/>
      <c r="C3" s="153" t="s">
        <v>138</v>
      </c>
      <c r="D3" s="153" t="s">
        <v>139</v>
      </c>
      <c r="E3" s="153" t="s">
        <v>140</v>
      </c>
      <c r="F3" s="153" t="s">
        <v>141</v>
      </c>
      <c r="G3" s="153" t="s">
        <v>142</v>
      </c>
      <c r="H3" s="153" t="s">
        <v>143</v>
      </c>
      <c r="I3" s="153" t="s">
        <v>506</v>
      </c>
      <c r="J3" s="153" t="s">
        <v>507</v>
      </c>
      <c r="K3" s="153" t="s">
        <v>146</v>
      </c>
      <c r="L3" s="153" t="s">
        <v>147</v>
      </c>
      <c r="M3" s="153" t="s">
        <v>148</v>
      </c>
      <c r="N3" s="153" t="s">
        <v>195</v>
      </c>
      <c r="O3" s="153" t="s">
        <v>196</v>
      </c>
      <c r="P3" s="153" t="s">
        <v>197</v>
      </c>
      <c r="Q3" s="153" t="s">
        <v>615</v>
      </c>
      <c r="R3" s="122" t="s">
        <v>875</v>
      </c>
    </row>
    <row r="4" spans="1:18" ht="27" hidden="1" customHeight="1" x14ac:dyDescent="0.25">
      <c r="A4" s="110" t="s">
        <v>162</v>
      </c>
      <c r="B4" s="156"/>
      <c r="C4" s="153" t="s">
        <v>149</v>
      </c>
      <c r="D4" s="153" t="s">
        <v>149</v>
      </c>
      <c r="E4" s="153" t="s">
        <v>149</v>
      </c>
      <c r="F4" s="153" t="s">
        <v>149</v>
      </c>
      <c r="G4" s="153" t="s">
        <v>149</v>
      </c>
      <c r="H4" s="153" t="s">
        <v>149</v>
      </c>
      <c r="I4" s="153" t="s">
        <v>149</v>
      </c>
      <c r="J4" s="153" t="s">
        <v>149</v>
      </c>
      <c r="K4" s="153" t="s">
        <v>149</v>
      </c>
      <c r="L4" s="153" t="s">
        <v>150</v>
      </c>
      <c r="M4" s="153" t="s">
        <v>150</v>
      </c>
      <c r="N4" s="153" t="s">
        <v>516</v>
      </c>
      <c r="O4" s="153" t="s">
        <v>516</v>
      </c>
      <c r="P4" s="153" t="s">
        <v>516</v>
      </c>
      <c r="Q4" s="153" t="s">
        <v>516</v>
      </c>
      <c r="R4" s="144" t="s">
        <v>516</v>
      </c>
    </row>
    <row r="5" spans="1:18" ht="27" hidden="1" customHeight="1" x14ac:dyDescent="0.25">
      <c r="A5" s="110" t="s">
        <v>395</v>
      </c>
      <c r="B5" s="158"/>
      <c r="C5" s="154" t="s">
        <v>160</v>
      </c>
      <c r="D5" s="116" t="s">
        <v>172</v>
      </c>
      <c r="E5" s="116"/>
      <c r="F5" s="116" t="s">
        <v>175</v>
      </c>
      <c r="G5" s="154" t="s">
        <v>176</v>
      </c>
      <c r="H5" s="154" t="s">
        <v>177</v>
      </c>
      <c r="I5" s="154" t="s">
        <v>514</v>
      </c>
      <c r="J5" s="154" t="s">
        <v>515</v>
      </c>
      <c r="K5" s="116" t="s">
        <v>161</v>
      </c>
      <c r="L5" s="154" t="s">
        <v>180</v>
      </c>
      <c r="M5" s="154" t="s">
        <v>181</v>
      </c>
      <c r="N5" s="116" t="s">
        <v>200</v>
      </c>
      <c r="O5" s="116" t="s">
        <v>137</v>
      </c>
      <c r="P5" s="116" t="s">
        <v>201</v>
      </c>
      <c r="Q5" s="154" t="s">
        <v>616</v>
      </c>
      <c r="R5" s="115" t="s">
        <v>876</v>
      </c>
    </row>
    <row r="6" spans="1:18" ht="27" hidden="1" customHeight="1" x14ac:dyDescent="0.25">
      <c r="A6" s="110" t="s">
        <v>166</v>
      </c>
      <c r="B6" s="112"/>
      <c r="C6" s="115" t="s">
        <v>134</v>
      </c>
      <c r="D6" s="115" t="s">
        <v>134</v>
      </c>
      <c r="E6" s="115" t="s">
        <v>170</v>
      </c>
      <c r="F6" s="115" t="s">
        <v>134</v>
      </c>
      <c r="G6" s="115" t="s">
        <v>134</v>
      </c>
      <c r="H6" s="115" t="s">
        <v>134</v>
      </c>
      <c r="I6" s="115" t="s">
        <v>134</v>
      </c>
      <c r="J6" s="115" t="s">
        <v>134</v>
      </c>
      <c r="K6" s="115" t="s">
        <v>134</v>
      </c>
      <c r="L6" s="115" t="s">
        <v>134</v>
      </c>
      <c r="M6" s="115" t="s">
        <v>134</v>
      </c>
      <c r="N6" s="115" t="s">
        <v>980</v>
      </c>
      <c r="O6" s="115" t="s">
        <v>134</v>
      </c>
      <c r="P6" s="115" t="s">
        <v>134</v>
      </c>
      <c r="Q6" s="154" t="s">
        <v>134</v>
      </c>
      <c r="R6" s="122" t="s">
        <v>134</v>
      </c>
    </row>
    <row r="7" spans="1:18" ht="27" hidden="1" customHeight="1" x14ac:dyDescent="0.25">
      <c r="A7" s="110" t="s">
        <v>167</v>
      </c>
      <c r="B7" s="112"/>
      <c r="C7" s="115" t="s">
        <v>169</v>
      </c>
      <c r="D7" s="115" t="s">
        <v>169</v>
      </c>
      <c r="E7" s="115" t="s">
        <v>171</v>
      </c>
      <c r="F7" s="115" t="s">
        <v>173</v>
      </c>
      <c r="G7" s="115" t="s">
        <v>173</v>
      </c>
      <c r="H7" s="115" t="s">
        <v>173</v>
      </c>
      <c r="I7" s="115" t="s">
        <v>173</v>
      </c>
      <c r="J7" s="115" t="s">
        <v>173</v>
      </c>
      <c r="K7" s="115" t="s">
        <v>169</v>
      </c>
      <c r="L7" s="115" t="s">
        <v>173</v>
      </c>
      <c r="M7" s="115" t="s">
        <v>173</v>
      </c>
      <c r="N7" s="143" t="s">
        <v>744</v>
      </c>
      <c r="O7" s="115" t="s">
        <v>185</v>
      </c>
      <c r="P7" s="115" t="s">
        <v>169</v>
      </c>
      <c r="Q7" s="154" t="s">
        <v>185</v>
      </c>
      <c r="R7" s="122" t="s">
        <v>169</v>
      </c>
    </row>
    <row r="8" spans="1:18" ht="27" hidden="1" customHeight="1" x14ac:dyDescent="0.25">
      <c r="A8" s="110" t="s">
        <v>168</v>
      </c>
      <c r="B8" s="112"/>
      <c r="C8" s="115">
        <v>80</v>
      </c>
      <c r="D8" s="115">
        <v>20</v>
      </c>
      <c r="E8" s="115" t="s">
        <v>134</v>
      </c>
      <c r="F8" s="115" t="s">
        <v>174</v>
      </c>
      <c r="G8" s="115" t="s">
        <v>174</v>
      </c>
      <c r="H8" s="115" t="s">
        <v>174</v>
      </c>
      <c r="I8" s="115" t="s">
        <v>174</v>
      </c>
      <c r="J8" s="115" t="s">
        <v>174</v>
      </c>
      <c r="K8" s="115">
        <v>1500</v>
      </c>
      <c r="L8" s="115" t="s">
        <v>174</v>
      </c>
      <c r="M8" s="115" t="s">
        <v>174</v>
      </c>
      <c r="N8" s="115">
        <v>1500</v>
      </c>
      <c r="O8" s="115">
        <v>7</v>
      </c>
      <c r="P8" s="115">
        <v>3000</v>
      </c>
      <c r="Q8" s="154">
        <v>10</v>
      </c>
      <c r="R8" s="122">
        <v>255</v>
      </c>
    </row>
    <row r="9" spans="1:18" ht="27" hidden="1" customHeight="1" x14ac:dyDescent="0.25">
      <c r="A9" s="110" t="s">
        <v>396</v>
      </c>
      <c r="B9" s="156"/>
      <c r="C9" s="153"/>
      <c r="D9" s="153"/>
      <c r="E9" s="153"/>
      <c r="F9" s="153"/>
      <c r="G9" s="153"/>
      <c r="H9" s="153"/>
      <c r="I9" s="153" t="s">
        <v>608</v>
      </c>
      <c r="J9" s="153" t="s">
        <v>608</v>
      </c>
      <c r="K9" s="153"/>
      <c r="L9" s="153"/>
      <c r="M9" s="153"/>
      <c r="N9" s="153"/>
      <c r="O9" s="153"/>
      <c r="P9" s="153"/>
      <c r="Q9" s="153"/>
      <c r="R9" s="144" t="s">
        <v>877</v>
      </c>
    </row>
    <row r="10" spans="1:18" ht="35.15" hidden="1" customHeight="1" x14ac:dyDescent="0.25">
      <c r="A10" s="86" t="s">
        <v>752</v>
      </c>
      <c r="B10" s="94"/>
      <c r="C10" s="87" t="s">
        <v>755</v>
      </c>
      <c r="D10" s="87" t="s">
        <v>756</v>
      </c>
      <c r="E10" s="87" t="s">
        <v>757</v>
      </c>
      <c r="F10" s="87" t="s">
        <v>758</v>
      </c>
      <c r="G10" s="87" t="s">
        <v>759</v>
      </c>
      <c r="H10" s="88" t="s">
        <v>806</v>
      </c>
      <c r="I10" s="88" t="s">
        <v>805</v>
      </c>
      <c r="J10" s="88" t="s">
        <v>831</v>
      </c>
      <c r="K10" s="87" t="s">
        <v>760</v>
      </c>
      <c r="L10" s="87" t="s">
        <v>761</v>
      </c>
      <c r="M10" s="87" t="s">
        <v>762</v>
      </c>
      <c r="N10" s="94"/>
      <c r="O10" s="94"/>
      <c r="P10" s="94"/>
      <c r="Q10" s="94"/>
      <c r="R10" s="90"/>
    </row>
    <row r="11" spans="1:18" ht="14" x14ac:dyDescent="0.25">
      <c r="A11" s="70"/>
      <c r="B11" s="71"/>
      <c r="C11" s="69">
        <f>Cover!$C$2</f>
        <v>0</v>
      </c>
      <c r="D11" s="71"/>
      <c r="E11" s="71"/>
      <c r="F11" s="71"/>
      <c r="G11" s="71"/>
      <c r="H11" s="71"/>
      <c r="I11" s="71"/>
      <c r="J11" s="71"/>
      <c r="K11" s="71"/>
      <c r="L11" s="71"/>
      <c r="M11" s="71"/>
      <c r="N11" s="71"/>
      <c r="O11" s="71"/>
      <c r="P11" s="71"/>
      <c r="Q11" s="71"/>
      <c r="R11" s="216"/>
    </row>
    <row r="12" spans="1:18" ht="52" x14ac:dyDescent="0.3">
      <c r="A12" s="229" t="s">
        <v>164</v>
      </c>
      <c r="B12" s="230"/>
      <c r="C12" s="232" t="s">
        <v>7</v>
      </c>
      <c r="D12" s="232" t="s">
        <v>152</v>
      </c>
      <c r="E12" s="232" t="s">
        <v>153</v>
      </c>
      <c r="F12" s="232" t="s">
        <v>154</v>
      </c>
      <c r="G12" s="232" t="s">
        <v>508</v>
      </c>
      <c r="H12" s="232" t="s">
        <v>509</v>
      </c>
      <c r="I12" s="232" t="s">
        <v>510</v>
      </c>
      <c r="J12" s="232" t="s">
        <v>511</v>
      </c>
      <c r="K12" s="232" t="s">
        <v>157</v>
      </c>
      <c r="L12" s="308" t="s">
        <v>158</v>
      </c>
      <c r="M12" s="308" t="s">
        <v>159</v>
      </c>
      <c r="N12" s="232" t="s">
        <v>198</v>
      </c>
      <c r="O12" s="232" t="s">
        <v>137</v>
      </c>
      <c r="P12" s="232" t="s">
        <v>199</v>
      </c>
      <c r="Q12" s="232" t="s">
        <v>453</v>
      </c>
      <c r="R12" s="232" t="s">
        <v>876</v>
      </c>
    </row>
    <row r="13" spans="1:18" s="164" customFormat="1" ht="12.75" customHeight="1" x14ac:dyDescent="0.25">
      <c r="A13" s="238" t="s">
        <v>165</v>
      </c>
      <c r="B13" s="251"/>
      <c r="C13" s="252"/>
      <c r="D13" s="252"/>
      <c r="E13" s="252"/>
      <c r="F13" s="248"/>
      <c r="G13" s="248"/>
      <c r="H13" s="248"/>
      <c r="I13" s="248"/>
      <c r="J13" s="248"/>
      <c r="K13" s="252"/>
      <c r="L13" s="248"/>
      <c r="M13" s="248"/>
      <c r="N13" s="252"/>
      <c r="O13" s="252"/>
      <c r="P13" s="252"/>
      <c r="Q13" s="252"/>
      <c r="R13" s="244"/>
    </row>
    <row r="14" spans="1:18" s="164" customFormat="1" ht="12.75" customHeight="1" x14ac:dyDescent="0.25">
      <c r="A14" s="238"/>
      <c r="B14" s="251"/>
      <c r="C14" s="252"/>
      <c r="D14" s="252"/>
      <c r="E14" s="252"/>
      <c r="F14" s="248"/>
      <c r="G14" s="248"/>
      <c r="H14" s="248"/>
      <c r="I14" s="248"/>
      <c r="J14" s="248"/>
      <c r="K14" s="252"/>
      <c r="L14" s="248"/>
      <c r="M14" s="248"/>
      <c r="N14" s="252"/>
      <c r="O14" s="252"/>
      <c r="P14" s="252"/>
      <c r="Q14" s="252"/>
      <c r="R14" s="252"/>
    </row>
    <row r="15" spans="1:18" s="164" customFormat="1" ht="12.75" customHeight="1" x14ac:dyDescent="0.25">
      <c r="A15" s="238"/>
      <c r="B15" s="251"/>
      <c r="C15" s="252"/>
      <c r="D15" s="252"/>
      <c r="E15" s="252"/>
      <c r="F15" s="248"/>
      <c r="G15" s="248"/>
      <c r="H15" s="248"/>
      <c r="I15" s="248"/>
      <c r="J15" s="248"/>
      <c r="K15" s="252"/>
      <c r="L15" s="248"/>
      <c r="M15" s="248"/>
      <c r="N15" s="252"/>
      <c r="O15" s="252"/>
      <c r="P15" s="252"/>
      <c r="Q15" s="252"/>
      <c r="R15" s="252"/>
    </row>
    <row r="16" spans="1:18" s="164" customFormat="1" ht="12.75" customHeight="1" x14ac:dyDescent="0.25">
      <c r="A16" s="238"/>
      <c r="B16" s="251"/>
      <c r="C16" s="252"/>
      <c r="D16" s="252"/>
      <c r="E16" s="252"/>
      <c r="F16" s="248"/>
      <c r="G16" s="248"/>
      <c r="H16" s="248"/>
      <c r="I16" s="248"/>
      <c r="J16" s="248"/>
      <c r="K16" s="252"/>
      <c r="L16" s="248"/>
      <c r="M16" s="248"/>
      <c r="N16" s="252"/>
      <c r="O16" s="252"/>
      <c r="P16" s="252"/>
      <c r="Q16" s="252"/>
      <c r="R16" s="252"/>
    </row>
    <row r="17" spans="1:18" s="164" customFormat="1" ht="12.75" customHeight="1" x14ac:dyDescent="0.25">
      <c r="A17" s="238"/>
      <c r="B17" s="251"/>
      <c r="C17" s="252"/>
      <c r="D17" s="252"/>
      <c r="E17" s="252"/>
      <c r="F17" s="248"/>
      <c r="G17" s="248"/>
      <c r="H17" s="248"/>
      <c r="I17" s="248"/>
      <c r="J17" s="248"/>
      <c r="K17" s="252"/>
      <c r="L17" s="248"/>
      <c r="M17" s="248"/>
      <c r="N17" s="252"/>
      <c r="O17" s="252"/>
      <c r="P17" s="252"/>
      <c r="Q17" s="237"/>
      <c r="R17" s="252"/>
    </row>
    <row r="18" spans="1:18" s="164" customFormat="1" ht="12.75" customHeight="1" x14ac:dyDescent="0.25">
      <c r="A18" s="238"/>
      <c r="B18" s="251"/>
      <c r="C18" s="252"/>
      <c r="D18" s="252"/>
      <c r="E18" s="252"/>
      <c r="F18" s="248"/>
      <c r="G18" s="248"/>
      <c r="H18" s="248"/>
      <c r="I18" s="248"/>
      <c r="J18" s="248"/>
      <c r="K18" s="252"/>
      <c r="L18" s="248"/>
      <c r="M18" s="248"/>
      <c r="N18" s="252"/>
      <c r="O18" s="252"/>
      <c r="P18" s="252"/>
      <c r="Q18" s="237"/>
      <c r="R18" s="252"/>
    </row>
    <row r="19" spans="1:18" s="164" customFormat="1" ht="12.75" customHeight="1" x14ac:dyDescent="0.25">
      <c r="A19" s="238"/>
      <c r="B19" s="251"/>
      <c r="C19" s="252"/>
      <c r="D19" s="252"/>
      <c r="E19" s="252"/>
      <c r="F19" s="248"/>
      <c r="G19" s="248"/>
      <c r="H19" s="248"/>
      <c r="I19" s="248"/>
      <c r="J19" s="248"/>
      <c r="K19" s="252"/>
      <c r="L19" s="248"/>
      <c r="M19" s="248"/>
      <c r="N19" s="252"/>
      <c r="O19" s="252"/>
      <c r="P19" s="252"/>
      <c r="Q19" s="237"/>
      <c r="R19" s="252"/>
    </row>
    <row r="20" spans="1:18" s="164" customFormat="1" ht="12.75" customHeight="1" x14ac:dyDescent="0.25">
      <c r="A20" s="238"/>
      <c r="B20" s="251"/>
      <c r="C20" s="252"/>
      <c r="D20" s="252"/>
      <c r="E20" s="252"/>
      <c r="F20" s="248"/>
      <c r="G20" s="248"/>
      <c r="H20" s="248"/>
      <c r="I20" s="248"/>
      <c r="J20" s="248"/>
      <c r="K20" s="252"/>
      <c r="L20" s="248"/>
      <c r="M20" s="248"/>
      <c r="N20" s="252"/>
      <c r="O20" s="252"/>
      <c r="P20" s="252"/>
      <c r="Q20" s="237"/>
      <c r="R20" s="252"/>
    </row>
    <row r="21" spans="1:18" s="164" customFormat="1" ht="12.75" customHeight="1" x14ac:dyDescent="0.25">
      <c r="A21" s="238"/>
      <c r="B21" s="251"/>
      <c r="C21" s="252"/>
      <c r="D21" s="252"/>
      <c r="E21" s="252"/>
      <c r="F21" s="248"/>
      <c r="G21" s="248"/>
      <c r="H21" s="248"/>
      <c r="I21" s="248"/>
      <c r="J21" s="248"/>
      <c r="K21" s="252"/>
      <c r="L21" s="248"/>
      <c r="M21" s="248"/>
      <c r="N21" s="252"/>
      <c r="O21" s="252"/>
      <c r="P21" s="252"/>
      <c r="Q21" s="237"/>
      <c r="R21" s="252"/>
    </row>
    <row r="22" spans="1:18" s="164" customFormat="1" ht="12.75" customHeight="1" x14ac:dyDescent="0.25">
      <c r="A22" s="238"/>
      <c r="B22" s="251"/>
      <c r="C22" s="252"/>
      <c r="D22" s="252"/>
      <c r="E22" s="252"/>
      <c r="F22" s="248"/>
      <c r="G22" s="248"/>
      <c r="H22" s="248"/>
      <c r="I22" s="248"/>
      <c r="J22" s="248"/>
      <c r="K22" s="252"/>
      <c r="L22" s="248"/>
      <c r="M22" s="248"/>
      <c r="N22" s="252"/>
      <c r="O22" s="252"/>
      <c r="P22" s="252"/>
      <c r="Q22" s="237"/>
      <c r="R22" s="252"/>
    </row>
    <row r="23" spans="1:18" s="164" customFormat="1" ht="12.75" customHeight="1" x14ac:dyDescent="0.25">
      <c r="A23" s="238"/>
      <c r="B23" s="251"/>
      <c r="C23" s="252"/>
      <c r="D23" s="252"/>
      <c r="E23" s="252"/>
      <c r="F23" s="248"/>
      <c r="G23" s="248"/>
      <c r="H23" s="248"/>
      <c r="I23" s="248"/>
      <c r="J23" s="248"/>
      <c r="K23" s="252"/>
      <c r="L23" s="248"/>
      <c r="M23" s="248"/>
      <c r="N23" s="252"/>
      <c r="O23" s="252"/>
      <c r="P23" s="252"/>
      <c r="Q23" s="237"/>
      <c r="R23" s="252"/>
    </row>
    <row r="24" spans="1:18" s="164" customFormat="1" ht="12.75" customHeight="1" x14ac:dyDescent="0.25">
      <c r="A24" s="238"/>
      <c r="B24" s="251"/>
      <c r="C24" s="252"/>
      <c r="D24" s="252"/>
      <c r="E24" s="252"/>
      <c r="F24" s="248"/>
      <c r="G24" s="248"/>
      <c r="H24" s="248"/>
      <c r="I24" s="248"/>
      <c r="J24" s="248"/>
      <c r="K24" s="252"/>
      <c r="L24" s="248"/>
      <c r="M24" s="248"/>
      <c r="N24" s="252"/>
      <c r="O24" s="252"/>
      <c r="P24" s="252"/>
      <c r="Q24" s="237"/>
      <c r="R24" s="252"/>
    </row>
    <row r="25" spans="1:18" s="164" customFormat="1" ht="12.75" customHeight="1" x14ac:dyDescent="0.25">
      <c r="A25" s="238"/>
      <c r="B25" s="251"/>
      <c r="C25" s="252"/>
      <c r="D25" s="252"/>
      <c r="E25" s="252"/>
      <c r="F25" s="248"/>
      <c r="G25" s="248"/>
      <c r="H25" s="248"/>
      <c r="I25" s="248"/>
      <c r="J25" s="248"/>
      <c r="K25" s="252"/>
      <c r="L25" s="248"/>
      <c r="M25" s="248"/>
      <c r="N25" s="252"/>
      <c r="O25" s="252"/>
      <c r="P25" s="252"/>
      <c r="Q25" s="237"/>
      <c r="R25" s="252"/>
    </row>
    <row r="26" spans="1:18" s="164" customFormat="1" ht="12.75" customHeight="1" x14ac:dyDescent="0.25">
      <c r="A26" s="238"/>
      <c r="B26" s="251"/>
      <c r="C26" s="252"/>
      <c r="D26" s="252"/>
      <c r="E26" s="252"/>
      <c r="F26" s="248"/>
      <c r="G26" s="248"/>
      <c r="H26" s="248"/>
      <c r="I26" s="248"/>
      <c r="J26" s="248"/>
      <c r="K26" s="252"/>
      <c r="L26" s="248"/>
      <c r="M26" s="248"/>
      <c r="N26" s="252"/>
      <c r="O26" s="252"/>
      <c r="P26" s="252"/>
      <c r="Q26" s="237"/>
      <c r="R26" s="252"/>
    </row>
    <row r="27" spans="1:18" s="164" customFormat="1" ht="12.75" customHeight="1" x14ac:dyDescent="0.25">
      <c r="A27" s="238"/>
      <c r="B27" s="251"/>
      <c r="C27" s="252"/>
      <c r="D27" s="252"/>
      <c r="E27" s="252"/>
      <c r="F27" s="248"/>
      <c r="G27" s="248"/>
      <c r="H27" s="248"/>
      <c r="I27" s="248"/>
      <c r="J27" s="248"/>
      <c r="K27" s="252"/>
      <c r="L27" s="248"/>
      <c r="M27" s="248"/>
      <c r="N27" s="252"/>
      <c r="O27" s="252"/>
      <c r="P27" s="252"/>
      <c r="Q27" s="237"/>
      <c r="R27" s="252"/>
    </row>
    <row r="28" spans="1:18" s="164" customFormat="1" ht="12.75" customHeight="1" x14ac:dyDescent="0.25">
      <c r="A28" s="238"/>
      <c r="B28" s="251"/>
      <c r="C28" s="252"/>
      <c r="D28" s="252"/>
      <c r="E28" s="252"/>
      <c r="F28" s="248"/>
      <c r="G28" s="248"/>
      <c r="H28" s="248"/>
      <c r="I28" s="248"/>
      <c r="J28" s="248"/>
      <c r="K28" s="252"/>
      <c r="L28" s="248"/>
      <c r="M28" s="248"/>
      <c r="N28" s="252"/>
      <c r="O28" s="252"/>
      <c r="P28" s="252"/>
      <c r="Q28" s="237"/>
      <c r="R28" s="252"/>
    </row>
    <row r="29" spans="1:18" s="164" customFormat="1" ht="12.75" customHeight="1" x14ac:dyDescent="0.25">
      <c r="A29" s="238"/>
      <c r="B29" s="251"/>
      <c r="C29" s="252"/>
      <c r="D29" s="252"/>
      <c r="E29" s="252"/>
      <c r="F29" s="248"/>
      <c r="G29" s="248"/>
      <c r="H29" s="248"/>
      <c r="I29" s="248"/>
      <c r="J29" s="248"/>
      <c r="K29" s="252"/>
      <c r="L29" s="248"/>
      <c r="M29" s="248"/>
      <c r="N29" s="252"/>
      <c r="O29" s="252"/>
      <c r="P29" s="252"/>
      <c r="Q29" s="237"/>
      <c r="R29" s="252"/>
    </row>
    <row r="30" spans="1:18" s="164" customFormat="1" ht="12.75" customHeight="1" x14ac:dyDescent="0.25">
      <c r="A30" s="238"/>
      <c r="B30" s="251"/>
      <c r="C30" s="252"/>
      <c r="D30" s="252"/>
      <c r="E30" s="252"/>
      <c r="F30" s="248"/>
      <c r="G30" s="248"/>
      <c r="H30" s="248"/>
      <c r="I30" s="248"/>
      <c r="J30" s="248"/>
      <c r="K30" s="252"/>
      <c r="L30" s="248"/>
      <c r="M30" s="248"/>
      <c r="N30" s="252"/>
      <c r="O30" s="252"/>
      <c r="P30" s="252"/>
      <c r="Q30" s="237"/>
      <c r="R30" s="252"/>
    </row>
    <row r="31" spans="1:18" s="164" customFormat="1" ht="12.75" customHeight="1" x14ac:dyDescent="0.25">
      <c r="A31" s="238"/>
      <c r="B31" s="251"/>
      <c r="C31" s="252"/>
      <c r="D31" s="252"/>
      <c r="E31" s="252"/>
      <c r="F31" s="248"/>
      <c r="G31" s="248"/>
      <c r="H31" s="248"/>
      <c r="I31" s="248"/>
      <c r="J31" s="248"/>
      <c r="K31" s="252"/>
      <c r="L31" s="248"/>
      <c r="M31" s="248"/>
      <c r="N31" s="252"/>
      <c r="O31" s="252"/>
      <c r="P31" s="252"/>
      <c r="Q31" s="237"/>
      <c r="R31" s="252"/>
    </row>
    <row r="32" spans="1:18" s="164" customFormat="1" ht="12.75" customHeight="1" x14ac:dyDescent="0.25">
      <c r="A32" s="238"/>
      <c r="B32" s="251"/>
      <c r="C32" s="252"/>
      <c r="D32" s="252"/>
      <c r="E32" s="252"/>
      <c r="F32" s="248"/>
      <c r="G32" s="248"/>
      <c r="H32" s="248"/>
      <c r="I32" s="248"/>
      <c r="J32" s="248"/>
      <c r="K32" s="252"/>
      <c r="L32" s="248"/>
      <c r="M32" s="248"/>
      <c r="N32" s="252"/>
      <c r="O32" s="252"/>
      <c r="P32" s="252"/>
      <c r="Q32" s="237"/>
      <c r="R32" s="252"/>
    </row>
    <row r="33" spans="1:18" s="164" customFormat="1" ht="12.75" customHeight="1" x14ac:dyDescent="0.25">
      <c r="A33" s="238"/>
      <c r="B33" s="251"/>
      <c r="C33" s="252"/>
      <c r="D33" s="252"/>
      <c r="E33" s="252"/>
      <c r="F33" s="248"/>
      <c r="G33" s="248"/>
      <c r="H33" s="248"/>
      <c r="I33" s="248"/>
      <c r="J33" s="248"/>
      <c r="K33" s="252"/>
      <c r="L33" s="248"/>
      <c r="M33" s="248"/>
      <c r="N33" s="252"/>
      <c r="O33" s="252"/>
      <c r="P33" s="252"/>
      <c r="Q33" s="237"/>
      <c r="R33" s="252"/>
    </row>
    <row r="34" spans="1:18" s="164" customFormat="1" ht="12.75" customHeight="1" x14ac:dyDescent="0.25">
      <c r="A34" s="238"/>
      <c r="B34" s="251"/>
      <c r="C34" s="252"/>
      <c r="D34" s="252"/>
      <c r="E34" s="252"/>
      <c r="F34" s="248"/>
      <c r="G34" s="248"/>
      <c r="H34" s="248"/>
      <c r="I34" s="248"/>
      <c r="J34" s="248"/>
      <c r="K34" s="252"/>
      <c r="L34" s="248"/>
      <c r="M34" s="248"/>
      <c r="N34" s="252"/>
      <c r="O34" s="252"/>
      <c r="P34" s="252"/>
      <c r="Q34" s="237"/>
      <c r="R34" s="252"/>
    </row>
    <row r="35" spans="1:18" s="164" customFormat="1" ht="12.75" customHeight="1" x14ac:dyDescent="0.25">
      <c r="A35" s="238"/>
      <c r="B35" s="251"/>
      <c r="C35" s="252"/>
      <c r="D35" s="252"/>
      <c r="E35" s="252"/>
      <c r="F35" s="248"/>
      <c r="G35" s="248"/>
      <c r="H35" s="248"/>
      <c r="I35" s="248"/>
      <c r="J35" s="248"/>
      <c r="K35" s="252"/>
      <c r="L35" s="248"/>
      <c r="M35" s="248"/>
      <c r="N35" s="252"/>
      <c r="O35" s="252"/>
      <c r="P35" s="252"/>
      <c r="Q35" s="237"/>
      <c r="R35" s="252"/>
    </row>
    <row r="36" spans="1:18" ht="12.75" customHeight="1" x14ac:dyDescent="0.25">
      <c r="A36" s="229"/>
      <c r="B36" s="229"/>
      <c r="C36" s="220"/>
      <c r="D36" s="220"/>
      <c r="E36" s="252"/>
      <c r="F36" s="254"/>
      <c r="G36" s="254"/>
      <c r="H36" s="254"/>
      <c r="I36" s="254"/>
      <c r="J36" s="254"/>
      <c r="K36" s="220"/>
      <c r="L36" s="254"/>
      <c r="M36" s="254"/>
      <c r="N36" s="252"/>
      <c r="O36" s="220"/>
      <c r="P36" s="220"/>
      <c r="Q36" s="220"/>
      <c r="R36" s="252"/>
    </row>
    <row r="37" spans="1:18" ht="12.75" customHeight="1" x14ac:dyDescent="0.25">
      <c r="A37" s="229"/>
      <c r="B37" s="229"/>
      <c r="C37" s="220"/>
      <c r="D37" s="220"/>
      <c r="E37" s="252"/>
      <c r="F37" s="254"/>
      <c r="G37" s="254"/>
      <c r="H37" s="254"/>
      <c r="I37" s="254"/>
      <c r="J37" s="254"/>
      <c r="K37" s="220"/>
      <c r="L37" s="254"/>
      <c r="M37" s="254"/>
      <c r="N37" s="252"/>
      <c r="O37" s="220"/>
      <c r="P37" s="220"/>
      <c r="Q37" s="220"/>
      <c r="R37" s="252"/>
    </row>
    <row r="38" spans="1:18" ht="12.75" customHeight="1" x14ac:dyDescent="0.25">
      <c r="A38" s="229"/>
      <c r="B38" s="229"/>
      <c r="C38" s="220"/>
      <c r="D38" s="220"/>
      <c r="E38" s="252"/>
      <c r="F38" s="254"/>
      <c r="G38" s="254"/>
      <c r="H38" s="254"/>
      <c r="I38" s="254"/>
      <c r="J38" s="254"/>
      <c r="K38" s="220"/>
      <c r="L38" s="254"/>
      <c r="M38" s="254"/>
      <c r="N38" s="252"/>
      <c r="O38" s="220"/>
      <c r="P38" s="220"/>
      <c r="Q38" s="220"/>
      <c r="R38" s="252"/>
    </row>
    <row r="39" spans="1:18" ht="12.75" customHeight="1" x14ac:dyDescent="0.25">
      <c r="A39" s="229"/>
      <c r="B39" s="229"/>
      <c r="C39" s="220"/>
      <c r="D39" s="220"/>
      <c r="E39" s="252"/>
      <c r="F39" s="254"/>
      <c r="G39" s="254"/>
      <c r="H39" s="254"/>
      <c r="I39" s="254"/>
      <c r="J39" s="254"/>
      <c r="K39" s="220"/>
      <c r="L39" s="254"/>
      <c r="M39" s="254"/>
      <c r="N39" s="252"/>
      <c r="O39" s="220"/>
      <c r="P39" s="220"/>
      <c r="Q39" s="220"/>
      <c r="R39" s="252"/>
    </row>
    <row r="40" spans="1:18" ht="12.75" customHeight="1" x14ac:dyDescent="0.25">
      <c r="A40" s="229"/>
      <c r="B40" s="229"/>
      <c r="C40" s="220"/>
      <c r="D40" s="220"/>
      <c r="E40" s="252"/>
      <c r="F40" s="254"/>
      <c r="G40" s="254"/>
      <c r="H40" s="254"/>
      <c r="I40" s="254"/>
      <c r="J40" s="254"/>
      <c r="K40" s="220"/>
      <c r="L40" s="254"/>
      <c r="M40" s="254"/>
      <c r="N40" s="252"/>
      <c r="O40" s="220"/>
      <c r="P40" s="220"/>
      <c r="Q40" s="220"/>
      <c r="R40" s="252"/>
    </row>
    <row r="41" spans="1:18" ht="12.75" customHeight="1" x14ac:dyDescent="0.25">
      <c r="A41" s="229"/>
      <c r="B41" s="229"/>
      <c r="C41" s="220"/>
      <c r="D41" s="220"/>
      <c r="E41" s="252"/>
      <c r="F41" s="254"/>
      <c r="G41" s="254"/>
      <c r="H41" s="254"/>
      <c r="I41" s="254"/>
      <c r="J41" s="254"/>
      <c r="K41" s="220"/>
      <c r="L41" s="254"/>
      <c r="M41" s="254"/>
      <c r="N41" s="252"/>
      <c r="O41" s="220"/>
      <c r="P41" s="220"/>
      <c r="Q41" s="220"/>
      <c r="R41" s="252"/>
    </row>
    <row r="42" spans="1:18" ht="12.75" customHeight="1" x14ac:dyDescent="0.25">
      <c r="A42" s="229"/>
      <c r="B42" s="229"/>
      <c r="C42" s="220"/>
      <c r="D42" s="220"/>
      <c r="E42" s="252"/>
      <c r="F42" s="254"/>
      <c r="G42" s="254"/>
      <c r="H42" s="254"/>
      <c r="I42" s="254"/>
      <c r="J42" s="254"/>
      <c r="K42" s="220"/>
      <c r="L42" s="254"/>
      <c r="M42" s="254"/>
      <c r="N42" s="252"/>
      <c r="O42" s="220"/>
      <c r="P42" s="220"/>
      <c r="Q42" s="220"/>
      <c r="R42" s="252"/>
    </row>
    <row r="43" spans="1:18" ht="12.75" customHeight="1" x14ac:dyDescent="0.25">
      <c r="A43" s="229"/>
      <c r="B43" s="229"/>
      <c r="C43" s="220"/>
      <c r="D43" s="220"/>
      <c r="E43" s="252"/>
      <c r="F43" s="254"/>
      <c r="G43" s="254"/>
      <c r="H43" s="254"/>
      <c r="I43" s="254"/>
      <c r="J43" s="254"/>
      <c r="K43" s="220"/>
      <c r="L43" s="254"/>
      <c r="M43" s="254"/>
      <c r="N43" s="252"/>
      <c r="O43" s="220"/>
      <c r="P43" s="220"/>
      <c r="Q43" s="220"/>
      <c r="R43" s="252"/>
    </row>
    <row r="44" spans="1:18" ht="12.75" customHeight="1" x14ac:dyDescent="0.25">
      <c r="A44" s="229"/>
      <c r="B44" s="229"/>
      <c r="C44" s="220"/>
      <c r="D44" s="220"/>
      <c r="E44" s="252"/>
      <c r="F44" s="254"/>
      <c r="G44" s="254"/>
      <c r="H44" s="254"/>
      <c r="I44" s="254"/>
      <c r="J44" s="254"/>
      <c r="K44" s="220"/>
      <c r="L44" s="254"/>
      <c r="M44" s="254"/>
      <c r="N44" s="252"/>
      <c r="O44" s="220"/>
      <c r="P44" s="220"/>
      <c r="Q44" s="220"/>
      <c r="R44" s="252"/>
    </row>
    <row r="45" spans="1:18" ht="12.75" customHeight="1" x14ac:dyDescent="0.25">
      <c r="A45" s="229"/>
      <c r="B45" s="229"/>
      <c r="C45" s="220"/>
      <c r="D45" s="220"/>
      <c r="E45" s="252"/>
      <c r="F45" s="254"/>
      <c r="G45" s="254"/>
      <c r="H45" s="254"/>
      <c r="I45" s="254"/>
      <c r="J45" s="254"/>
      <c r="K45" s="220"/>
      <c r="L45" s="254"/>
      <c r="M45" s="254"/>
      <c r="N45" s="252"/>
      <c r="O45" s="220"/>
      <c r="P45" s="220"/>
      <c r="Q45" s="220"/>
      <c r="R45" s="252"/>
    </row>
    <row r="46" spans="1:18" ht="12.75" customHeight="1" x14ac:dyDescent="0.25">
      <c r="A46" s="229"/>
      <c r="B46" s="229"/>
      <c r="C46" s="220"/>
      <c r="D46" s="220"/>
      <c r="E46" s="252"/>
      <c r="F46" s="254"/>
      <c r="G46" s="254"/>
      <c r="H46" s="254"/>
      <c r="I46" s="254"/>
      <c r="J46" s="254"/>
      <c r="K46" s="220"/>
      <c r="L46" s="254"/>
      <c r="M46" s="254"/>
      <c r="N46" s="252"/>
      <c r="O46" s="220"/>
      <c r="P46" s="220"/>
      <c r="Q46" s="220"/>
      <c r="R46" s="252"/>
    </row>
    <row r="47" spans="1:18" ht="12.75" customHeight="1" x14ac:dyDescent="0.25">
      <c r="A47" s="229"/>
      <c r="B47" s="229"/>
      <c r="C47" s="220"/>
      <c r="D47" s="220"/>
      <c r="E47" s="252"/>
      <c r="F47" s="254"/>
      <c r="G47" s="254"/>
      <c r="H47" s="254"/>
      <c r="I47" s="254"/>
      <c r="J47" s="254"/>
      <c r="K47" s="220"/>
      <c r="L47" s="254"/>
      <c r="M47" s="254"/>
      <c r="N47" s="252"/>
      <c r="O47" s="220"/>
      <c r="P47" s="220"/>
      <c r="Q47" s="220"/>
      <c r="R47" s="252"/>
    </row>
    <row r="48" spans="1:18" ht="12.75" customHeight="1" x14ac:dyDescent="0.25">
      <c r="A48" s="229"/>
      <c r="B48" s="229"/>
      <c r="C48" s="220"/>
      <c r="D48" s="220"/>
      <c r="E48" s="252"/>
      <c r="F48" s="254"/>
      <c r="G48" s="254"/>
      <c r="H48" s="254"/>
      <c r="I48" s="254"/>
      <c r="J48" s="254"/>
      <c r="K48" s="220"/>
      <c r="L48" s="254"/>
      <c r="M48" s="254"/>
      <c r="N48" s="252"/>
      <c r="O48" s="220"/>
      <c r="P48" s="220"/>
      <c r="Q48" s="220"/>
      <c r="R48" s="252"/>
    </row>
    <row r="49" spans="1:18" ht="12.75" customHeight="1" x14ac:dyDescent="0.25">
      <c r="A49" s="229"/>
      <c r="B49" s="229"/>
      <c r="C49" s="220"/>
      <c r="D49" s="220"/>
      <c r="E49" s="252"/>
      <c r="F49" s="254"/>
      <c r="G49" s="254"/>
      <c r="H49" s="254"/>
      <c r="I49" s="254"/>
      <c r="J49" s="254"/>
      <c r="K49" s="220"/>
      <c r="L49" s="254"/>
      <c r="M49" s="254"/>
      <c r="N49" s="252"/>
      <c r="O49" s="220"/>
      <c r="P49" s="220"/>
      <c r="Q49" s="220"/>
      <c r="R49" s="252"/>
    </row>
    <row r="50" spans="1:18" ht="12.75" customHeight="1" x14ac:dyDescent="0.25">
      <c r="A50" s="229"/>
      <c r="B50" s="229"/>
      <c r="C50" s="220"/>
      <c r="D50" s="220"/>
      <c r="E50" s="252"/>
      <c r="F50" s="254"/>
      <c r="G50" s="254"/>
      <c r="H50" s="254"/>
      <c r="I50" s="254"/>
      <c r="J50" s="254"/>
      <c r="K50" s="220"/>
      <c r="L50" s="254"/>
      <c r="M50" s="254"/>
      <c r="N50" s="252"/>
      <c r="O50" s="220"/>
      <c r="P50" s="220"/>
      <c r="Q50" s="220"/>
      <c r="R50" s="252"/>
    </row>
    <row r="51" spans="1:18" ht="12.75" customHeight="1" x14ac:dyDescent="0.25">
      <c r="A51" s="229"/>
      <c r="B51" s="229"/>
      <c r="C51" s="220"/>
      <c r="D51" s="220"/>
      <c r="E51" s="252"/>
      <c r="F51" s="254"/>
      <c r="G51" s="254"/>
      <c r="H51" s="254"/>
      <c r="I51" s="254"/>
      <c r="J51" s="254"/>
      <c r="K51" s="220"/>
      <c r="L51" s="254"/>
      <c r="M51" s="254"/>
      <c r="N51" s="252"/>
      <c r="O51" s="220"/>
      <c r="P51" s="220"/>
      <c r="Q51" s="220"/>
      <c r="R51" s="252"/>
    </row>
    <row r="52" spans="1:18" ht="12.75" customHeight="1" x14ac:dyDescent="0.25">
      <c r="A52" s="229"/>
      <c r="B52" s="229"/>
      <c r="C52" s="220"/>
      <c r="D52" s="220"/>
      <c r="E52" s="252"/>
      <c r="F52" s="254"/>
      <c r="G52" s="254"/>
      <c r="H52" s="254"/>
      <c r="I52" s="254"/>
      <c r="J52" s="254"/>
      <c r="K52" s="220"/>
      <c r="L52" s="254"/>
      <c r="M52" s="254"/>
      <c r="N52" s="252"/>
      <c r="O52" s="220"/>
      <c r="P52" s="220"/>
      <c r="Q52" s="220"/>
      <c r="R52" s="252"/>
    </row>
    <row r="53" spans="1:18" ht="12.75" customHeight="1" x14ac:dyDescent="0.25">
      <c r="A53" s="229"/>
      <c r="B53" s="229"/>
      <c r="C53" s="220"/>
      <c r="D53" s="220"/>
      <c r="E53" s="252"/>
      <c r="F53" s="254"/>
      <c r="G53" s="254"/>
      <c r="H53" s="254"/>
      <c r="I53" s="254"/>
      <c r="J53" s="254"/>
      <c r="K53" s="220"/>
      <c r="L53" s="254"/>
      <c r="M53" s="254"/>
      <c r="N53" s="252"/>
      <c r="O53" s="220"/>
      <c r="P53" s="220"/>
      <c r="Q53" s="220"/>
      <c r="R53" s="252"/>
    </row>
    <row r="54" spans="1:18" ht="12.75" customHeight="1" x14ac:dyDescent="0.25">
      <c r="A54" s="229"/>
      <c r="B54" s="229"/>
      <c r="C54" s="220"/>
      <c r="D54" s="220"/>
      <c r="E54" s="252"/>
      <c r="F54" s="254"/>
      <c r="G54" s="254"/>
      <c r="H54" s="254"/>
      <c r="I54" s="254"/>
      <c r="J54" s="254"/>
      <c r="K54" s="220"/>
      <c r="L54" s="254"/>
      <c r="M54" s="254"/>
      <c r="N54" s="252"/>
      <c r="O54" s="220"/>
      <c r="P54" s="220"/>
      <c r="Q54" s="220"/>
      <c r="R54" s="252"/>
    </row>
    <row r="55" spans="1:18" ht="12.75" customHeight="1" x14ac:dyDescent="0.25">
      <c r="A55" s="229"/>
      <c r="B55" s="229"/>
      <c r="C55" s="220"/>
      <c r="D55" s="220"/>
      <c r="E55" s="252"/>
      <c r="F55" s="254"/>
      <c r="G55" s="254"/>
      <c r="H55" s="254"/>
      <c r="I55" s="254"/>
      <c r="J55" s="254"/>
      <c r="K55" s="220"/>
      <c r="L55" s="254"/>
      <c r="M55" s="254"/>
      <c r="N55" s="252"/>
      <c r="O55" s="220"/>
      <c r="P55" s="220"/>
      <c r="Q55" s="220"/>
      <c r="R55" s="252"/>
    </row>
    <row r="56" spans="1:18" ht="12.75" customHeight="1" x14ac:dyDescent="0.25">
      <c r="A56" s="229"/>
      <c r="B56" s="229"/>
      <c r="C56" s="220"/>
      <c r="D56" s="220"/>
      <c r="E56" s="252"/>
      <c r="F56" s="254"/>
      <c r="G56" s="254"/>
      <c r="H56" s="254"/>
      <c r="I56" s="254"/>
      <c r="J56" s="254"/>
      <c r="K56" s="220"/>
      <c r="L56" s="254"/>
      <c r="M56" s="254"/>
      <c r="N56" s="252"/>
      <c r="O56" s="220"/>
      <c r="P56" s="220"/>
      <c r="Q56" s="220"/>
      <c r="R56" s="252"/>
    </row>
    <row r="57" spans="1:18" ht="12.75" customHeight="1" x14ac:dyDescent="0.25">
      <c r="A57" s="229"/>
      <c r="B57" s="229"/>
      <c r="C57" s="220"/>
      <c r="D57" s="220"/>
      <c r="E57" s="252"/>
      <c r="F57" s="254"/>
      <c r="G57" s="254"/>
      <c r="H57" s="254"/>
      <c r="I57" s="254"/>
      <c r="J57" s="254"/>
      <c r="K57" s="220"/>
      <c r="L57" s="254"/>
      <c r="M57" s="254"/>
      <c r="N57" s="252"/>
      <c r="O57" s="220"/>
      <c r="P57" s="220"/>
      <c r="Q57" s="220"/>
      <c r="R57" s="252"/>
    </row>
    <row r="58" spans="1:18" ht="12.75" customHeight="1" x14ac:dyDescent="0.25">
      <c r="A58" s="229"/>
      <c r="B58" s="229"/>
      <c r="C58" s="220"/>
      <c r="D58" s="220"/>
      <c r="E58" s="252"/>
      <c r="F58" s="254"/>
      <c r="G58" s="254"/>
      <c r="H58" s="254"/>
      <c r="I58" s="254"/>
      <c r="J58" s="254"/>
      <c r="K58" s="220"/>
      <c r="L58" s="254"/>
      <c r="M58" s="254"/>
      <c r="N58" s="252"/>
      <c r="O58" s="220"/>
      <c r="P58" s="220"/>
      <c r="Q58" s="220"/>
      <c r="R58" s="252"/>
    </row>
    <row r="59" spans="1:18" ht="12.75" customHeight="1" x14ac:dyDescent="0.25">
      <c r="A59" s="229"/>
      <c r="B59" s="229"/>
      <c r="C59" s="220"/>
      <c r="D59" s="220"/>
      <c r="E59" s="252"/>
      <c r="F59" s="254"/>
      <c r="G59" s="254"/>
      <c r="H59" s="254"/>
      <c r="I59" s="254"/>
      <c r="J59" s="254"/>
      <c r="K59" s="220"/>
      <c r="L59" s="254"/>
      <c r="M59" s="254"/>
      <c r="N59" s="252"/>
      <c r="O59" s="220"/>
      <c r="P59" s="220"/>
      <c r="Q59" s="220"/>
      <c r="R59" s="252"/>
    </row>
    <row r="60" spans="1:18" ht="12.75" customHeight="1" x14ac:dyDescent="0.25">
      <c r="A60" s="229"/>
      <c r="B60" s="229"/>
      <c r="C60" s="220"/>
      <c r="D60" s="220"/>
      <c r="E60" s="252"/>
      <c r="F60" s="254"/>
      <c r="G60" s="254"/>
      <c r="H60" s="254"/>
      <c r="I60" s="254"/>
      <c r="J60" s="254"/>
      <c r="K60" s="220"/>
      <c r="L60" s="254"/>
      <c r="M60" s="254"/>
      <c r="N60" s="252"/>
      <c r="O60" s="220"/>
      <c r="P60" s="220"/>
      <c r="Q60" s="220"/>
      <c r="R60" s="252"/>
    </row>
    <row r="61" spans="1:18" ht="12.75" customHeight="1" x14ac:dyDescent="0.25">
      <c r="A61" s="229"/>
      <c r="B61" s="229"/>
      <c r="C61" s="220"/>
      <c r="D61" s="220"/>
      <c r="E61" s="252"/>
      <c r="F61" s="254"/>
      <c r="G61" s="254"/>
      <c r="H61" s="254"/>
      <c r="I61" s="254"/>
      <c r="J61" s="254"/>
      <c r="K61" s="220"/>
      <c r="L61" s="254"/>
      <c r="M61" s="254"/>
      <c r="N61" s="252"/>
      <c r="O61" s="220"/>
      <c r="P61" s="220"/>
      <c r="Q61" s="220"/>
      <c r="R61" s="252"/>
    </row>
    <row r="62" spans="1:18" ht="12.75" customHeight="1" x14ac:dyDescent="0.25">
      <c r="A62" s="229"/>
      <c r="B62" s="229"/>
      <c r="C62" s="220"/>
      <c r="D62" s="220"/>
      <c r="E62" s="252"/>
      <c r="F62" s="254"/>
      <c r="G62" s="254"/>
      <c r="H62" s="254"/>
      <c r="I62" s="254"/>
      <c r="J62" s="254"/>
      <c r="K62" s="220"/>
      <c r="L62" s="254"/>
      <c r="M62" s="254"/>
      <c r="N62" s="252"/>
      <c r="O62" s="220"/>
      <c r="P62" s="220"/>
      <c r="Q62" s="220"/>
      <c r="R62" s="252"/>
    </row>
    <row r="63" spans="1:18" ht="12.75" customHeight="1" x14ac:dyDescent="0.25">
      <c r="A63" s="229"/>
      <c r="B63" s="229"/>
      <c r="C63" s="220"/>
      <c r="D63" s="220"/>
      <c r="E63" s="252"/>
      <c r="F63" s="254"/>
      <c r="G63" s="254"/>
      <c r="H63" s="254"/>
      <c r="I63" s="254"/>
      <c r="J63" s="254"/>
      <c r="K63" s="220"/>
      <c r="L63" s="254"/>
      <c r="M63" s="254"/>
      <c r="N63" s="252"/>
      <c r="O63" s="220"/>
      <c r="P63" s="220"/>
      <c r="Q63" s="220"/>
      <c r="R63" s="252"/>
    </row>
    <row r="64" spans="1:18" ht="12.75" customHeight="1" x14ac:dyDescent="0.25">
      <c r="A64" s="229"/>
      <c r="B64" s="229"/>
      <c r="C64" s="220"/>
      <c r="D64" s="220"/>
      <c r="E64" s="252"/>
      <c r="F64" s="254"/>
      <c r="G64" s="254"/>
      <c r="H64" s="254"/>
      <c r="I64" s="254"/>
      <c r="J64" s="254"/>
      <c r="K64" s="220"/>
      <c r="L64" s="254"/>
      <c r="M64" s="254"/>
      <c r="N64" s="252"/>
      <c r="O64" s="220"/>
      <c r="P64" s="220"/>
      <c r="Q64" s="220"/>
      <c r="R64" s="252"/>
    </row>
    <row r="65" spans="1:18" ht="12.75" customHeight="1" x14ac:dyDescent="0.25">
      <c r="A65" s="229"/>
      <c r="B65" s="229"/>
      <c r="C65" s="220"/>
      <c r="D65" s="220"/>
      <c r="E65" s="252"/>
      <c r="F65" s="254"/>
      <c r="G65" s="254"/>
      <c r="H65" s="254"/>
      <c r="I65" s="254"/>
      <c r="J65" s="254"/>
      <c r="K65" s="220"/>
      <c r="L65" s="254"/>
      <c r="M65" s="254"/>
      <c r="N65" s="252"/>
      <c r="O65" s="220"/>
      <c r="P65" s="220"/>
      <c r="Q65" s="220"/>
      <c r="R65" s="252"/>
    </row>
    <row r="66" spans="1:18" ht="12.75" customHeight="1" x14ac:dyDescent="0.25">
      <c r="A66" s="229"/>
      <c r="B66" s="229"/>
      <c r="C66" s="220"/>
      <c r="D66" s="220"/>
      <c r="E66" s="252"/>
      <c r="F66" s="254"/>
      <c r="G66" s="254"/>
      <c r="H66" s="254"/>
      <c r="I66" s="254"/>
      <c r="J66" s="254"/>
      <c r="K66" s="220"/>
      <c r="L66" s="254"/>
      <c r="M66" s="254"/>
      <c r="N66" s="252"/>
      <c r="O66" s="220"/>
      <c r="P66" s="220"/>
      <c r="Q66" s="220"/>
      <c r="R66" s="252"/>
    </row>
    <row r="67" spans="1:18" ht="12.75" customHeight="1" x14ac:dyDescent="0.25">
      <c r="A67" s="229"/>
      <c r="B67" s="229"/>
      <c r="C67" s="220"/>
      <c r="D67" s="220"/>
      <c r="E67" s="252"/>
      <c r="F67" s="254"/>
      <c r="G67" s="254"/>
      <c r="H67" s="254"/>
      <c r="I67" s="254"/>
      <c r="J67" s="254"/>
      <c r="K67" s="220"/>
      <c r="L67" s="254"/>
      <c r="M67" s="254"/>
      <c r="N67" s="252"/>
      <c r="O67" s="220"/>
      <c r="P67" s="220"/>
      <c r="Q67" s="220"/>
      <c r="R67" s="252"/>
    </row>
    <row r="68" spans="1:18" ht="12.75" customHeight="1" x14ac:dyDescent="0.25">
      <c r="A68" s="229"/>
      <c r="B68" s="229"/>
      <c r="C68" s="220"/>
      <c r="D68" s="220"/>
      <c r="E68" s="252"/>
      <c r="F68" s="254"/>
      <c r="G68" s="254"/>
      <c r="H68" s="254"/>
      <c r="I68" s="254"/>
      <c r="J68" s="254"/>
      <c r="K68" s="220"/>
      <c r="L68" s="254"/>
      <c r="M68" s="254"/>
      <c r="N68" s="252"/>
      <c r="O68" s="220"/>
      <c r="P68" s="220"/>
      <c r="Q68" s="220"/>
      <c r="R68" s="252"/>
    </row>
    <row r="69" spans="1:18" ht="12.75" customHeight="1" x14ac:dyDescent="0.25">
      <c r="A69" s="229"/>
      <c r="B69" s="229"/>
      <c r="C69" s="220"/>
      <c r="D69" s="220"/>
      <c r="E69" s="252"/>
      <c r="F69" s="254"/>
      <c r="G69" s="254"/>
      <c r="H69" s="254"/>
      <c r="I69" s="254"/>
      <c r="J69" s="254"/>
      <c r="K69" s="220"/>
      <c r="L69" s="254"/>
      <c r="M69" s="254"/>
      <c r="N69" s="252"/>
      <c r="O69" s="220"/>
      <c r="P69" s="220"/>
      <c r="Q69" s="220"/>
      <c r="R69" s="252"/>
    </row>
    <row r="70" spans="1:18" ht="12.75" customHeight="1" x14ac:dyDescent="0.25">
      <c r="A70" s="229"/>
      <c r="B70" s="229"/>
      <c r="C70" s="220"/>
      <c r="D70" s="220"/>
      <c r="E70" s="252"/>
      <c r="F70" s="254"/>
      <c r="G70" s="254"/>
      <c r="H70" s="254"/>
      <c r="I70" s="254"/>
      <c r="J70" s="254"/>
      <c r="K70" s="220"/>
      <c r="L70" s="254"/>
      <c r="M70" s="254"/>
      <c r="N70" s="252"/>
      <c r="O70" s="220"/>
      <c r="P70" s="220"/>
      <c r="Q70" s="220"/>
      <c r="R70" s="252"/>
    </row>
    <row r="71" spans="1:18" ht="12.75" customHeight="1" x14ac:dyDescent="0.25">
      <c r="A71" s="229"/>
      <c r="B71" s="229"/>
      <c r="C71" s="220"/>
      <c r="D71" s="220"/>
      <c r="E71" s="252"/>
      <c r="F71" s="254"/>
      <c r="G71" s="254"/>
      <c r="H71" s="254"/>
      <c r="I71" s="254"/>
      <c r="J71" s="254"/>
      <c r="K71" s="220"/>
      <c r="L71" s="254"/>
      <c r="M71" s="254"/>
      <c r="N71" s="252"/>
      <c r="O71" s="220"/>
      <c r="P71" s="220"/>
      <c r="Q71" s="220"/>
      <c r="R71" s="252"/>
    </row>
    <row r="72" spans="1:18" ht="12.75" customHeight="1" x14ac:dyDescent="0.25">
      <c r="A72" s="229"/>
      <c r="B72" s="229"/>
      <c r="C72" s="220"/>
      <c r="D72" s="220"/>
      <c r="E72" s="252"/>
      <c r="F72" s="254"/>
      <c r="G72" s="254"/>
      <c r="H72" s="254"/>
      <c r="I72" s="254"/>
      <c r="J72" s="254"/>
      <c r="K72" s="220"/>
      <c r="L72" s="254"/>
      <c r="M72" s="254"/>
      <c r="N72" s="252"/>
      <c r="O72" s="220"/>
      <c r="P72" s="220"/>
      <c r="Q72" s="220"/>
      <c r="R72" s="252"/>
    </row>
    <row r="73" spans="1:18" ht="12.75" customHeight="1" x14ac:dyDescent="0.25">
      <c r="A73" s="229"/>
      <c r="B73" s="229"/>
      <c r="C73" s="220"/>
      <c r="D73" s="220"/>
      <c r="E73" s="252"/>
      <c r="F73" s="254"/>
      <c r="G73" s="254"/>
      <c r="H73" s="254"/>
      <c r="I73" s="254"/>
      <c r="J73" s="254"/>
      <c r="K73" s="220"/>
      <c r="L73" s="254"/>
      <c r="M73" s="254"/>
      <c r="N73" s="252"/>
      <c r="O73" s="220"/>
      <c r="P73" s="220"/>
      <c r="Q73" s="220"/>
      <c r="R73" s="252"/>
    </row>
    <row r="74" spans="1:18" ht="12.75" customHeight="1" x14ac:dyDescent="0.25">
      <c r="A74" s="229"/>
      <c r="B74" s="229"/>
      <c r="C74" s="220"/>
      <c r="D74" s="220"/>
      <c r="E74" s="252"/>
      <c r="F74" s="254"/>
      <c r="G74" s="254"/>
      <c r="H74" s="254"/>
      <c r="I74" s="254"/>
      <c r="J74" s="254"/>
      <c r="K74" s="220"/>
      <c r="L74" s="254"/>
      <c r="M74" s="254"/>
      <c r="N74" s="252"/>
      <c r="O74" s="220"/>
      <c r="P74" s="220"/>
      <c r="Q74" s="220"/>
      <c r="R74" s="252"/>
    </row>
    <row r="75" spans="1:18" ht="12.75" customHeight="1" x14ac:dyDescent="0.25">
      <c r="A75" s="229"/>
      <c r="B75" s="229"/>
      <c r="C75" s="220"/>
      <c r="D75" s="220"/>
      <c r="E75" s="252"/>
      <c r="F75" s="254"/>
      <c r="G75" s="254"/>
      <c r="H75" s="254"/>
      <c r="I75" s="254"/>
      <c r="J75" s="254"/>
      <c r="K75" s="220"/>
      <c r="L75" s="254"/>
      <c r="M75" s="254"/>
      <c r="N75" s="252"/>
      <c r="O75" s="220"/>
      <c r="P75" s="220"/>
      <c r="Q75" s="220"/>
      <c r="R75" s="252"/>
    </row>
    <row r="76" spans="1:18" ht="12.75" customHeight="1" x14ac:dyDescent="0.25">
      <c r="A76" s="229"/>
      <c r="B76" s="229"/>
      <c r="C76" s="220"/>
      <c r="D76" s="220"/>
      <c r="E76" s="252"/>
      <c r="F76" s="254"/>
      <c r="G76" s="254"/>
      <c r="H76" s="254"/>
      <c r="I76" s="254"/>
      <c r="J76" s="254"/>
      <c r="K76" s="220"/>
      <c r="L76" s="254"/>
      <c r="M76" s="254"/>
      <c r="N76" s="252"/>
      <c r="O76" s="220"/>
      <c r="P76" s="220"/>
      <c r="Q76" s="220"/>
      <c r="R76" s="252"/>
    </row>
    <row r="77" spans="1:18" ht="12.75" customHeight="1" x14ac:dyDescent="0.25">
      <c r="A77" s="229"/>
      <c r="B77" s="229"/>
      <c r="C77" s="220"/>
      <c r="D77" s="220"/>
      <c r="E77" s="252"/>
      <c r="F77" s="254"/>
      <c r="G77" s="254"/>
      <c r="H77" s="254"/>
      <c r="I77" s="254"/>
      <c r="J77" s="254"/>
      <c r="K77" s="220"/>
      <c r="L77" s="254"/>
      <c r="M77" s="254"/>
      <c r="N77" s="252"/>
      <c r="O77" s="220"/>
      <c r="P77" s="220"/>
      <c r="Q77" s="220"/>
      <c r="R77" s="252"/>
    </row>
    <row r="78" spans="1:18" ht="12.75" customHeight="1" x14ac:dyDescent="0.25">
      <c r="A78" s="229"/>
      <c r="B78" s="229"/>
      <c r="C78" s="220"/>
      <c r="D78" s="220"/>
      <c r="E78" s="252"/>
      <c r="F78" s="254"/>
      <c r="G78" s="254"/>
      <c r="H78" s="254"/>
      <c r="I78" s="254"/>
      <c r="J78" s="254"/>
      <c r="K78" s="220"/>
      <c r="L78" s="254"/>
      <c r="M78" s="254"/>
      <c r="N78" s="252"/>
      <c r="O78" s="220"/>
      <c r="P78" s="220"/>
      <c r="Q78" s="220"/>
      <c r="R78" s="252"/>
    </row>
    <row r="79" spans="1:18" ht="12.75" customHeight="1" x14ac:dyDescent="0.25">
      <c r="A79" s="229"/>
      <c r="B79" s="229"/>
      <c r="C79" s="220"/>
      <c r="D79" s="220"/>
      <c r="E79" s="252"/>
      <c r="F79" s="254"/>
      <c r="G79" s="254"/>
      <c r="H79" s="254"/>
      <c r="I79" s="254"/>
      <c r="J79" s="254"/>
      <c r="K79" s="220"/>
      <c r="L79" s="254"/>
      <c r="M79" s="254"/>
      <c r="N79" s="252"/>
      <c r="O79" s="220"/>
      <c r="P79" s="220"/>
      <c r="Q79" s="220"/>
      <c r="R79" s="252"/>
    </row>
    <row r="80" spans="1:18" ht="12.75" customHeight="1" x14ac:dyDescent="0.25">
      <c r="A80" s="229"/>
      <c r="B80" s="229"/>
      <c r="C80" s="220"/>
      <c r="D80" s="220"/>
      <c r="E80" s="252"/>
      <c r="F80" s="254"/>
      <c r="G80" s="254"/>
      <c r="H80" s="254"/>
      <c r="I80" s="254"/>
      <c r="J80" s="254"/>
      <c r="K80" s="220"/>
      <c r="L80" s="254"/>
      <c r="M80" s="254"/>
      <c r="N80" s="252"/>
      <c r="O80" s="220"/>
      <c r="P80" s="220"/>
      <c r="Q80" s="220"/>
      <c r="R80" s="252"/>
    </row>
    <row r="81" spans="1:18" ht="12.75" customHeight="1" x14ac:dyDescent="0.25">
      <c r="A81" s="229"/>
      <c r="B81" s="229"/>
      <c r="C81" s="220"/>
      <c r="D81" s="220"/>
      <c r="E81" s="252"/>
      <c r="F81" s="254"/>
      <c r="G81" s="254"/>
      <c r="H81" s="254"/>
      <c r="I81" s="254"/>
      <c r="J81" s="254"/>
      <c r="K81" s="220"/>
      <c r="L81" s="254"/>
      <c r="M81" s="254"/>
      <c r="N81" s="252"/>
      <c r="O81" s="220"/>
      <c r="P81" s="220"/>
      <c r="Q81" s="220"/>
      <c r="R81" s="252"/>
    </row>
    <row r="82" spans="1:18" ht="12.75" customHeight="1" x14ac:dyDescent="0.25">
      <c r="A82" s="229"/>
      <c r="B82" s="229"/>
      <c r="C82" s="220"/>
      <c r="D82" s="220"/>
      <c r="E82" s="252"/>
      <c r="F82" s="254"/>
      <c r="G82" s="254"/>
      <c r="H82" s="254"/>
      <c r="I82" s="254"/>
      <c r="J82" s="254"/>
      <c r="K82" s="220"/>
      <c r="L82" s="254"/>
      <c r="M82" s="254"/>
      <c r="N82" s="252"/>
      <c r="O82" s="220"/>
      <c r="P82" s="220"/>
      <c r="Q82" s="220"/>
      <c r="R82" s="252"/>
    </row>
    <row r="83" spans="1:18" ht="12.75" customHeight="1" x14ac:dyDescent="0.25">
      <c r="A83" s="229"/>
      <c r="B83" s="229"/>
      <c r="C83" s="220"/>
      <c r="D83" s="220"/>
      <c r="E83" s="252"/>
      <c r="F83" s="254"/>
      <c r="G83" s="254"/>
      <c r="H83" s="254"/>
      <c r="I83" s="254"/>
      <c r="J83" s="254"/>
      <c r="K83" s="220"/>
      <c r="L83" s="254"/>
      <c r="M83" s="254"/>
      <c r="N83" s="252"/>
      <c r="O83" s="220"/>
      <c r="P83" s="220"/>
      <c r="Q83" s="220"/>
      <c r="R83" s="252"/>
    </row>
    <row r="84" spans="1:18" ht="12.75" customHeight="1" x14ac:dyDescent="0.25">
      <c r="A84" s="229"/>
      <c r="B84" s="229"/>
      <c r="C84" s="220"/>
      <c r="D84" s="220"/>
      <c r="E84" s="252"/>
      <c r="F84" s="254"/>
      <c r="G84" s="254"/>
      <c r="H84" s="254"/>
      <c r="I84" s="254"/>
      <c r="J84" s="254"/>
      <c r="K84" s="220"/>
      <c r="L84" s="254"/>
      <c r="M84" s="254"/>
      <c r="N84" s="252"/>
      <c r="O84" s="220"/>
      <c r="P84" s="220"/>
      <c r="Q84" s="220"/>
      <c r="R84" s="252"/>
    </row>
    <row r="85" spans="1:18" ht="12.75" customHeight="1" x14ac:dyDescent="0.25">
      <c r="A85" s="229"/>
      <c r="B85" s="229"/>
      <c r="C85" s="220"/>
      <c r="D85" s="220"/>
      <c r="E85" s="252"/>
      <c r="F85" s="254"/>
      <c r="G85" s="254"/>
      <c r="H85" s="254"/>
      <c r="I85" s="254"/>
      <c r="J85" s="254"/>
      <c r="K85" s="220"/>
      <c r="L85" s="254"/>
      <c r="M85" s="254"/>
      <c r="N85" s="252"/>
      <c r="O85" s="220"/>
      <c r="P85" s="220"/>
      <c r="Q85" s="220"/>
      <c r="R85" s="252"/>
    </row>
    <row r="86" spans="1:18" ht="12.75" customHeight="1" x14ac:dyDescent="0.25">
      <c r="A86" s="229"/>
      <c r="B86" s="229"/>
      <c r="C86" s="220"/>
      <c r="D86" s="220"/>
      <c r="E86" s="252"/>
      <c r="F86" s="254"/>
      <c r="G86" s="254"/>
      <c r="H86" s="254"/>
      <c r="I86" s="254"/>
      <c r="J86" s="254"/>
      <c r="K86" s="220"/>
      <c r="L86" s="254"/>
      <c r="M86" s="254"/>
      <c r="N86" s="252"/>
      <c r="O86" s="220"/>
      <c r="P86" s="220"/>
      <c r="Q86" s="220"/>
      <c r="R86" s="252"/>
    </row>
    <row r="87" spans="1:18" ht="12.75" customHeight="1" x14ac:dyDescent="0.25">
      <c r="A87" s="229"/>
      <c r="B87" s="229"/>
      <c r="C87" s="220"/>
      <c r="D87" s="220"/>
      <c r="E87" s="252"/>
      <c r="F87" s="254"/>
      <c r="G87" s="254"/>
      <c r="H87" s="254"/>
      <c r="I87" s="254"/>
      <c r="J87" s="254"/>
      <c r="K87" s="220"/>
      <c r="L87" s="254"/>
      <c r="M87" s="254"/>
      <c r="N87" s="252"/>
      <c r="O87" s="220"/>
      <c r="P87" s="220"/>
      <c r="Q87" s="220"/>
      <c r="R87" s="252"/>
    </row>
    <row r="88" spans="1:18" ht="12.75" customHeight="1" x14ac:dyDescent="0.25">
      <c r="A88" s="229"/>
      <c r="B88" s="229"/>
      <c r="C88" s="220"/>
      <c r="D88" s="220"/>
      <c r="E88" s="252"/>
      <c r="F88" s="254"/>
      <c r="G88" s="254"/>
      <c r="H88" s="254"/>
      <c r="I88" s="254"/>
      <c r="J88" s="254"/>
      <c r="K88" s="220"/>
      <c r="L88" s="254"/>
      <c r="M88" s="254"/>
      <c r="N88" s="252"/>
      <c r="O88" s="220"/>
      <c r="P88" s="220"/>
      <c r="Q88" s="220"/>
      <c r="R88" s="252"/>
    </row>
    <row r="89" spans="1:18" ht="12.75" customHeight="1" x14ac:dyDescent="0.25">
      <c r="A89" s="229"/>
      <c r="B89" s="229"/>
      <c r="C89" s="220"/>
      <c r="D89" s="220"/>
      <c r="E89" s="252"/>
      <c r="F89" s="254"/>
      <c r="G89" s="254"/>
      <c r="H89" s="254"/>
      <c r="I89" s="254"/>
      <c r="J89" s="254"/>
      <c r="K89" s="220"/>
      <c r="L89" s="254"/>
      <c r="M89" s="254"/>
      <c r="N89" s="252"/>
      <c r="O89" s="220"/>
      <c r="P89" s="220"/>
      <c r="Q89" s="220"/>
      <c r="R89" s="252"/>
    </row>
    <row r="90" spans="1:18" ht="12.75" customHeight="1" x14ac:dyDescent="0.25">
      <c r="A90" s="229"/>
      <c r="B90" s="229"/>
      <c r="C90" s="220"/>
      <c r="D90" s="220"/>
      <c r="E90" s="252"/>
      <c r="F90" s="254"/>
      <c r="G90" s="254"/>
      <c r="H90" s="254"/>
      <c r="I90" s="254"/>
      <c r="J90" s="254"/>
      <c r="K90" s="220"/>
      <c r="L90" s="254"/>
      <c r="M90" s="254"/>
      <c r="N90" s="252"/>
      <c r="O90" s="220"/>
      <c r="P90" s="220"/>
      <c r="Q90" s="220"/>
      <c r="R90" s="252"/>
    </row>
    <row r="91" spans="1:18" ht="12.75" customHeight="1" x14ac:dyDescent="0.25">
      <c r="A91" s="229"/>
      <c r="B91" s="229"/>
      <c r="C91" s="220"/>
      <c r="D91" s="220"/>
      <c r="E91" s="252"/>
      <c r="F91" s="254"/>
      <c r="G91" s="254"/>
      <c r="H91" s="254"/>
      <c r="I91" s="254"/>
      <c r="J91" s="254"/>
      <c r="K91" s="220"/>
      <c r="L91" s="254"/>
      <c r="M91" s="254"/>
      <c r="N91" s="252"/>
      <c r="O91" s="220"/>
      <c r="P91" s="220"/>
      <c r="Q91" s="220"/>
      <c r="R91" s="252"/>
    </row>
    <row r="92" spans="1:18" ht="12.75" customHeight="1" x14ac:dyDescent="0.25">
      <c r="A92" s="229"/>
      <c r="B92" s="229"/>
      <c r="C92" s="220"/>
      <c r="D92" s="220"/>
      <c r="E92" s="252"/>
      <c r="F92" s="254"/>
      <c r="G92" s="254"/>
      <c r="H92" s="254"/>
      <c r="I92" s="254"/>
      <c r="J92" s="254"/>
      <c r="K92" s="220"/>
      <c r="L92" s="254"/>
      <c r="M92" s="254"/>
      <c r="N92" s="252"/>
      <c r="O92" s="220"/>
      <c r="P92" s="220"/>
      <c r="Q92" s="220"/>
      <c r="R92" s="252"/>
    </row>
    <row r="93" spans="1:18" ht="12.75" customHeight="1" x14ac:dyDescent="0.25">
      <c r="A93" s="229"/>
      <c r="B93" s="229"/>
      <c r="C93" s="220"/>
      <c r="D93" s="220"/>
      <c r="E93" s="252"/>
      <c r="F93" s="254"/>
      <c r="G93" s="254"/>
      <c r="H93" s="254"/>
      <c r="I93" s="254"/>
      <c r="J93" s="254"/>
      <c r="K93" s="220"/>
      <c r="L93" s="254"/>
      <c r="M93" s="254"/>
      <c r="N93" s="252"/>
      <c r="O93" s="220"/>
      <c r="P93" s="220"/>
      <c r="Q93" s="220"/>
      <c r="R93" s="252"/>
    </row>
    <row r="94" spans="1:18" ht="12.75" customHeight="1" x14ac:dyDescent="0.25">
      <c r="A94" s="229"/>
      <c r="B94" s="229"/>
      <c r="C94" s="220"/>
      <c r="D94" s="220"/>
      <c r="E94" s="252"/>
      <c r="F94" s="254"/>
      <c r="G94" s="254"/>
      <c r="H94" s="254"/>
      <c r="I94" s="254"/>
      <c r="J94" s="254"/>
      <c r="K94" s="220"/>
      <c r="L94" s="254"/>
      <c r="M94" s="254"/>
      <c r="N94" s="252"/>
      <c r="O94" s="220"/>
      <c r="P94" s="220"/>
      <c r="Q94" s="220"/>
      <c r="R94" s="252"/>
    </row>
    <row r="95" spans="1:18" ht="12.75" customHeight="1" x14ac:dyDescent="0.25">
      <c r="A95" s="229"/>
      <c r="B95" s="229"/>
      <c r="C95" s="220"/>
      <c r="D95" s="220"/>
      <c r="E95" s="252"/>
      <c r="F95" s="254"/>
      <c r="G95" s="254"/>
      <c r="H95" s="254"/>
      <c r="I95" s="254"/>
      <c r="J95" s="254"/>
      <c r="K95" s="220"/>
      <c r="L95" s="254"/>
      <c r="M95" s="254"/>
      <c r="N95" s="252"/>
      <c r="O95" s="220"/>
      <c r="P95" s="220"/>
      <c r="Q95" s="220"/>
      <c r="R95" s="252"/>
    </row>
    <row r="96" spans="1:18" ht="12.75" customHeight="1" x14ac:dyDescent="0.25">
      <c r="A96" s="229"/>
      <c r="B96" s="229"/>
      <c r="C96" s="220"/>
      <c r="D96" s="220"/>
      <c r="E96" s="252"/>
      <c r="F96" s="254"/>
      <c r="G96" s="254"/>
      <c r="H96" s="254"/>
      <c r="I96" s="254"/>
      <c r="J96" s="254"/>
      <c r="K96" s="220"/>
      <c r="L96" s="254"/>
      <c r="M96" s="254"/>
      <c r="N96" s="252"/>
      <c r="O96" s="220"/>
      <c r="P96" s="220"/>
      <c r="Q96" s="220"/>
      <c r="R96" s="252"/>
    </row>
    <row r="97" spans="1:18" ht="12.75" customHeight="1" x14ac:dyDescent="0.25">
      <c r="A97" s="229"/>
      <c r="B97" s="229"/>
      <c r="C97" s="220"/>
      <c r="D97" s="220"/>
      <c r="E97" s="252"/>
      <c r="F97" s="254"/>
      <c r="G97" s="254"/>
      <c r="H97" s="254"/>
      <c r="I97" s="254"/>
      <c r="J97" s="254"/>
      <c r="K97" s="220"/>
      <c r="L97" s="254"/>
      <c r="M97" s="254"/>
      <c r="N97" s="252"/>
      <c r="O97" s="220"/>
      <c r="P97" s="220"/>
      <c r="Q97" s="220"/>
      <c r="R97" s="252"/>
    </row>
    <row r="98" spans="1:18" ht="12.75" customHeight="1" x14ac:dyDescent="0.25">
      <c r="A98" s="229"/>
      <c r="B98" s="229"/>
      <c r="C98" s="220"/>
      <c r="D98" s="220"/>
      <c r="E98" s="252"/>
      <c r="F98" s="254"/>
      <c r="G98" s="254"/>
      <c r="H98" s="254"/>
      <c r="I98" s="254"/>
      <c r="J98" s="254"/>
      <c r="K98" s="220"/>
      <c r="L98" s="254"/>
      <c r="M98" s="254"/>
      <c r="N98" s="252"/>
      <c r="O98" s="220"/>
      <c r="P98" s="220"/>
      <c r="Q98" s="220"/>
      <c r="R98" s="252"/>
    </row>
    <row r="99" spans="1:18" ht="12.75" customHeight="1" x14ac:dyDescent="0.25">
      <c r="A99" s="229"/>
      <c r="B99" s="229"/>
      <c r="C99" s="220"/>
      <c r="D99" s="220"/>
      <c r="E99" s="252"/>
      <c r="F99" s="254"/>
      <c r="G99" s="254"/>
      <c r="H99" s="254"/>
      <c r="I99" s="254"/>
      <c r="J99" s="254"/>
      <c r="K99" s="220"/>
      <c r="L99" s="254"/>
      <c r="M99" s="254"/>
      <c r="N99" s="252"/>
      <c r="O99" s="220"/>
      <c r="P99" s="220"/>
      <c r="Q99" s="220"/>
      <c r="R99" s="252"/>
    </row>
    <row r="100" spans="1:18" ht="12.75" customHeight="1" x14ac:dyDescent="0.25">
      <c r="A100" s="229"/>
      <c r="B100" s="229"/>
      <c r="C100" s="220"/>
      <c r="D100" s="220"/>
      <c r="E100" s="252"/>
      <c r="F100" s="254"/>
      <c r="G100" s="254"/>
      <c r="H100" s="254"/>
      <c r="I100" s="254"/>
      <c r="J100" s="254"/>
      <c r="K100" s="220"/>
      <c r="L100" s="254"/>
      <c r="M100" s="254"/>
      <c r="N100" s="252"/>
      <c r="O100" s="220"/>
      <c r="P100" s="220"/>
      <c r="Q100" s="220"/>
      <c r="R100" s="252"/>
    </row>
    <row r="101" spans="1:18" ht="12.75" customHeight="1" x14ac:dyDescent="0.25">
      <c r="A101" s="229"/>
      <c r="B101" s="229"/>
      <c r="C101" s="220"/>
      <c r="D101" s="220"/>
      <c r="E101" s="252"/>
      <c r="F101" s="254"/>
      <c r="G101" s="254"/>
      <c r="H101" s="254"/>
      <c r="I101" s="254"/>
      <c r="J101" s="254"/>
      <c r="K101" s="220"/>
      <c r="L101" s="254"/>
      <c r="M101" s="254"/>
      <c r="N101" s="252"/>
      <c r="O101" s="220"/>
      <c r="P101" s="220"/>
      <c r="Q101" s="220"/>
      <c r="R101" s="252"/>
    </row>
    <row r="102" spans="1:18" ht="12.75" customHeight="1" x14ac:dyDescent="0.25">
      <c r="A102" s="229"/>
      <c r="B102" s="229"/>
      <c r="C102" s="220"/>
      <c r="D102" s="220"/>
      <c r="E102" s="252"/>
      <c r="F102" s="254"/>
      <c r="G102" s="254"/>
      <c r="H102" s="254"/>
      <c r="I102" s="254"/>
      <c r="J102" s="254"/>
      <c r="K102" s="220"/>
      <c r="L102" s="254"/>
      <c r="M102" s="254"/>
      <c r="N102" s="252"/>
      <c r="O102" s="220"/>
      <c r="P102" s="220"/>
      <c r="Q102" s="220"/>
      <c r="R102" s="252"/>
    </row>
    <row r="103" spans="1:18" ht="12.75" customHeight="1" x14ac:dyDescent="0.25">
      <c r="A103" s="229"/>
      <c r="B103" s="229"/>
      <c r="C103" s="220"/>
      <c r="D103" s="220"/>
      <c r="E103" s="252"/>
      <c r="F103" s="254"/>
      <c r="G103" s="254"/>
      <c r="H103" s="254"/>
      <c r="I103" s="254"/>
      <c r="J103" s="254"/>
      <c r="K103" s="220"/>
      <c r="L103" s="254"/>
      <c r="M103" s="254"/>
      <c r="N103" s="252"/>
      <c r="O103" s="220"/>
      <c r="P103" s="220"/>
      <c r="Q103" s="220"/>
      <c r="R103" s="252"/>
    </row>
    <row r="104" spans="1:18" ht="12.75" customHeight="1" x14ac:dyDescent="0.25">
      <c r="A104" s="229"/>
      <c r="B104" s="229"/>
      <c r="C104" s="220"/>
      <c r="D104" s="220"/>
      <c r="E104" s="252"/>
      <c r="F104" s="254"/>
      <c r="G104" s="254"/>
      <c r="H104" s="254"/>
      <c r="I104" s="254"/>
      <c r="J104" s="254"/>
      <c r="K104" s="220"/>
      <c r="L104" s="254"/>
      <c r="M104" s="254"/>
      <c r="N104" s="252"/>
      <c r="O104" s="220"/>
      <c r="P104" s="220"/>
      <c r="Q104" s="220"/>
      <c r="R104" s="252"/>
    </row>
    <row r="105" spans="1:18" ht="12.75" customHeight="1" x14ac:dyDescent="0.25">
      <c r="A105" s="229"/>
      <c r="B105" s="229"/>
      <c r="C105" s="220"/>
      <c r="D105" s="220"/>
      <c r="E105" s="252"/>
      <c r="F105" s="254"/>
      <c r="G105" s="254"/>
      <c r="H105" s="254"/>
      <c r="I105" s="254"/>
      <c r="J105" s="254"/>
      <c r="K105" s="220"/>
      <c r="L105" s="254"/>
      <c r="M105" s="254"/>
      <c r="N105" s="252"/>
      <c r="O105" s="220"/>
      <c r="P105" s="220"/>
      <c r="Q105" s="220"/>
      <c r="R105" s="252"/>
    </row>
    <row r="106" spans="1:18" ht="12.75" customHeight="1" x14ac:dyDescent="0.25">
      <c r="A106" s="229"/>
      <c r="B106" s="229"/>
      <c r="C106" s="220"/>
      <c r="D106" s="220"/>
      <c r="E106" s="252"/>
      <c r="F106" s="254"/>
      <c r="G106" s="254"/>
      <c r="H106" s="254"/>
      <c r="I106" s="254"/>
      <c r="J106" s="254"/>
      <c r="K106" s="220"/>
      <c r="L106" s="254"/>
      <c r="M106" s="254"/>
      <c r="N106" s="252"/>
      <c r="O106" s="220"/>
      <c r="P106" s="220"/>
      <c r="Q106" s="220"/>
      <c r="R106" s="252"/>
    </row>
    <row r="107" spans="1:18" ht="12.75" customHeight="1" x14ac:dyDescent="0.25">
      <c r="A107" s="229"/>
      <c r="B107" s="229"/>
      <c r="C107" s="220"/>
      <c r="D107" s="220"/>
      <c r="E107" s="252"/>
      <c r="F107" s="254"/>
      <c r="G107" s="254"/>
      <c r="H107" s="254"/>
      <c r="I107" s="254"/>
      <c r="J107" s="254"/>
      <c r="K107" s="220"/>
      <c r="L107" s="254"/>
      <c r="M107" s="254"/>
      <c r="N107" s="252"/>
      <c r="O107" s="220"/>
      <c r="P107" s="220"/>
      <c r="Q107" s="220"/>
      <c r="R107" s="252"/>
    </row>
    <row r="108" spans="1:18" ht="12.75" customHeight="1" x14ac:dyDescent="0.25">
      <c r="A108" s="229"/>
      <c r="B108" s="229"/>
      <c r="C108" s="220"/>
      <c r="D108" s="220"/>
      <c r="E108" s="252"/>
      <c r="F108" s="254"/>
      <c r="G108" s="254"/>
      <c r="H108" s="254"/>
      <c r="I108" s="254"/>
      <c r="J108" s="254"/>
      <c r="K108" s="220"/>
      <c r="L108" s="254"/>
      <c r="M108" s="254"/>
      <c r="N108" s="252"/>
      <c r="O108" s="220"/>
      <c r="P108" s="220"/>
      <c r="Q108" s="220"/>
      <c r="R108" s="252"/>
    </row>
    <row r="109" spans="1:18" ht="12.75" customHeight="1" x14ac:dyDescent="0.25">
      <c r="A109" s="229"/>
      <c r="B109" s="229"/>
      <c r="C109" s="220"/>
      <c r="D109" s="220"/>
      <c r="E109" s="252"/>
      <c r="F109" s="254"/>
      <c r="G109" s="254"/>
      <c r="H109" s="254"/>
      <c r="I109" s="254"/>
      <c r="J109" s="254"/>
      <c r="K109" s="220"/>
      <c r="L109" s="254"/>
      <c r="M109" s="254"/>
      <c r="N109" s="252"/>
      <c r="O109" s="220"/>
      <c r="P109" s="220"/>
      <c r="Q109" s="220"/>
      <c r="R109" s="252"/>
    </row>
    <row r="110" spans="1:18" ht="12.75" customHeight="1" x14ac:dyDescent="0.25">
      <c r="A110" s="229"/>
      <c r="B110" s="229"/>
      <c r="C110" s="220"/>
      <c r="D110" s="220"/>
      <c r="E110" s="252"/>
      <c r="F110" s="254"/>
      <c r="G110" s="254"/>
      <c r="H110" s="254"/>
      <c r="I110" s="254"/>
      <c r="J110" s="254"/>
      <c r="K110" s="220"/>
      <c r="L110" s="254"/>
      <c r="M110" s="254"/>
      <c r="N110" s="252"/>
      <c r="O110" s="220"/>
      <c r="P110" s="220"/>
      <c r="Q110" s="220"/>
      <c r="R110" s="252"/>
    </row>
    <row r="111" spans="1:18" ht="12.75" customHeight="1" x14ac:dyDescent="0.25">
      <c r="A111" s="229"/>
      <c r="B111" s="229"/>
      <c r="C111" s="220"/>
      <c r="D111" s="220"/>
      <c r="E111" s="252"/>
      <c r="F111" s="254"/>
      <c r="G111" s="254"/>
      <c r="H111" s="254"/>
      <c r="I111" s="254"/>
      <c r="J111" s="254"/>
      <c r="K111" s="220"/>
      <c r="L111" s="254"/>
      <c r="M111" s="254"/>
      <c r="N111" s="252"/>
      <c r="O111" s="220"/>
      <c r="P111" s="220"/>
      <c r="Q111" s="220"/>
      <c r="R111" s="252"/>
    </row>
    <row r="112" spans="1:18" ht="12.75" customHeight="1" x14ac:dyDescent="0.25">
      <c r="A112" s="229"/>
      <c r="B112" s="229"/>
      <c r="C112" s="220"/>
      <c r="D112" s="220"/>
      <c r="E112" s="252"/>
      <c r="F112" s="254"/>
      <c r="G112" s="254"/>
      <c r="H112" s="254"/>
      <c r="I112" s="254"/>
      <c r="J112" s="254"/>
      <c r="K112" s="220"/>
      <c r="L112" s="254"/>
      <c r="M112" s="254"/>
      <c r="N112" s="252"/>
      <c r="O112" s="220"/>
      <c r="P112" s="220"/>
      <c r="Q112" s="220"/>
      <c r="R112" s="252"/>
    </row>
    <row r="113" spans="1:18" ht="12.75" customHeight="1" x14ac:dyDescent="0.25">
      <c r="A113" s="229"/>
      <c r="B113" s="229"/>
      <c r="C113" s="220"/>
      <c r="D113" s="220"/>
      <c r="E113" s="252"/>
      <c r="F113" s="254"/>
      <c r="G113" s="254"/>
      <c r="H113" s="254"/>
      <c r="I113" s="254"/>
      <c r="J113" s="254"/>
      <c r="K113" s="220"/>
      <c r="L113" s="254"/>
      <c r="M113" s="254"/>
      <c r="N113" s="252"/>
      <c r="O113" s="220"/>
      <c r="P113" s="220"/>
      <c r="Q113" s="220"/>
      <c r="R113" s="252"/>
    </row>
    <row r="114" spans="1:18" ht="12.75" customHeight="1" x14ac:dyDescent="0.25">
      <c r="A114" s="229"/>
      <c r="B114" s="229"/>
      <c r="C114" s="220"/>
      <c r="D114" s="220"/>
      <c r="E114" s="252"/>
      <c r="F114" s="254"/>
      <c r="G114" s="254"/>
      <c r="H114" s="254"/>
      <c r="I114" s="254"/>
      <c r="J114" s="254"/>
      <c r="K114" s="220"/>
      <c r="L114" s="254"/>
      <c r="M114" s="254"/>
      <c r="N114" s="252"/>
      <c r="O114" s="220"/>
      <c r="P114" s="220"/>
      <c r="Q114" s="220"/>
      <c r="R114" s="252"/>
    </row>
    <row r="115" spans="1:18" ht="12.75" customHeight="1" x14ac:dyDescent="0.25">
      <c r="A115" s="229"/>
      <c r="B115" s="229"/>
      <c r="C115" s="220"/>
      <c r="D115" s="220"/>
      <c r="E115" s="252"/>
      <c r="F115" s="254"/>
      <c r="G115" s="254"/>
      <c r="H115" s="254"/>
      <c r="I115" s="254"/>
      <c r="J115" s="254"/>
      <c r="K115" s="220"/>
      <c r="L115" s="254"/>
      <c r="M115" s="254"/>
      <c r="N115" s="252"/>
      <c r="O115" s="220"/>
      <c r="P115" s="220"/>
      <c r="Q115" s="220"/>
      <c r="R115" s="252"/>
    </row>
    <row r="116" spans="1:18" ht="12.75" customHeight="1" x14ac:dyDescent="0.25">
      <c r="A116" s="229"/>
      <c r="B116" s="229"/>
      <c r="C116" s="220"/>
      <c r="D116" s="220"/>
      <c r="E116" s="252"/>
      <c r="F116" s="254"/>
      <c r="G116" s="254"/>
      <c r="H116" s="254"/>
      <c r="I116" s="254"/>
      <c r="J116" s="254"/>
      <c r="K116" s="220"/>
      <c r="L116" s="254"/>
      <c r="M116" s="254"/>
      <c r="N116" s="252"/>
      <c r="O116" s="220"/>
      <c r="P116" s="220"/>
      <c r="Q116" s="220"/>
      <c r="R116" s="252"/>
    </row>
    <row r="117" spans="1:18" ht="12.75" customHeight="1" x14ac:dyDescent="0.25">
      <c r="A117" s="229"/>
      <c r="B117" s="229"/>
      <c r="C117" s="220"/>
      <c r="D117" s="220"/>
      <c r="E117" s="252"/>
      <c r="F117" s="254"/>
      <c r="G117" s="254"/>
      <c r="H117" s="254"/>
      <c r="I117" s="254"/>
      <c r="J117" s="254"/>
      <c r="K117" s="220"/>
      <c r="L117" s="254"/>
      <c r="M117" s="254"/>
      <c r="N117" s="252"/>
      <c r="O117" s="220"/>
      <c r="P117" s="220"/>
      <c r="Q117" s="220"/>
      <c r="R117" s="252"/>
    </row>
    <row r="118" spans="1:18" ht="12.75" customHeight="1" x14ac:dyDescent="0.25">
      <c r="A118" s="229"/>
      <c r="B118" s="229"/>
      <c r="C118" s="220"/>
      <c r="D118" s="220"/>
      <c r="E118" s="252"/>
      <c r="F118" s="254"/>
      <c r="G118" s="254"/>
      <c r="H118" s="254"/>
      <c r="I118" s="254"/>
      <c r="J118" s="254"/>
      <c r="K118" s="220"/>
      <c r="L118" s="254"/>
      <c r="M118" s="254"/>
      <c r="N118" s="252"/>
      <c r="O118" s="220"/>
      <c r="P118" s="220"/>
      <c r="Q118" s="220"/>
      <c r="R118" s="252"/>
    </row>
    <row r="119" spans="1:18" ht="12.75" customHeight="1" x14ac:dyDescent="0.25">
      <c r="A119" s="229"/>
      <c r="B119" s="229"/>
      <c r="C119" s="220"/>
      <c r="D119" s="220"/>
      <c r="E119" s="252"/>
      <c r="F119" s="254"/>
      <c r="G119" s="254"/>
      <c r="H119" s="254"/>
      <c r="I119" s="254"/>
      <c r="J119" s="254"/>
      <c r="K119" s="220"/>
      <c r="L119" s="254"/>
      <c r="M119" s="254"/>
      <c r="N119" s="252"/>
      <c r="O119" s="220"/>
      <c r="P119" s="220"/>
      <c r="Q119" s="220"/>
      <c r="R119" s="252"/>
    </row>
    <row r="120" spans="1:18" ht="12.75" customHeight="1" x14ac:dyDescent="0.25">
      <c r="A120" s="229"/>
      <c r="B120" s="229"/>
      <c r="C120" s="220"/>
      <c r="D120" s="220"/>
      <c r="E120" s="252"/>
      <c r="F120" s="254"/>
      <c r="G120" s="254"/>
      <c r="H120" s="254"/>
      <c r="I120" s="254"/>
      <c r="J120" s="254"/>
      <c r="K120" s="220"/>
      <c r="L120" s="254"/>
      <c r="M120" s="254"/>
      <c r="N120" s="252"/>
      <c r="O120" s="220"/>
      <c r="P120" s="220"/>
      <c r="Q120" s="220"/>
      <c r="R120" s="252"/>
    </row>
    <row r="121" spans="1:18" ht="12.75" customHeight="1" x14ac:dyDescent="0.25">
      <c r="A121" s="229"/>
      <c r="B121" s="229"/>
      <c r="C121" s="220"/>
      <c r="D121" s="220"/>
      <c r="E121" s="252"/>
      <c r="F121" s="254"/>
      <c r="G121" s="254"/>
      <c r="H121" s="254"/>
      <c r="I121" s="254"/>
      <c r="J121" s="254"/>
      <c r="K121" s="220"/>
      <c r="L121" s="254"/>
      <c r="M121" s="254"/>
      <c r="N121" s="252"/>
      <c r="O121" s="220"/>
      <c r="P121" s="220"/>
      <c r="Q121" s="220"/>
      <c r="R121" s="252"/>
    </row>
    <row r="122" spans="1:18" ht="12.75" customHeight="1" x14ac:dyDescent="0.25">
      <c r="A122" s="229"/>
      <c r="B122" s="229"/>
      <c r="C122" s="220"/>
      <c r="D122" s="220"/>
      <c r="E122" s="252"/>
      <c r="F122" s="254"/>
      <c r="G122" s="254"/>
      <c r="H122" s="254"/>
      <c r="I122" s="254"/>
      <c r="J122" s="254"/>
      <c r="K122" s="220"/>
      <c r="L122" s="254"/>
      <c r="M122" s="254"/>
      <c r="N122" s="252"/>
      <c r="O122" s="220"/>
      <c r="P122" s="220"/>
      <c r="Q122" s="220"/>
      <c r="R122" s="252"/>
    </row>
    <row r="123" spans="1:18" ht="12.75" customHeight="1" x14ac:dyDescent="0.25">
      <c r="A123" s="229"/>
      <c r="B123" s="229"/>
      <c r="C123" s="220"/>
      <c r="D123" s="220"/>
      <c r="E123" s="252"/>
      <c r="F123" s="254"/>
      <c r="G123" s="254"/>
      <c r="H123" s="254"/>
      <c r="I123" s="254"/>
      <c r="J123" s="254"/>
      <c r="K123" s="220"/>
      <c r="L123" s="254"/>
      <c r="M123" s="254"/>
      <c r="N123" s="252"/>
      <c r="O123" s="220"/>
      <c r="P123" s="220"/>
      <c r="Q123" s="220"/>
      <c r="R123" s="252"/>
    </row>
    <row r="124" spans="1:18" ht="12.75" customHeight="1" x14ac:dyDescent="0.25">
      <c r="A124" s="229"/>
      <c r="B124" s="229"/>
      <c r="C124" s="220"/>
      <c r="D124" s="220"/>
      <c r="E124" s="252"/>
      <c r="F124" s="254"/>
      <c r="G124" s="254"/>
      <c r="H124" s="254"/>
      <c r="I124" s="254"/>
      <c r="J124" s="254"/>
      <c r="K124" s="220"/>
      <c r="L124" s="254"/>
      <c r="M124" s="254"/>
      <c r="N124" s="252"/>
      <c r="O124" s="220"/>
      <c r="P124" s="220"/>
      <c r="Q124" s="220"/>
      <c r="R124" s="252"/>
    </row>
    <row r="125" spans="1:18" ht="12.75" customHeight="1" x14ac:dyDescent="0.25">
      <c r="A125" s="229"/>
      <c r="B125" s="229"/>
      <c r="C125" s="220"/>
      <c r="D125" s="220"/>
      <c r="E125" s="252"/>
      <c r="F125" s="254"/>
      <c r="G125" s="254"/>
      <c r="H125" s="254"/>
      <c r="I125" s="254"/>
      <c r="J125" s="254"/>
      <c r="K125" s="220"/>
      <c r="L125" s="254"/>
      <c r="M125" s="254"/>
      <c r="N125" s="252"/>
      <c r="O125" s="220"/>
      <c r="P125" s="220"/>
      <c r="Q125" s="220"/>
      <c r="R125" s="252"/>
    </row>
    <row r="126" spans="1:18" ht="12.75" customHeight="1" x14ac:dyDescent="0.25">
      <c r="A126" s="229"/>
      <c r="B126" s="229"/>
      <c r="C126" s="220"/>
      <c r="D126" s="220"/>
      <c r="E126" s="252"/>
      <c r="F126" s="254"/>
      <c r="G126" s="254"/>
      <c r="H126" s="254"/>
      <c r="I126" s="254"/>
      <c r="J126" s="254"/>
      <c r="K126" s="220"/>
      <c r="L126" s="254"/>
      <c r="M126" s="254"/>
      <c r="N126" s="252"/>
      <c r="O126" s="220"/>
      <c r="P126" s="220"/>
      <c r="Q126" s="220"/>
      <c r="R126" s="252"/>
    </row>
    <row r="127" spans="1:18" ht="12.75" customHeight="1" x14ac:dyDescent="0.25">
      <c r="A127" s="229"/>
      <c r="B127" s="229"/>
      <c r="C127" s="220"/>
      <c r="D127" s="220"/>
      <c r="E127" s="252"/>
      <c r="F127" s="254"/>
      <c r="G127" s="254"/>
      <c r="H127" s="254"/>
      <c r="I127" s="254"/>
      <c r="J127" s="254"/>
      <c r="K127" s="220"/>
      <c r="L127" s="254"/>
      <c r="M127" s="254"/>
      <c r="N127" s="252"/>
      <c r="O127" s="220"/>
      <c r="P127" s="220"/>
      <c r="Q127" s="220"/>
      <c r="R127" s="252"/>
    </row>
    <row r="128" spans="1:18" ht="12.75" customHeight="1" x14ac:dyDescent="0.25">
      <c r="A128" s="229"/>
      <c r="B128" s="229"/>
      <c r="C128" s="220"/>
      <c r="D128" s="220"/>
      <c r="E128" s="252"/>
      <c r="F128" s="254"/>
      <c r="G128" s="254"/>
      <c r="H128" s="254"/>
      <c r="I128" s="254"/>
      <c r="J128" s="254"/>
      <c r="K128" s="220"/>
      <c r="L128" s="254"/>
      <c r="M128" s="254"/>
      <c r="N128" s="252"/>
      <c r="O128" s="220"/>
      <c r="P128" s="220"/>
      <c r="Q128" s="220"/>
      <c r="R128" s="252"/>
    </row>
    <row r="129" spans="1:18" ht="12.75" customHeight="1" x14ac:dyDescent="0.25">
      <c r="A129" s="229"/>
      <c r="B129" s="229"/>
      <c r="C129" s="220"/>
      <c r="D129" s="220"/>
      <c r="E129" s="252"/>
      <c r="F129" s="254"/>
      <c r="G129" s="254"/>
      <c r="H129" s="254"/>
      <c r="I129" s="254"/>
      <c r="J129" s="254"/>
      <c r="K129" s="220"/>
      <c r="L129" s="254"/>
      <c r="M129" s="254"/>
      <c r="N129" s="252"/>
      <c r="O129" s="220"/>
      <c r="P129" s="220"/>
      <c r="Q129" s="220"/>
      <c r="R129" s="252"/>
    </row>
    <row r="130" spans="1:18" ht="12.75" customHeight="1" x14ac:dyDescent="0.25">
      <c r="A130" s="229"/>
      <c r="B130" s="229"/>
      <c r="C130" s="220"/>
      <c r="D130" s="220"/>
      <c r="E130" s="252"/>
      <c r="F130" s="254"/>
      <c r="G130" s="254"/>
      <c r="H130" s="254"/>
      <c r="I130" s="254"/>
      <c r="J130" s="254"/>
      <c r="K130" s="220"/>
      <c r="L130" s="254"/>
      <c r="M130" s="254"/>
      <c r="N130" s="252"/>
      <c r="O130" s="220"/>
      <c r="P130" s="220"/>
      <c r="Q130" s="220"/>
      <c r="R130" s="252"/>
    </row>
    <row r="131" spans="1:18" ht="12.75" customHeight="1" x14ac:dyDescent="0.25">
      <c r="A131" s="229"/>
      <c r="B131" s="229"/>
      <c r="C131" s="220"/>
      <c r="D131" s="220"/>
      <c r="E131" s="252"/>
      <c r="F131" s="254"/>
      <c r="G131" s="254"/>
      <c r="H131" s="254"/>
      <c r="I131" s="254"/>
      <c r="J131" s="254"/>
      <c r="K131" s="220"/>
      <c r="L131" s="254"/>
      <c r="M131" s="254"/>
      <c r="N131" s="252"/>
      <c r="O131" s="220"/>
      <c r="P131" s="220"/>
      <c r="Q131" s="220"/>
      <c r="R131" s="252"/>
    </row>
    <row r="132" spans="1:18" ht="12.75" customHeight="1" x14ac:dyDescent="0.25">
      <c r="A132" s="229"/>
      <c r="B132" s="229"/>
      <c r="C132" s="220"/>
      <c r="D132" s="220"/>
      <c r="E132" s="252"/>
      <c r="F132" s="254"/>
      <c r="G132" s="254"/>
      <c r="H132" s="254"/>
      <c r="I132" s="254"/>
      <c r="J132" s="254"/>
      <c r="K132" s="220"/>
      <c r="L132" s="254"/>
      <c r="M132" s="254"/>
      <c r="N132" s="252"/>
      <c r="O132" s="220"/>
      <c r="P132" s="220"/>
      <c r="Q132" s="220"/>
      <c r="R132" s="252"/>
    </row>
    <row r="133" spans="1:18" ht="12.75" customHeight="1" x14ac:dyDescent="0.25">
      <c r="A133" s="229"/>
      <c r="B133" s="229"/>
      <c r="C133" s="220"/>
      <c r="D133" s="220"/>
      <c r="E133" s="252"/>
      <c r="F133" s="254"/>
      <c r="G133" s="254"/>
      <c r="H133" s="254"/>
      <c r="I133" s="254"/>
      <c r="J133" s="254"/>
      <c r="K133" s="220"/>
      <c r="L133" s="254"/>
      <c r="M133" s="254"/>
      <c r="N133" s="252"/>
      <c r="O133" s="220"/>
      <c r="P133" s="220"/>
      <c r="Q133" s="220"/>
      <c r="R133" s="252"/>
    </row>
    <row r="134" spans="1:18" ht="12.75" customHeight="1" x14ac:dyDescent="0.25">
      <c r="A134" s="229"/>
      <c r="B134" s="229"/>
      <c r="C134" s="220"/>
      <c r="D134" s="220"/>
      <c r="E134" s="252"/>
      <c r="F134" s="254"/>
      <c r="G134" s="254"/>
      <c r="H134" s="254"/>
      <c r="I134" s="254"/>
      <c r="J134" s="254"/>
      <c r="K134" s="220"/>
      <c r="L134" s="254"/>
      <c r="M134" s="254"/>
      <c r="N134" s="252"/>
      <c r="O134" s="220"/>
      <c r="P134" s="220"/>
      <c r="Q134" s="220"/>
      <c r="R134" s="252"/>
    </row>
    <row r="135" spans="1:18" ht="12.75" customHeight="1" x14ac:dyDescent="0.25">
      <c r="A135" s="229"/>
      <c r="B135" s="229"/>
      <c r="C135" s="220"/>
      <c r="D135" s="220"/>
      <c r="E135" s="252"/>
      <c r="F135" s="254"/>
      <c r="G135" s="254"/>
      <c r="H135" s="254"/>
      <c r="I135" s="254"/>
      <c r="J135" s="254"/>
      <c r="K135" s="220"/>
      <c r="L135" s="254"/>
      <c r="M135" s="254"/>
      <c r="N135" s="252"/>
      <c r="O135" s="220"/>
      <c r="P135" s="220"/>
      <c r="Q135" s="220"/>
      <c r="R135" s="252"/>
    </row>
    <row r="136" spans="1:18" ht="12.75" customHeight="1" x14ac:dyDescent="0.25">
      <c r="A136" s="229"/>
      <c r="B136" s="229"/>
      <c r="C136" s="220"/>
      <c r="D136" s="220"/>
      <c r="E136" s="252"/>
      <c r="F136" s="254"/>
      <c r="G136" s="254"/>
      <c r="H136" s="254"/>
      <c r="I136" s="254"/>
      <c r="J136" s="254"/>
      <c r="K136" s="220"/>
      <c r="L136" s="254"/>
      <c r="M136" s="254"/>
      <c r="N136" s="252"/>
      <c r="O136" s="220"/>
      <c r="P136" s="220"/>
      <c r="Q136" s="220"/>
      <c r="R136" s="252"/>
    </row>
    <row r="137" spans="1:18" ht="12.75" customHeight="1" x14ac:dyDescent="0.25">
      <c r="A137" s="229"/>
      <c r="B137" s="229"/>
      <c r="C137" s="220"/>
      <c r="D137" s="220"/>
      <c r="E137" s="252"/>
      <c r="F137" s="254"/>
      <c r="G137" s="254"/>
      <c r="H137" s="254"/>
      <c r="I137" s="254"/>
      <c r="J137" s="254"/>
      <c r="K137" s="220"/>
      <c r="L137" s="254"/>
      <c r="M137" s="254"/>
      <c r="N137" s="252"/>
      <c r="O137" s="220"/>
      <c r="P137" s="220"/>
      <c r="Q137" s="220"/>
      <c r="R137" s="252"/>
    </row>
    <row r="138" spans="1:18" ht="12.75" customHeight="1" x14ac:dyDescent="0.25">
      <c r="A138" s="229"/>
      <c r="B138" s="229"/>
      <c r="C138" s="220"/>
      <c r="D138" s="220"/>
      <c r="E138" s="252"/>
      <c r="F138" s="254"/>
      <c r="G138" s="254"/>
      <c r="H138" s="254"/>
      <c r="I138" s="254"/>
      <c r="J138" s="254"/>
      <c r="K138" s="220"/>
      <c r="L138" s="254"/>
      <c r="M138" s="254"/>
      <c r="N138" s="252"/>
      <c r="O138" s="220"/>
      <c r="P138" s="220"/>
      <c r="Q138" s="220"/>
      <c r="R138" s="252"/>
    </row>
    <row r="139" spans="1:18" ht="12.75" customHeight="1" x14ac:dyDescent="0.25">
      <c r="A139" s="229"/>
      <c r="B139" s="229"/>
      <c r="C139" s="220"/>
      <c r="D139" s="220"/>
      <c r="E139" s="252"/>
      <c r="F139" s="254"/>
      <c r="G139" s="254"/>
      <c r="H139" s="254"/>
      <c r="I139" s="254"/>
      <c r="J139" s="254"/>
      <c r="K139" s="220"/>
      <c r="L139" s="254"/>
      <c r="M139" s="254"/>
      <c r="N139" s="252"/>
      <c r="O139" s="220"/>
      <c r="P139" s="220"/>
      <c r="Q139" s="220"/>
      <c r="R139" s="252"/>
    </row>
    <row r="140" spans="1:18" ht="12.75" customHeight="1" x14ac:dyDescent="0.25">
      <c r="A140" s="229"/>
      <c r="B140" s="229"/>
      <c r="C140" s="220"/>
      <c r="D140" s="220"/>
      <c r="E140" s="252"/>
      <c r="F140" s="254"/>
      <c r="G140" s="254"/>
      <c r="H140" s="254"/>
      <c r="I140" s="254"/>
      <c r="J140" s="254"/>
      <c r="K140" s="220"/>
      <c r="L140" s="254"/>
      <c r="M140" s="254"/>
      <c r="N140" s="252"/>
      <c r="O140" s="220"/>
      <c r="P140" s="220"/>
      <c r="Q140" s="220"/>
      <c r="R140" s="252"/>
    </row>
    <row r="141" spans="1:18" ht="12.75" customHeight="1" x14ac:dyDescent="0.25">
      <c r="A141" s="229"/>
      <c r="B141" s="229"/>
      <c r="C141" s="220"/>
      <c r="D141" s="220"/>
      <c r="E141" s="252"/>
      <c r="F141" s="254"/>
      <c r="G141" s="254"/>
      <c r="H141" s="254"/>
      <c r="I141" s="254"/>
      <c r="J141" s="254"/>
      <c r="K141" s="220"/>
      <c r="L141" s="254"/>
      <c r="M141" s="254"/>
      <c r="N141" s="252"/>
      <c r="O141" s="220"/>
      <c r="P141" s="220"/>
      <c r="Q141" s="220"/>
      <c r="R141" s="252"/>
    </row>
    <row r="142" spans="1:18" ht="12.75" customHeight="1" x14ac:dyDescent="0.25">
      <c r="A142" s="229"/>
      <c r="B142" s="229"/>
      <c r="C142" s="220"/>
      <c r="D142" s="220"/>
      <c r="E142" s="252"/>
      <c r="F142" s="254"/>
      <c r="G142" s="254"/>
      <c r="H142" s="254"/>
      <c r="I142" s="254"/>
      <c r="J142" s="254"/>
      <c r="K142" s="220"/>
      <c r="L142" s="254"/>
      <c r="M142" s="254"/>
      <c r="N142" s="252"/>
      <c r="O142" s="220"/>
      <c r="P142" s="220"/>
      <c r="Q142" s="220"/>
      <c r="R142" s="252"/>
    </row>
    <row r="143" spans="1:18" ht="12.75" customHeight="1" x14ac:dyDescent="0.25">
      <c r="A143" s="229"/>
      <c r="B143" s="229"/>
      <c r="C143" s="220"/>
      <c r="D143" s="220"/>
      <c r="E143" s="252"/>
      <c r="F143" s="254"/>
      <c r="G143" s="254"/>
      <c r="H143" s="254"/>
      <c r="I143" s="254"/>
      <c r="J143" s="254"/>
      <c r="K143" s="220"/>
      <c r="L143" s="254"/>
      <c r="M143" s="254"/>
      <c r="N143" s="252"/>
      <c r="O143" s="220"/>
      <c r="P143" s="220"/>
      <c r="Q143" s="220"/>
      <c r="R143" s="252"/>
    </row>
    <row r="144" spans="1:18" ht="12.75" customHeight="1" x14ac:dyDescent="0.25">
      <c r="A144" s="229"/>
      <c r="B144" s="229"/>
      <c r="C144" s="220"/>
      <c r="D144" s="220"/>
      <c r="E144" s="252"/>
      <c r="F144" s="254"/>
      <c r="G144" s="254"/>
      <c r="H144" s="254"/>
      <c r="I144" s="254"/>
      <c r="J144" s="254"/>
      <c r="K144" s="220"/>
      <c r="L144" s="254"/>
      <c r="M144" s="254"/>
      <c r="N144" s="252"/>
      <c r="O144" s="220"/>
      <c r="P144" s="220"/>
      <c r="Q144" s="220"/>
      <c r="R144" s="252"/>
    </row>
    <row r="145" spans="1:18" ht="12.75" customHeight="1" x14ac:dyDescent="0.25">
      <c r="A145" s="229"/>
      <c r="B145" s="229"/>
      <c r="C145" s="220"/>
      <c r="D145" s="220"/>
      <c r="E145" s="252"/>
      <c r="F145" s="254"/>
      <c r="G145" s="254"/>
      <c r="H145" s="254"/>
      <c r="I145" s="254"/>
      <c r="J145" s="254"/>
      <c r="K145" s="220"/>
      <c r="L145" s="254"/>
      <c r="M145" s="254"/>
      <c r="N145" s="252"/>
      <c r="O145" s="220"/>
      <c r="P145" s="220"/>
      <c r="Q145" s="220"/>
      <c r="R145" s="252"/>
    </row>
    <row r="146" spans="1:18" ht="12.75" customHeight="1" x14ac:dyDescent="0.25">
      <c r="A146" s="229"/>
      <c r="B146" s="229"/>
      <c r="C146" s="220"/>
      <c r="D146" s="220"/>
      <c r="E146" s="252"/>
      <c r="F146" s="254"/>
      <c r="G146" s="254"/>
      <c r="H146" s="254"/>
      <c r="I146" s="254"/>
      <c r="J146" s="254"/>
      <c r="K146" s="220"/>
      <c r="L146" s="254"/>
      <c r="M146" s="254"/>
      <c r="N146" s="252"/>
      <c r="O146" s="220"/>
      <c r="P146" s="220"/>
      <c r="Q146" s="220"/>
      <c r="R146" s="252"/>
    </row>
    <row r="147" spans="1:18" ht="12.75" customHeight="1" x14ac:dyDescent="0.25">
      <c r="A147" s="229"/>
      <c r="B147" s="229"/>
      <c r="C147" s="220"/>
      <c r="D147" s="220"/>
      <c r="E147" s="252"/>
      <c r="F147" s="254"/>
      <c r="G147" s="254"/>
      <c r="H147" s="254"/>
      <c r="I147" s="254"/>
      <c r="J147" s="254"/>
      <c r="K147" s="220"/>
      <c r="L147" s="254"/>
      <c r="M147" s="254"/>
      <c r="N147" s="252"/>
      <c r="O147" s="220"/>
      <c r="P147" s="220"/>
      <c r="Q147" s="220"/>
      <c r="R147" s="252"/>
    </row>
    <row r="148" spans="1:18" ht="12.75" customHeight="1" x14ac:dyDescent="0.25">
      <c r="A148" s="229"/>
      <c r="B148" s="229"/>
      <c r="C148" s="220"/>
      <c r="D148" s="220"/>
      <c r="E148" s="252"/>
      <c r="F148" s="254"/>
      <c r="G148" s="254"/>
      <c r="H148" s="254"/>
      <c r="I148" s="254"/>
      <c r="J148" s="254"/>
      <c r="K148" s="220"/>
      <c r="L148" s="254"/>
      <c r="M148" s="254"/>
      <c r="N148" s="252"/>
      <c r="O148" s="220"/>
      <c r="P148" s="220"/>
      <c r="Q148" s="220"/>
      <c r="R148" s="252"/>
    </row>
    <row r="149" spans="1:18" ht="12.75" customHeight="1" x14ac:dyDescent="0.25">
      <c r="A149" s="229"/>
      <c r="B149" s="229"/>
      <c r="C149" s="220"/>
      <c r="D149" s="220"/>
      <c r="E149" s="252"/>
      <c r="F149" s="254"/>
      <c r="G149" s="254"/>
      <c r="H149" s="254"/>
      <c r="I149" s="254"/>
      <c r="J149" s="254"/>
      <c r="K149" s="220"/>
      <c r="L149" s="254"/>
      <c r="M149" s="254"/>
      <c r="N149" s="252"/>
      <c r="O149" s="220"/>
      <c r="P149" s="220"/>
      <c r="Q149" s="220"/>
      <c r="R149" s="252"/>
    </row>
    <row r="150" spans="1:18" ht="12.75" customHeight="1" x14ac:dyDescent="0.25">
      <c r="A150" s="229"/>
      <c r="B150" s="229"/>
      <c r="C150" s="220"/>
      <c r="D150" s="220"/>
      <c r="E150" s="252"/>
      <c r="F150" s="254"/>
      <c r="G150" s="254"/>
      <c r="H150" s="254"/>
      <c r="I150" s="254"/>
      <c r="J150" s="254"/>
      <c r="K150" s="220"/>
      <c r="L150" s="254"/>
      <c r="M150" s="254"/>
      <c r="N150" s="252"/>
      <c r="O150" s="220"/>
      <c r="P150" s="220"/>
      <c r="Q150" s="220"/>
      <c r="R150" s="252"/>
    </row>
    <row r="151" spans="1:18" ht="12.75" customHeight="1" x14ac:dyDescent="0.25">
      <c r="A151" s="229"/>
      <c r="B151" s="229"/>
      <c r="C151" s="220"/>
      <c r="D151" s="220"/>
      <c r="E151" s="252"/>
      <c r="F151" s="254"/>
      <c r="G151" s="254"/>
      <c r="H151" s="254"/>
      <c r="I151" s="254"/>
      <c r="J151" s="254"/>
      <c r="K151" s="220"/>
      <c r="L151" s="254"/>
      <c r="M151" s="254"/>
      <c r="N151" s="252"/>
      <c r="O151" s="220"/>
      <c r="P151" s="220"/>
      <c r="Q151" s="220"/>
      <c r="R151" s="252"/>
    </row>
    <row r="152" spans="1:18" ht="12.75" customHeight="1" x14ac:dyDescent="0.25">
      <c r="A152" s="229"/>
      <c r="B152" s="229"/>
      <c r="C152" s="220"/>
      <c r="D152" s="220"/>
      <c r="E152" s="252"/>
      <c r="F152" s="254"/>
      <c r="G152" s="254"/>
      <c r="H152" s="254"/>
      <c r="I152" s="254"/>
      <c r="J152" s="254"/>
      <c r="K152" s="220"/>
      <c r="L152" s="254"/>
      <c r="M152" s="254"/>
      <c r="N152" s="252"/>
      <c r="O152" s="220"/>
      <c r="P152" s="220"/>
      <c r="Q152" s="220"/>
      <c r="R152" s="252"/>
    </row>
    <row r="153" spans="1:18" ht="12.75" customHeight="1" x14ac:dyDescent="0.25">
      <c r="A153" s="229"/>
      <c r="B153" s="229"/>
      <c r="C153" s="220"/>
      <c r="D153" s="220"/>
      <c r="E153" s="252"/>
      <c r="F153" s="254"/>
      <c r="G153" s="254"/>
      <c r="H153" s="254"/>
      <c r="I153" s="254"/>
      <c r="J153" s="254"/>
      <c r="K153" s="220"/>
      <c r="L153" s="254"/>
      <c r="M153" s="254"/>
      <c r="N153" s="252"/>
      <c r="O153" s="220"/>
      <c r="P153" s="220"/>
      <c r="Q153" s="220"/>
      <c r="R153" s="252"/>
    </row>
    <row r="154" spans="1:18" ht="12.75" customHeight="1" x14ac:dyDescent="0.25">
      <c r="A154" s="229"/>
      <c r="B154" s="229"/>
      <c r="C154" s="220"/>
      <c r="D154" s="220"/>
      <c r="E154" s="252"/>
      <c r="F154" s="254"/>
      <c r="G154" s="254"/>
      <c r="H154" s="254"/>
      <c r="I154" s="254"/>
      <c r="J154" s="254"/>
      <c r="K154" s="220"/>
      <c r="L154" s="254"/>
      <c r="M154" s="254"/>
      <c r="N154" s="252"/>
      <c r="O154" s="220"/>
      <c r="P154" s="220"/>
      <c r="Q154" s="220"/>
      <c r="R154" s="252"/>
    </row>
    <row r="155" spans="1:18" ht="12.75" customHeight="1" x14ac:dyDescent="0.25">
      <c r="A155" s="229"/>
      <c r="B155" s="229"/>
      <c r="C155" s="220"/>
      <c r="D155" s="220"/>
      <c r="E155" s="252"/>
      <c r="F155" s="254"/>
      <c r="G155" s="254"/>
      <c r="H155" s="254"/>
      <c r="I155" s="254"/>
      <c r="J155" s="254"/>
      <c r="K155" s="220"/>
      <c r="L155" s="254"/>
      <c r="M155" s="254"/>
      <c r="N155" s="252"/>
      <c r="O155" s="220"/>
      <c r="P155" s="220"/>
      <c r="Q155" s="220"/>
      <c r="R155" s="252"/>
    </row>
    <row r="156" spans="1:18" ht="12.75" customHeight="1" x14ac:dyDescent="0.25">
      <c r="A156" s="229"/>
      <c r="B156" s="229"/>
      <c r="C156" s="220"/>
      <c r="D156" s="220"/>
      <c r="E156" s="252"/>
      <c r="F156" s="254"/>
      <c r="G156" s="254"/>
      <c r="H156" s="254"/>
      <c r="I156" s="254"/>
      <c r="J156" s="254"/>
      <c r="K156" s="220"/>
      <c r="L156" s="254"/>
      <c r="M156" s="254"/>
      <c r="N156" s="252"/>
      <c r="O156" s="220"/>
      <c r="P156" s="220"/>
      <c r="Q156" s="220"/>
      <c r="R156" s="252"/>
    </row>
    <row r="157" spans="1:18" ht="12.75" customHeight="1" x14ac:dyDescent="0.25">
      <c r="A157" s="229"/>
      <c r="B157" s="229"/>
      <c r="C157" s="220"/>
      <c r="D157" s="220"/>
      <c r="E157" s="252"/>
      <c r="F157" s="254"/>
      <c r="G157" s="254"/>
      <c r="H157" s="254"/>
      <c r="I157" s="254"/>
      <c r="J157" s="254"/>
      <c r="K157" s="220"/>
      <c r="L157" s="254"/>
      <c r="M157" s="254"/>
      <c r="N157" s="252"/>
      <c r="O157" s="220"/>
      <c r="P157" s="220"/>
      <c r="Q157" s="220"/>
      <c r="R157" s="252"/>
    </row>
    <row r="158" spans="1:18" ht="12.75" customHeight="1" x14ac:dyDescent="0.25">
      <c r="A158" s="229"/>
      <c r="B158" s="229"/>
      <c r="C158" s="220"/>
      <c r="D158" s="220"/>
      <c r="E158" s="252"/>
      <c r="F158" s="254"/>
      <c r="G158" s="254"/>
      <c r="H158" s="254"/>
      <c r="I158" s="254"/>
      <c r="J158" s="254"/>
      <c r="K158" s="220"/>
      <c r="L158" s="254"/>
      <c r="M158" s="254"/>
      <c r="N158" s="252"/>
      <c r="O158" s="220"/>
      <c r="P158" s="220"/>
      <c r="Q158" s="220"/>
      <c r="R158" s="252"/>
    </row>
    <row r="159" spans="1:18" ht="12.75" customHeight="1" x14ac:dyDescent="0.25">
      <c r="A159" s="229"/>
      <c r="B159" s="229"/>
      <c r="C159" s="220"/>
      <c r="D159" s="220"/>
      <c r="E159" s="252"/>
      <c r="F159" s="254"/>
      <c r="G159" s="254"/>
      <c r="H159" s="254"/>
      <c r="I159" s="254"/>
      <c r="J159" s="254"/>
      <c r="K159" s="220"/>
      <c r="L159" s="254"/>
      <c r="M159" s="254"/>
      <c r="N159" s="252"/>
      <c r="O159" s="220"/>
      <c r="P159" s="220"/>
      <c r="Q159" s="220"/>
      <c r="R159" s="252"/>
    </row>
    <row r="160" spans="1:18" ht="12.75" customHeight="1" x14ac:dyDescent="0.25">
      <c r="A160" s="229"/>
      <c r="B160" s="229"/>
      <c r="C160" s="220"/>
      <c r="D160" s="220"/>
      <c r="E160" s="252"/>
      <c r="F160" s="254"/>
      <c r="G160" s="254"/>
      <c r="H160" s="254"/>
      <c r="I160" s="254"/>
      <c r="J160" s="254"/>
      <c r="K160" s="220"/>
      <c r="L160" s="254"/>
      <c r="M160" s="254"/>
      <c r="N160" s="252"/>
      <c r="O160" s="220"/>
      <c r="P160" s="220"/>
      <c r="Q160" s="220"/>
      <c r="R160" s="252"/>
    </row>
    <row r="161" spans="1:18" ht="12.75" customHeight="1" x14ac:dyDescent="0.25">
      <c r="A161" s="229"/>
      <c r="B161" s="229"/>
      <c r="C161" s="220"/>
      <c r="D161" s="220"/>
      <c r="E161" s="252"/>
      <c r="F161" s="254"/>
      <c r="G161" s="254"/>
      <c r="H161" s="254"/>
      <c r="I161" s="254"/>
      <c r="J161" s="254"/>
      <c r="K161" s="220"/>
      <c r="L161" s="254"/>
      <c r="M161" s="254"/>
      <c r="N161" s="252"/>
      <c r="O161" s="220"/>
      <c r="P161" s="220"/>
      <c r="Q161" s="220"/>
      <c r="R161" s="252"/>
    </row>
    <row r="162" spans="1:18" ht="12.75" customHeight="1" x14ac:dyDescent="0.25">
      <c r="A162" s="229"/>
      <c r="B162" s="229"/>
      <c r="C162" s="220"/>
      <c r="D162" s="220"/>
      <c r="E162" s="252"/>
      <c r="F162" s="254"/>
      <c r="G162" s="254"/>
      <c r="H162" s="254"/>
      <c r="I162" s="254"/>
      <c r="J162" s="254"/>
      <c r="K162" s="220"/>
      <c r="L162" s="254"/>
      <c r="M162" s="254"/>
      <c r="N162" s="252"/>
      <c r="O162" s="220"/>
      <c r="P162" s="220"/>
      <c r="Q162" s="220"/>
      <c r="R162" s="252"/>
    </row>
    <row r="163" spans="1:18" ht="12.75" customHeight="1" x14ac:dyDescent="0.25">
      <c r="A163" s="229"/>
      <c r="B163" s="229"/>
      <c r="C163" s="220"/>
      <c r="D163" s="220"/>
      <c r="E163" s="252"/>
      <c r="F163" s="254"/>
      <c r="G163" s="254"/>
      <c r="H163" s="254"/>
      <c r="I163" s="254"/>
      <c r="J163" s="254"/>
      <c r="K163" s="220"/>
      <c r="L163" s="254"/>
      <c r="M163" s="254"/>
      <c r="N163" s="252"/>
      <c r="O163" s="220"/>
      <c r="P163" s="220"/>
      <c r="Q163" s="220"/>
      <c r="R163" s="252"/>
    </row>
    <row r="164" spans="1:18" ht="12.75" customHeight="1" x14ac:dyDescent="0.25">
      <c r="A164" s="229"/>
      <c r="B164" s="229"/>
      <c r="C164" s="220"/>
      <c r="D164" s="220"/>
      <c r="E164" s="252"/>
      <c r="F164" s="254"/>
      <c r="G164" s="254"/>
      <c r="H164" s="254"/>
      <c r="I164" s="254"/>
      <c r="J164" s="254"/>
      <c r="K164" s="220"/>
      <c r="L164" s="254"/>
      <c r="M164" s="254"/>
      <c r="N164" s="252"/>
      <c r="O164" s="220"/>
      <c r="P164" s="220"/>
      <c r="Q164" s="220"/>
      <c r="R164" s="252"/>
    </row>
    <row r="165" spans="1:18" ht="12.75" customHeight="1" x14ac:dyDescent="0.25">
      <c r="A165" s="229"/>
      <c r="B165" s="229"/>
      <c r="C165" s="220"/>
      <c r="D165" s="220"/>
      <c r="E165" s="252"/>
      <c r="F165" s="254"/>
      <c r="G165" s="254"/>
      <c r="H165" s="254"/>
      <c r="I165" s="254"/>
      <c r="J165" s="254"/>
      <c r="K165" s="220"/>
      <c r="L165" s="254"/>
      <c r="M165" s="254"/>
      <c r="N165" s="252"/>
      <c r="O165" s="220"/>
      <c r="P165" s="220"/>
      <c r="Q165" s="220"/>
      <c r="R165" s="252"/>
    </row>
    <row r="166" spans="1:18" ht="12.75" customHeight="1" x14ac:dyDescent="0.25">
      <c r="A166" s="229"/>
      <c r="B166" s="229"/>
      <c r="C166" s="220"/>
      <c r="D166" s="220"/>
      <c r="E166" s="252"/>
      <c r="F166" s="254"/>
      <c r="G166" s="254"/>
      <c r="H166" s="254"/>
      <c r="I166" s="254"/>
      <c r="J166" s="254"/>
      <c r="K166" s="220"/>
      <c r="L166" s="254"/>
      <c r="M166" s="254"/>
      <c r="N166" s="252"/>
      <c r="O166" s="220"/>
      <c r="P166" s="220"/>
      <c r="Q166" s="220"/>
      <c r="R166" s="252"/>
    </row>
    <row r="167" spans="1:18" ht="12.75" customHeight="1" x14ac:dyDescent="0.25">
      <c r="A167" s="229"/>
      <c r="B167" s="229"/>
      <c r="C167" s="220"/>
      <c r="D167" s="220"/>
      <c r="E167" s="252"/>
      <c r="F167" s="254"/>
      <c r="G167" s="254"/>
      <c r="H167" s="254"/>
      <c r="I167" s="254"/>
      <c r="J167" s="254"/>
      <c r="K167" s="220"/>
      <c r="L167" s="254"/>
      <c r="M167" s="254"/>
      <c r="N167" s="252"/>
      <c r="O167" s="220"/>
      <c r="P167" s="220"/>
      <c r="Q167" s="220"/>
      <c r="R167" s="252"/>
    </row>
    <row r="168" spans="1:18" ht="12.75" customHeight="1" x14ac:dyDescent="0.25">
      <c r="A168" s="229"/>
      <c r="B168" s="229"/>
      <c r="C168" s="220"/>
      <c r="D168" s="220"/>
      <c r="E168" s="252"/>
      <c r="F168" s="254"/>
      <c r="G168" s="254"/>
      <c r="H168" s="254"/>
      <c r="I168" s="254"/>
      <c r="J168" s="254"/>
      <c r="K168" s="220"/>
      <c r="L168" s="254"/>
      <c r="M168" s="254"/>
      <c r="N168" s="252"/>
      <c r="O168" s="220"/>
      <c r="P168" s="220"/>
      <c r="Q168" s="220"/>
      <c r="R168" s="252"/>
    </row>
    <row r="169" spans="1:18" ht="12.75" customHeight="1" x14ac:dyDescent="0.25">
      <c r="A169" s="229"/>
      <c r="B169" s="229"/>
      <c r="C169" s="220"/>
      <c r="D169" s="220"/>
      <c r="E169" s="252"/>
      <c r="F169" s="254"/>
      <c r="G169" s="254"/>
      <c r="H169" s="254"/>
      <c r="I169" s="254"/>
      <c r="J169" s="254"/>
      <c r="K169" s="220"/>
      <c r="L169" s="254"/>
      <c r="M169" s="254"/>
      <c r="N169" s="252"/>
      <c r="O169" s="220"/>
      <c r="P169" s="220"/>
      <c r="Q169" s="220"/>
      <c r="R169" s="252"/>
    </row>
    <row r="170" spans="1:18" ht="12.75" customHeight="1" x14ac:dyDescent="0.25">
      <c r="A170" s="229"/>
      <c r="B170" s="229"/>
      <c r="C170" s="220"/>
      <c r="D170" s="220"/>
      <c r="E170" s="252"/>
      <c r="F170" s="254"/>
      <c r="G170" s="254"/>
      <c r="H170" s="254"/>
      <c r="I170" s="254"/>
      <c r="J170" s="254"/>
      <c r="K170" s="220"/>
      <c r="L170" s="254"/>
      <c r="M170" s="254"/>
      <c r="N170" s="252"/>
      <c r="O170" s="220"/>
      <c r="P170" s="220"/>
      <c r="Q170" s="220"/>
      <c r="R170" s="252"/>
    </row>
    <row r="171" spans="1:18" ht="12.75" customHeight="1" x14ac:dyDescent="0.25">
      <c r="A171" s="229"/>
      <c r="B171" s="229"/>
      <c r="C171" s="220"/>
      <c r="D171" s="220"/>
      <c r="E171" s="252"/>
      <c r="F171" s="254"/>
      <c r="G171" s="254"/>
      <c r="H171" s="254"/>
      <c r="I171" s="254"/>
      <c r="J171" s="254"/>
      <c r="K171" s="220"/>
      <c r="L171" s="254"/>
      <c r="M171" s="254"/>
      <c r="N171" s="252"/>
      <c r="O171" s="220"/>
      <c r="P171" s="220"/>
      <c r="Q171" s="220"/>
      <c r="R171" s="252"/>
    </row>
    <row r="172" spans="1:18" ht="12.75" customHeight="1" x14ac:dyDescent="0.25">
      <c r="A172" s="229"/>
      <c r="B172" s="229"/>
      <c r="C172" s="220"/>
      <c r="D172" s="220"/>
      <c r="E172" s="252"/>
      <c r="F172" s="254"/>
      <c r="G172" s="254"/>
      <c r="H172" s="254"/>
      <c r="I172" s="254"/>
      <c r="J172" s="254"/>
      <c r="K172" s="220"/>
      <c r="L172" s="254"/>
      <c r="M172" s="254"/>
      <c r="N172" s="252"/>
      <c r="O172" s="220"/>
      <c r="P172" s="220"/>
      <c r="Q172" s="220"/>
      <c r="R172" s="252"/>
    </row>
    <row r="173" spans="1:18" ht="12.75" customHeight="1" x14ac:dyDescent="0.25">
      <c r="A173" s="229"/>
      <c r="B173" s="229"/>
      <c r="C173" s="220"/>
      <c r="D173" s="220"/>
      <c r="E173" s="252"/>
      <c r="F173" s="254"/>
      <c r="G173" s="254"/>
      <c r="H173" s="254"/>
      <c r="I173" s="254"/>
      <c r="J173" s="254"/>
      <c r="K173" s="220"/>
      <c r="L173" s="254"/>
      <c r="M173" s="254"/>
      <c r="N173" s="252"/>
      <c r="O173" s="220"/>
      <c r="P173" s="220"/>
      <c r="Q173" s="220"/>
      <c r="R173" s="252"/>
    </row>
    <row r="174" spans="1:18" ht="12.75" customHeight="1" x14ac:dyDescent="0.25">
      <c r="A174" s="229"/>
      <c r="B174" s="229"/>
      <c r="C174" s="220"/>
      <c r="D174" s="220"/>
      <c r="E174" s="252"/>
      <c r="F174" s="254"/>
      <c r="G174" s="254"/>
      <c r="H174" s="254"/>
      <c r="I174" s="254"/>
      <c r="J174" s="254"/>
      <c r="K174" s="220"/>
      <c r="L174" s="254"/>
      <c r="M174" s="254"/>
      <c r="N174" s="252"/>
      <c r="O174" s="220"/>
      <c r="P174" s="220"/>
      <c r="Q174" s="220"/>
      <c r="R174" s="252"/>
    </row>
    <row r="175" spans="1:18" ht="12.75" customHeight="1" x14ac:dyDescent="0.25">
      <c r="A175" s="229"/>
      <c r="B175" s="229"/>
      <c r="C175" s="220"/>
      <c r="D175" s="220"/>
      <c r="E175" s="252"/>
      <c r="F175" s="254"/>
      <c r="G175" s="254"/>
      <c r="H175" s="254"/>
      <c r="I175" s="254"/>
      <c r="J175" s="254"/>
      <c r="K175" s="220"/>
      <c r="L175" s="254"/>
      <c r="M175" s="254"/>
      <c r="N175" s="252"/>
      <c r="O175" s="220"/>
      <c r="P175" s="220"/>
      <c r="Q175" s="220"/>
      <c r="R175" s="252"/>
    </row>
    <row r="176" spans="1:18" ht="12.75" customHeight="1" x14ac:dyDescent="0.25">
      <c r="A176" s="229"/>
      <c r="B176" s="229"/>
      <c r="C176" s="220"/>
      <c r="D176" s="220"/>
      <c r="E176" s="252"/>
      <c r="F176" s="254"/>
      <c r="G176" s="254"/>
      <c r="H176" s="254"/>
      <c r="I176" s="254"/>
      <c r="J176" s="254"/>
      <c r="K176" s="220"/>
      <c r="L176" s="254"/>
      <c r="M176" s="254"/>
      <c r="N176" s="252"/>
      <c r="O176" s="220"/>
      <c r="P176" s="220"/>
      <c r="Q176" s="220"/>
      <c r="R176" s="252"/>
    </row>
    <row r="177" spans="1:18" ht="12.75" customHeight="1" x14ac:dyDescent="0.25">
      <c r="A177" s="229"/>
      <c r="B177" s="229"/>
      <c r="C177" s="220"/>
      <c r="D177" s="220"/>
      <c r="E177" s="252"/>
      <c r="F177" s="254"/>
      <c r="G177" s="254"/>
      <c r="H177" s="254"/>
      <c r="I177" s="254"/>
      <c r="J177" s="254"/>
      <c r="K177" s="220"/>
      <c r="L177" s="254"/>
      <c r="M177" s="254"/>
      <c r="N177" s="252"/>
      <c r="O177" s="220"/>
      <c r="P177" s="220"/>
      <c r="Q177" s="220"/>
      <c r="R177" s="252"/>
    </row>
    <row r="178" spans="1:18" ht="12.75" customHeight="1" x14ac:dyDescent="0.25">
      <c r="A178" s="229"/>
      <c r="B178" s="229"/>
      <c r="C178" s="220"/>
      <c r="D178" s="220"/>
      <c r="E178" s="252"/>
      <c r="F178" s="254"/>
      <c r="G178" s="254"/>
      <c r="H178" s="254"/>
      <c r="I178" s="254"/>
      <c r="J178" s="254"/>
      <c r="K178" s="220"/>
      <c r="L178" s="254"/>
      <c r="M178" s="254"/>
      <c r="N178" s="252"/>
      <c r="O178" s="220"/>
      <c r="P178" s="220"/>
      <c r="Q178" s="220"/>
      <c r="R178" s="252"/>
    </row>
    <row r="179" spans="1:18" ht="12.75" customHeight="1" x14ac:dyDescent="0.25">
      <c r="A179" s="229"/>
      <c r="B179" s="229"/>
      <c r="C179" s="220"/>
      <c r="D179" s="220"/>
      <c r="E179" s="252"/>
      <c r="F179" s="254"/>
      <c r="G179" s="254"/>
      <c r="H179" s="254"/>
      <c r="I179" s="254"/>
      <c r="J179" s="254"/>
      <c r="K179" s="220"/>
      <c r="L179" s="254"/>
      <c r="M179" s="254"/>
      <c r="N179" s="252"/>
      <c r="O179" s="220"/>
      <c r="P179" s="220"/>
      <c r="Q179" s="220"/>
      <c r="R179" s="252"/>
    </row>
    <row r="180" spans="1:18" ht="12.75" customHeight="1" x14ac:dyDescent="0.25">
      <c r="A180" s="229"/>
      <c r="B180" s="229"/>
      <c r="C180" s="220"/>
      <c r="D180" s="220"/>
      <c r="E180" s="252"/>
      <c r="F180" s="254"/>
      <c r="G180" s="254"/>
      <c r="H180" s="254"/>
      <c r="I180" s="254"/>
      <c r="J180" s="254"/>
      <c r="K180" s="220"/>
      <c r="L180" s="254"/>
      <c r="M180" s="254"/>
      <c r="N180" s="252"/>
      <c r="O180" s="220"/>
      <c r="P180" s="220"/>
      <c r="Q180" s="220"/>
      <c r="R180" s="252"/>
    </row>
    <row r="181" spans="1:18" ht="12.75" customHeight="1" x14ac:dyDescent="0.25">
      <c r="A181" s="229"/>
      <c r="B181" s="229"/>
      <c r="C181" s="220"/>
      <c r="D181" s="220"/>
      <c r="E181" s="252"/>
      <c r="F181" s="254"/>
      <c r="G181" s="254"/>
      <c r="H181" s="254"/>
      <c r="I181" s="254"/>
      <c r="J181" s="254"/>
      <c r="K181" s="220"/>
      <c r="L181" s="254"/>
      <c r="M181" s="254"/>
      <c r="N181" s="252"/>
      <c r="O181" s="220"/>
      <c r="P181" s="220"/>
      <c r="Q181" s="220"/>
      <c r="R181" s="252"/>
    </row>
    <row r="182" spans="1:18" ht="12.75" customHeight="1" x14ac:dyDescent="0.25">
      <c r="A182" s="229"/>
      <c r="B182" s="229"/>
      <c r="C182" s="220"/>
      <c r="D182" s="220"/>
      <c r="E182" s="252"/>
      <c r="F182" s="254"/>
      <c r="G182" s="254"/>
      <c r="H182" s="254"/>
      <c r="I182" s="254"/>
      <c r="J182" s="254"/>
      <c r="K182" s="220"/>
      <c r="L182" s="254"/>
      <c r="M182" s="254"/>
      <c r="N182" s="252"/>
      <c r="O182" s="220"/>
      <c r="P182" s="220"/>
      <c r="Q182" s="220"/>
      <c r="R182" s="252"/>
    </row>
    <row r="183" spans="1:18" ht="12.75" customHeight="1" x14ac:dyDescent="0.25">
      <c r="A183" s="229"/>
      <c r="B183" s="229"/>
      <c r="C183" s="220"/>
      <c r="D183" s="220"/>
      <c r="E183" s="252"/>
      <c r="F183" s="254"/>
      <c r="G183" s="254"/>
      <c r="H183" s="254"/>
      <c r="I183" s="254"/>
      <c r="J183" s="254"/>
      <c r="K183" s="220"/>
      <c r="L183" s="254"/>
      <c r="M183" s="254"/>
      <c r="N183" s="252"/>
      <c r="O183" s="220"/>
      <c r="P183" s="220"/>
      <c r="Q183" s="220"/>
      <c r="R183" s="252"/>
    </row>
    <row r="184" spans="1:18" ht="12.75" customHeight="1" x14ac:dyDescent="0.25">
      <c r="A184" s="229"/>
      <c r="B184" s="229"/>
      <c r="C184" s="220"/>
      <c r="D184" s="220"/>
      <c r="E184" s="252"/>
      <c r="F184" s="254"/>
      <c r="G184" s="254"/>
      <c r="H184" s="254"/>
      <c r="I184" s="254"/>
      <c r="J184" s="254"/>
      <c r="K184" s="220"/>
      <c r="L184" s="254"/>
      <c r="M184" s="254"/>
      <c r="N184" s="252"/>
      <c r="O184" s="220"/>
      <c r="P184" s="220"/>
      <c r="Q184" s="220"/>
      <c r="R184" s="252"/>
    </row>
    <row r="185" spans="1:18" ht="12.75" customHeight="1" x14ac:dyDescent="0.25">
      <c r="A185" s="229"/>
      <c r="B185" s="229"/>
      <c r="C185" s="220"/>
      <c r="D185" s="220"/>
      <c r="E185" s="252"/>
      <c r="F185" s="254"/>
      <c r="G185" s="254"/>
      <c r="H185" s="254"/>
      <c r="I185" s="254"/>
      <c r="J185" s="254"/>
      <c r="K185" s="220"/>
      <c r="L185" s="254"/>
      <c r="M185" s="254"/>
      <c r="N185" s="252"/>
      <c r="O185" s="220"/>
      <c r="P185" s="220"/>
      <c r="Q185" s="220"/>
      <c r="R185" s="252"/>
    </row>
    <row r="186" spans="1:18" ht="12.75" customHeight="1" x14ac:dyDescent="0.25">
      <c r="A186" s="229"/>
      <c r="B186" s="229"/>
      <c r="C186" s="220"/>
      <c r="D186" s="220"/>
      <c r="E186" s="252"/>
      <c r="F186" s="254"/>
      <c r="G186" s="254"/>
      <c r="H186" s="254"/>
      <c r="I186" s="254"/>
      <c r="J186" s="254"/>
      <c r="K186" s="220"/>
      <c r="L186" s="254"/>
      <c r="M186" s="254"/>
      <c r="N186" s="252"/>
      <c r="O186" s="220"/>
      <c r="P186" s="220"/>
      <c r="Q186" s="220"/>
      <c r="R186" s="252"/>
    </row>
    <row r="187" spans="1:18" ht="12.75" customHeight="1" x14ac:dyDescent="0.25">
      <c r="A187" s="229"/>
      <c r="B187" s="229"/>
      <c r="C187" s="220"/>
      <c r="D187" s="220"/>
      <c r="E187" s="252"/>
      <c r="F187" s="254"/>
      <c r="G187" s="254"/>
      <c r="H187" s="254"/>
      <c r="I187" s="254"/>
      <c r="J187" s="254"/>
      <c r="K187" s="220"/>
      <c r="L187" s="254"/>
      <c r="M187" s="254"/>
      <c r="N187" s="252"/>
      <c r="O187" s="220"/>
      <c r="P187" s="220"/>
      <c r="Q187" s="220"/>
      <c r="R187" s="252"/>
    </row>
    <row r="188" spans="1:18" ht="12.75" customHeight="1" x14ac:dyDescent="0.25">
      <c r="A188" s="229"/>
      <c r="B188" s="229"/>
      <c r="C188" s="220"/>
      <c r="D188" s="220"/>
      <c r="E188" s="252"/>
      <c r="F188" s="254"/>
      <c r="G188" s="254"/>
      <c r="H188" s="254"/>
      <c r="I188" s="254"/>
      <c r="J188" s="254"/>
      <c r="K188" s="220"/>
      <c r="L188" s="254"/>
      <c r="M188" s="254"/>
      <c r="N188" s="252"/>
      <c r="O188" s="220"/>
      <c r="P188" s="220"/>
      <c r="Q188" s="220"/>
      <c r="R188" s="252"/>
    </row>
    <row r="189" spans="1:18" ht="12.75" customHeight="1" x14ac:dyDescent="0.25">
      <c r="A189" s="229"/>
      <c r="B189" s="229"/>
      <c r="C189" s="220"/>
      <c r="D189" s="220"/>
      <c r="E189" s="252"/>
      <c r="F189" s="254"/>
      <c r="G189" s="254"/>
      <c r="H189" s="254"/>
      <c r="I189" s="254"/>
      <c r="J189" s="254"/>
      <c r="K189" s="220"/>
      <c r="L189" s="254"/>
      <c r="M189" s="254"/>
      <c r="N189" s="252"/>
      <c r="O189" s="220"/>
      <c r="P189" s="220"/>
      <c r="Q189" s="220"/>
      <c r="R189" s="252"/>
    </row>
    <row r="190" spans="1:18" ht="12.75" customHeight="1" x14ac:dyDescent="0.25">
      <c r="A190" s="229"/>
      <c r="B190" s="229"/>
      <c r="C190" s="220"/>
      <c r="D190" s="220"/>
      <c r="E190" s="252"/>
      <c r="F190" s="254"/>
      <c r="G190" s="254"/>
      <c r="H190" s="254"/>
      <c r="I190" s="254"/>
      <c r="J190" s="254"/>
      <c r="K190" s="220"/>
      <c r="L190" s="254"/>
      <c r="M190" s="254"/>
      <c r="N190" s="252"/>
      <c r="O190" s="220"/>
      <c r="P190" s="220"/>
      <c r="Q190" s="220"/>
      <c r="R190" s="252"/>
    </row>
    <row r="191" spans="1:18" ht="12.75" customHeight="1" x14ac:dyDescent="0.25">
      <c r="A191" s="229"/>
      <c r="B191" s="229"/>
      <c r="C191" s="220"/>
      <c r="D191" s="220"/>
      <c r="E191" s="252"/>
      <c r="F191" s="254"/>
      <c r="G191" s="254"/>
      <c r="H191" s="254"/>
      <c r="I191" s="254"/>
      <c r="J191" s="254"/>
      <c r="K191" s="220"/>
      <c r="L191" s="254"/>
      <c r="M191" s="254"/>
      <c r="N191" s="252"/>
      <c r="O191" s="220"/>
      <c r="P191" s="220"/>
      <c r="Q191" s="220"/>
      <c r="R191" s="252"/>
    </row>
    <row r="192" spans="1:18" ht="12.75" customHeight="1" x14ac:dyDescent="0.25">
      <c r="A192" s="229"/>
      <c r="B192" s="229"/>
      <c r="C192" s="220"/>
      <c r="D192" s="220"/>
      <c r="E192" s="252"/>
      <c r="F192" s="254"/>
      <c r="G192" s="254"/>
      <c r="H192" s="254"/>
      <c r="I192" s="254"/>
      <c r="J192" s="254"/>
      <c r="K192" s="220"/>
      <c r="L192" s="254"/>
      <c r="M192" s="254"/>
      <c r="N192" s="252"/>
      <c r="O192" s="220"/>
      <c r="P192" s="220"/>
      <c r="Q192" s="220"/>
      <c r="R192" s="252"/>
    </row>
    <row r="193" spans="1:18" ht="12.75" customHeight="1" x14ac:dyDescent="0.25">
      <c r="A193" s="229"/>
      <c r="B193" s="229"/>
      <c r="C193" s="220"/>
      <c r="D193" s="220"/>
      <c r="E193" s="252"/>
      <c r="F193" s="254"/>
      <c r="G193" s="254"/>
      <c r="H193" s="254"/>
      <c r="I193" s="254"/>
      <c r="J193" s="254"/>
      <c r="K193" s="220"/>
      <c r="L193" s="254"/>
      <c r="M193" s="254"/>
      <c r="N193" s="252"/>
      <c r="O193" s="220"/>
      <c r="P193" s="220"/>
      <c r="Q193" s="220"/>
      <c r="R193" s="252"/>
    </row>
    <row r="194" spans="1:18" ht="12.75" customHeight="1" x14ac:dyDescent="0.25">
      <c r="A194" s="229"/>
      <c r="B194" s="229"/>
      <c r="C194" s="220"/>
      <c r="D194" s="220"/>
      <c r="E194" s="252"/>
      <c r="F194" s="254"/>
      <c r="G194" s="254"/>
      <c r="H194" s="254"/>
      <c r="I194" s="254"/>
      <c r="J194" s="254"/>
      <c r="K194" s="220"/>
      <c r="L194" s="254"/>
      <c r="M194" s="254"/>
      <c r="N194" s="252"/>
      <c r="O194" s="220"/>
      <c r="P194" s="220"/>
      <c r="Q194" s="220"/>
      <c r="R194" s="252"/>
    </row>
    <row r="195" spans="1:18" ht="12.75" customHeight="1" x14ac:dyDescent="0.25">
      <c r="A195" s="229"/>
      <c r="B195" s="229"/>
      <c r="C195" s="220"/>
      <c r="D195" s="220"/>
      <c r="E195" s="252"/>
      <c r="F195" s="254"/>
      <c r="G195" s="254"/>
      <c r="H195" s="254"/>
      <c r="I195" s="254"/>
      <c r="J195" s="254"/>
      <c r="K195" s="220"/>
      <c r="L195" s="254"/>
      <c r="M195" s="254"/>
      <c r="N195" s="252"/>
      <c r="O195" s="220"/>
      <c r="P195" s="220"/>
      <c r="Q195" s="220"/>
      <c r="R195" s="252"/>
    </row>
    <row r="196" spans="1:18" ht="12.75" customHeight="1" x14ac:dyDescent="0.25">
      <c r="A196" s="229"/>
      <c r="B196" s="229"/>
      <c r="C196" s="220"/>
      <c r="D196" s="220"/>
      <c r="E196" s="252"/>
      <c r="F196" s="254"/>
      <c r="G196" s="254"/>
      <c r="H196" s="254"/>
      <c r="I196" s="254"/>
      <c r="J196" s="254"/>
      <c r="K196" s="220"/>
      <c r="L196" s="254"/>
      <c r="M196" s="254"/>
      <c r="N196" s="252"/>
      <c r="O196" s="220"/>
      <c r="P196" s="220"/>
      <c r="Q196" s="220"/>
      <c r="R196" s="252"/>
    </row>
    <row r="197" spans="1:18" ht="12.75" customHeight="1" x14ac:dyDescent="0.25">
      <c r="A197" s="229"/>
      <c r="B197" s="229"/>
      <c r="C197" s="220"/>
      <c r="D197" s="220"/>
      <c r="E197" s="252"/>
      <c r="F197" s="254"/>
      <c r="G197" s="254"/>
      <c r="H197" s="254"/>
      <c r="I197" s="254"/>
      <c r="J197" s="254"/>
      <c r="K197" s="220"/>
      <c r="L197" s="254"/>
      <c r="M197" s="254"/>
      <c r="N197" s="252"/>
      <c r="O197" s="220"/>
      <c r="P197" s="220"/>
      <c r="Q197" s="220"/>
      <c r="R197" s="252"/>
    </row>
    <row r="198" spans="1:18" ht="12.75" customHeight="1" x14ac:dyDescent="0.25">
      <c r="A198" s="229"/>
      <c r="B198" s="229"/>
      <c r="C198" s="220"/>
      <c r="D198" s="220"/>
      <c r="E198" s="252"/>
      <c r="F198" s="254"/>
      <c r="G198" s="254"/>
      <c r="H198" s="254"/>
      <c r="I198" s="254"/>
      <c r="J198" s="254"/>
      <c r="K198" s="220"/>
      <c r="L198" s="254"/>
      <c r="M198" s="254"/>
      <c r="N198" s="252"/>
      <c r="O198" s="220"/>
      <c r="P198" s="220"/>
      <c r="Q198" s="220"/>
      <c r="R198" s="252"/>
    </row>
    <row r="199" spans="1:18" ht="12.75" customHeight="1" x14ac:dyDescent="0.25">
      <c r="A199" s="229"/>
      <c r="B199" s="229"/>
      <c r="C199" s="220"/>
      <c r="D199" s="220"/>
      <c r="E199" s="252"/>
      <c r="F199" s="254"/>
      <c r="G199" s="254"/>
      <c r="H199" s="254"/>
      <c r="I199" s="254"/>
      <c r="J199" s="254"/>
      <c r="K199" s="220"/>
      <c r="L199" s="254"/>
      <c r="M199" s="254"/>
      <c r="N199" s="252"/>
      <c r="O199" s="220"/>
      <c r="P199" s="220"/>
      <c r="Q199" s="220"/>
      <c r="R199" s="252"/>
    </row>
    <row r="200" spans="1:18" ht="12.75" customHeight="1" x14ac:dyDescent="0.25">
      <c r="A200" s="229"/>
      <c r="B200" s="229"/>
      <c r="C200" s="220"/>
      <c r="D200" s="220"/>
      <c r="E200" s="252"/>
      <c r="F200" s="254"/>
      <c r="G200" s="254"/>
      <c r="H200" s="254"/>
      <c r="I200" s="254"/>
      <c r="J200" s="254"/>
      <c r="K200" s="220"/>
      <c r="L200" s="254"/>
      <c r="M200" s="254"/>
      <c r="N200" s="252"/>
      <c r="O200" s="220"/>
      <c r="P200" s="220"/>
      <c r="Q200" s="220"/>
      <c r="R200" s="252"/>
    </row>
    <row r="201" spans="1:18" ht="12.75" customHeight="1" x14ac:dyDescent="0.25">
      <c r="C201" s="190"/>
      <c r="D201" s="190"/>
      <c r="E201" s="192"/>
      <c r="F201" s="193"/>
      <c r="G201" s="193"/>
      <c r="H201" s="193"/>
      <c r="I201" s="193"/>
      <c r="J201" s="193"/>
      <c r="K201" s="190"/>
      <c r="L201" s="193"/>
      <c r="M201" s="193"/>
      <c r="N201" s="192"/>
      <c r="O201" s="190"/>
      <c r="P201" s="190"/>
      <c r="Q201" s="190"/>
    </row>
  </sheetData>
  <sheetProtection algorithmName="SHA-512" hashValue="e5jfjHph1d1VaAe3JV3YrG+VSAh0gOsWkc35vVY2Tdu5SCoK9Pr9fg0mMLysdfANJls+cIJ55fTZgpPUPNEtnQ==" saltValue="9dFZE4aNtbS4NLXtTKmRuQ==" spinCount="100000" sheet="1" objects="1" scenarios="1" formatCells="0" formatRows="0"/>
  <conditionalFormatting sqref="R13:R200">
    <cfRule type="expression" priority="3">
      <formula>$E13="Cancelled"</formula>
    </cfRule>
    <cfRule type="expression" dxfId="61" priority="4">
      <formula>$E13&lt;&gt;"Cancelled"</formula>
    </cfRule>
  </conditionalFormatting>
  <conditionalFormatting sqref="N13:Q200">
    <cfRule type="expression" priority="1">
      <formula>$E13&lt;&gt;"Not Started"</formula>
    </cfRule>
    <cfRule type="expression" dxfId="60" priority="2">
      <formula>$E13="Not Started"</formula>
    </cfRule>
  </conditionalFormatting>
  <dataValidations count="22">
    <dataValidation type="textLength" operator="lessThanOrEqual" allowBlank="1" showInputMessage="1" showErrorMessage="1" errorTitle="Max Length Exceed" error="Value cannot exceed 80 characters." sqref="C201" xr:uid="{AF6010E4-6159-4116-A830-EB10C304215C}">
      <formula1>80</formula1>
    </dataValidation>
    <dataValidation type="textLength" operator="lessThanOrEqual" allowBlank="1" showInputMessage="1" showErrorMessage="1" errorTitle="Max Length Exceed" error="Value cannot exceed 20 characters." sqref="D201" xr:uid="{3145F01B-6801-4FB2-A31F-83405FD38BC3}">
      <formula1>20</formula1>
    </dataValidation>
    <dataValidation type="decimal" operator="lessThanOrEqual" allowBlank="1" showInputMessage="1" showErrorMessage="1" errorTitle="Maximum Exceeded" error="Value cannot exceed 999,999,999,999.99" sqref="J201 F201 G201 H201 I201 L201 M201" xr:uid="{1EE606AD-5D3A-4327-BBE7-947E7B80C729}">
      <formula1>999999999999.99</formula1>
    </dataValidation>
    <dataValidation type="textLength" operator="lessThanOrEqual" allowBlank="1" showInputMessage="1" showErrorMessage="1" errorTitle="Max Length Exceed" error="Value cannot exceed 1500 characters." sqref="K201" xr:uid="{7744CA0B-D7E2-4DF9-A535-57D1E0D56773}">
      <formula1>1500</formula1>
    </dataValidation>
    <dataValidation type="textLength" operator="lessThanOrEqual" allowBlank="1" showInputMessage="1" showErrorMessage="1" errorTitle="Max Length Exceed" error="Value cannot exceed 7 characters." sqref="O201" xr:uid="{3F8DD0C0-6993-488B-9D69-3B0EE50B642C}">
      <formula1>7</formula1>
    </dataValidation>
    <dataValidation type="textLength" operator="lessThanOrEqual" allowBlank="1" showInputMessage="1" showErrorMessage="1" errorTitle="Max Length Exceed" error="Value cannot exceed 3000 characters." sqref="P201" xr:uid="{9AA213B3-9A21-43AE-A88E-487A5A2F2707}">
      <formula1>3000</formula1>
    </dataValidation>
    <dataValidation type="textLength" operator="lessThanOrEqual" allowBlank="1" showInputMessage="1" showErrorMessage="1" errorTitle="Max Length Exceed" error="Value cannot exceed 10 characters." sqref="Q201" xr:uid="{F67E3D64-0F97-4CCD-849C-A94AFB98CCD6}">
      <formula1>10</formula1>
    </dataValidation>
    <dataValidation type="list" allowBlank="1" showInputMessage="1" showErrorMessage="1" sqref="E13:E200" xr:uid="{F28DD2A7-493C-4D6F-A51C-E83CC87F96EF}">
      <formula1>Status</formula1>
    </dataValidation>
    <dataValidation type="textLength" operator="lessThanOrEqual" allowBlank="1" showInputMessage="1" showErrorMessage="1" errorTitle="Max Length Exceed" error="Value cannot exceed 80 characters." sqref="C13:C200" xr:uid="{A6668AC1-00FA-49A9-A347-FB225ED78A17}">
      <formula1>80</formula1>
    </dataValidation>
    <dataValidation type="textLength" operator="lessThanOrEqual" allowBlank="1" showInputMessage="1" showErrorMessage="1" errorTitle="Max Length Exceed" error="Value cannot exceed 20 characters." sqref="D13:D200" xr:uid="{64B1A71A-621E-413D-98AD-144157EFFD29}">
      <formula1>20</formula1>
    </dataValidation>
    <dataValidation type="decimal" operator="lessThanOrEqual" allowBlank="1" showInputMessage="1" showErrorMessage="1" errorTitle="Maximum Exceeded" error="Value cannot exceed 999,999,999,999.99" sqref="F13:F200" xr:uid="{251D536E-F3CA-4838-A12A-468B2BB7731C}">
      <formula1>999999999999.99</formula1>
    </dataValidation>
    <dataValidation type="decimal" operator="lessThanOrEqual" allowBlank="1" showInputMessage="1" showErrorMessage="1" errorTitle="Maximum Exceeded" error="Value cannot exceed 999,999,999,999.99" sqref="G13:G200" xr:uid="{28DEC3C1-81C2-42BC-BE4F-7C11641ACBC4}">
      <formula1>999999999999.99</formula1>
    </dataValidation>
    <dataValidation type="decimal" operator="lessThanOrEqual" allowBlank="1" showInputMessage="1" showErrorMessage="1" errorTitle="Maximum Exceeded" error="Value cannot exceed 999,999,999,999.99" sqref="H13:H200" xr:uid="{E9BD2C68-0F90-4F2B-A7F6-373909441616}">
      <formula1>999999999999.99</formula1>
    </dataValidation>
    <dataValidation type="decimal" operator="lessThanOrEqual" allowBlank="1" showInputMessage="1" showErrorMessage="1" errorTitle="Maximum Exceeded" error="Value cannot exceed 999,999,999,999.99" sqref="I13:I200" xr:uid="{B655AD91-206F-45A0-9854-E9C5B5916FD5}">
      <formula1>999999999999.99</formula1>
    </dataValidation>
    <dataValidation type="decimal" operator="lessThanOrEqual" allowBlank="1" showInputMessage="1" showErrorMessage="1" errorTitle="Maximum Exceeded" error="Value cannot exceed 999,999,999,999.99" sqref="J13:J200" xr:uid="{24BD65A0-9FA7-44A1-85AD-73BBE7E7B080}">
      <formula1>999999999999.99</formula1>
    </dataValidation>
    <dataValidation type="textLength" operator="lessThanOrEqual" allowBlank="1" showInputMessage="1" showErrorMessage="1" errorTitle="Max Length Exceed" error="Value cannot exceed 1500 characters." sqref="K13:K200" xr:uid="{ED348DC2-11D1-4F63-81C0-DCBA9EB44182}">
      <formula1>1500</formula1>
    </dataValidation>
    <dataValidation type="decimal" operator="lessThanOrEqual" allowBlank="1" showInputMessage="1" showErrorMessage="1" errorTitle="Maximum Exceeded" error="Value cannot exceed 999,999,999,999.99" sqref="L13:L200" xr:uid="{FA0EFCA1-4BF6-4246-8E1F-3BF7D0AE6F0C}">
      <formula1>999999999999.99</formula1>
    </dataValidation>
    <dataValidation type="decimal" operator="lessThanOrEqual" allowBlank="1" showInputMessage="1" showErrorMessage="1" errorTitle="Maximum Exceeded" error="Value cannot exceed 999,999,999,999.99" sqref="M13:M200" xr:uid="{5B9535A5-A762-48E7-A915-D1AEFEAD0EC6}">
      <formula1>999999999999.99</formula1>
    </dataValidation>
    <dataValidation type="textLength" operator="lessThanOrEqual" allowBlank="1" showInputMessage="1" showErrorMessage="1" errorTitle="Max Length Exceed" error="Value cannot exceed 7 characters." sqref="O13:O200" xr:uid="{86ABEFB2-FD3D-40DF-A78D-DB86D1236B99}">
      <formula1>7</formula1>
    </dataValidation>
    <dataValidation type="textLength" operator="lessThanOrEqual" allowBlank="1" showInputMessage="1" showErrorMessage="1" errorTitle="Max Length Exceed" error="Value cannot exceed 3000 characters." sqref="P13:P200" xr:uid="{6C14DDD7-F814-416D-8FC3-F77FED015339}">
      <formula1>3000</formula1>
    </dataValidation>
    <dataValidation type="textLength" operator="lessThanOrEqual" allowBlank="1" showInputMessage="1" showErrorMessage="1" errorTitle="Max Length Exceed" error="Value cannot exceed 10 characters." sqref="Q13:Q200" xr:uid="{092A3C18-CCAE-461D-A753-633F75B9BE14}">
      <formula1>10</formula1>
    </dataValidation>
    <dataValidation type="textLength" operator="lessThanOrEqual" allowBlank="1" showInputMessage="1" showErrorMessage="1" errorTitle="Max Length Exceed" error="Value cannot exceed 255 characters." sqref="R13:R200" xr:uid="{B46D38D4-A55A-4F24-9F1A-46D6C9FD7D3F}">
      <formula1>255</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3AFF9701-E05B-4F7E-8C96-853D32892DAC}">
          <x14:formula1>
            <xm:f>Dropdowns!$G$3:$G$6</xm:f>
          </x14:formula1>
          <xm:sqref>E201</xm:sqref>
        </x14:dataValidation>
        <x14:dataValidation type="list" allowBlank="1" showInputMessage="1" xr:uid="{214842B4-3BE4-4F03-8563-28E9F1AE3CD7}">
          <x14:formula1>
            <xm:f>Dropdowns!$K$3:$K$28</xm:f>
          </x14:formula1>
          <xm:sqref>N13:N201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31A14C-40D6-4070-BCE4-08AAD8925E67}">
  <sheetPr codeName="Sheet8"/>
  <dimension ref="A1:BQ200"/>
  <sheetViews>
    <sheetView showGridLines="0" zoomScaleNormal="100" workbookViewId="0">
      <pane xSplit="4" ySplit="12" topLeftCell="BJ13" activePane="bottomRight" state="frozen"/>
      <selection pane="topRight" activeCell="E1" sqref="E1"/>
      <selection pane="bottomLeft" activeCell="A12" sqref="A12"/>
      <selection pane="bottomRight" sqref="A1:XFD10"/>
    </sheetView>
  </sheetViews>
  <sheetFormatPr defaultColWidth="9.1796875" defaultRowHeight="12.75" customHeight="1" x14ac:dyDescent="0.25"/>
  <cols>
    <col min="1" max="1" width="14.81640625" style="161" hidden="1" customWidth="1"/>
    <col min="2" max="2" width="7.26953125" style="161" hidden="1" customWidth="1"/>
    <col min="3" max="3" width="20.7265625" style="161" customWidth="1"/>
    <col min="4" max="4" width="19.7265625" style="161" customWidth="1"/>
    <col min="5" max="13" width="13.7265625" style="161" customWidth="1"/>
    <col min="14" max="14" width="17.1796875" style="161" customWidth="1"/>
    <col min="15" max="15" width="19.54296875" style="161" customWidth="1"/>
    <col min="16" max="16" width="20" style="161" customWidth="1"/>
    <col min="17" max="17" width="14.7265625" style="161" customWidth="1"/>
    <col min="18" max="18" width="19.26953125" style="161" customWidth="1"/>
    <col min="19" max="19" width="24.1796875" style="161" customWidth="1"/>
    <col min="20" max="20" width="22.7265625" style="161" customWidth="1"/>
    <col min="21" max="21" width="19.81640625" style="161" customWidth="1"/>
    <col min="22" max="22" width="18.54296875" style="161" customWidth="1"/>
    <col min="23" max="23" width="18.453125" style="161" customWidth="1"/>
    <col min="24" max="24" width="40.81640625" style="161" customWidth="1"/>
    <col min="25" max="25" width="27.81640625" style="161" customWidth="1"/>
    <col min="26" max="26" width="42.7265625" style="161" customWidth="1"/>
    <col min="27" max="27" width="29.54296875" style="161" customWidth="1"/>
    <col min="28" max="31" width="23.7265625" style="161" customWidth="1"/>
    <col min="32" max="32" width="22.7265625" style="161" customWidth="1"/>
    <col min="33" max="33" width="20.453125" style="161" customWidth="1"/>
    <col min="34" max="34" width="20.81640625" style="161" customWidth="1"/>
    <col min="35" max="35" width="21.7265625" style="161" customWidth="1"/>
    <col min="36" max="36" width="36.453125" style="161" customWidth="1"/>
    <col min="37" max="38" width="12.26953125" style="161" customWidth="1"/>
    <col min="39" max="39" width="35.6328125" style="161" customWidth="1"/>
    <col min="40" max="65" width="21.7265625" style="161" customWidth="1"/>
    <col min="66" max="66" width="34.81640625" style="161" customWidth="1"/>
    <col min="67" max="67" width="23.90625" style="161" customWidth="1"/>
    <col min="68" max="68" width="19.36328125" style="161" customWidth="1"/>
    <col min="69" max="69" width="19.453125" style="161" customWidth="1"/>
    <col min="70" max="16384" width="9.1796875" style="161"/>
  </cols>
  <sheetData>
    <row r="1" spans="1:69" ht="27" hidden="1" customHeight="1" x14ac:dyDescent="0.25">
      <c r="A1" s="110" t="s">
        <v>393</v>
      </c>
      <c r="B1" s="112" t="s">
        <v>503</v>
      </c>
      <c r="C1" s="115" t="s">
        <v>275</v>
      </c>
      <c r="D1" s="115" t="s">
        <v>275</v>
      </c>
      <c r="E1" s="115" t="s">
        <v>275</v>
      </c>
      <c r="F1" s="115" t="s">
        <v>275</v>
      </c>
      <c r="G1" s="115" t="s">
        <v>275</v>
      </c>
      <c r="H1" s="115" t="s">
        <v>275</v>
      </c>
      <c r="I1" s="115" t="s">
        <v>275</v>
      </c>
      <c r="J1" s="115" t="s">
        <v>275</v>
      </c>
      <c r="K1" s="115" t="s">
        <v>275</v>
      </c>
      <c r="L1" s="115" t="s">
        <v>275</v>
      </c>
      <c r="M1" s="115" t="s">
        <v>275</v>
      </c>
      <c r="N1" s="115" t="s">
        <v>275</v>
      </c>
      <c r="O1" s="115" t="s">
        <v>275</v>
      </c>
      <c r="P1" s="115" t="s">
        <v>456</v>
      </c>
      <c r="Q1" s="115" t="s">
        <v>456</v>
      </c>
      <c r="R1" s="115" t="s">
        <v>281</v>
      </c>
      <c r="S1" s="115" t="s">
        <v>281</v>
      </c>
      <c r="T1" s="115" t="s">
        <v>281</v>
      </c>
      <c r="U1" s="115" t="s">
        <v>281</v>
      </c>
      <c r="V1" s="115" t="s">
        <v>281</v>
      </c>
      <c r="W1" s="115" t="s">
        <v>281</v>
      </c>
      <c r="X1" s="115" t="s">
        <v>281</v>
      </c>
      <c r="Y1" s="115" t="s">
        <v>281</v>
      </c>
      <c r="Z1" s="115" t="s">
        <v>281</v>
      </c>
      <c r="AA1" s="115" t="s">
        <v>281</v>
      </c>
      <c r="AB1" s="115" t="s">
        <v>281</v>
      </c>
      <c r="AC1" s="115" t="s">
        <v>281</v>
      </c>
      <c r="AD1" s="115" t="s">
        <v>281</v>
      </c>
      <c r="AE1" s="115" t="s">
        <v>281</v>
      </c>
      <c r="AF1" s="115" t="s">
        <v>456</v>
      </c>
      <c r="AG1" s="115" t="s">
        <v>456</v>
      </c>
      <c r="AH1" s="115" t="s">
        <v>455</v>
      </c>
      <c r="AI1" s="115" t="s">
        <v>455</v>
      </c>
      <c r="AJ1" s="115" t="s">
        <v>455</v>
      </c>
      <c r="AK1" s="115" t="s">
        <v>454</v>
      </c>
      <c r="AL1" s="115" t="s">
        <v>454</v>
      </c>
      <c r="AM1" s="115" t="s">
        <v>839</v>
      </c>
      <c r="AN1" s="115" t="s">
        <v>839</v>
      </c>
      <c r="AO1" s="115" t="s">
        <v>839</v>
      </c>
      <c r="AP1" s="115" t="s">
        <v>839</v>
      </c>
      <c r="AQ1" s="115" t="s">
        <v>839</v>
      </c>
      <c r="AR1" s="115" t="s">
        <v>839</v>
      </c>
      <c r="AS1" s="115" t="s">
        <v>839</v>
      </c>
      <c r="AT1" s="115" t="s">
        <v>839</v>
      </c>
      <c r="AU1" s="115" t="s">
        <v>839</v>
      </c>
      <c r="AV1" s="115" t="s">
        <v>839</v>
      </c>
      <c r="AW1" s="115" t="s">
        <v>839</v>
      </c>
      <c r="AX1" s="115" t="s">
        <v>839</v>
      </c>
      <c r="AY1" s="115" t="s">
        <v>839</v>
      </c>
      <c r="AZ1" s="115" t="s">
        <v>839</v>
      </c>
      <c r="BA1" s="115" t="s">
        <v>839</v>
      </c>
      <c r="BB1" s="115" t="s">
        <v>839</v>
      </c>
      <c r="BC1" s="115" t="s">
        <v>839</v>
      </c>
      <c r="BD1" s="115" t="s">
        <v>839</v>
      </c>
      <c r="BE1" s="115" t="s">
        <v>839</v>
      </c>
      <c r="BF1" s="115" t="s">
        <v>839</v>
      </c>
      <c r="BG1" s="115" t="s">
        <v>839</v>
      </c>
      <c r="BH1" s="115" t="s">
        <v>839</v>
      </c>
      <c r="BI1" s="115" t="s">
        <v>839</v>
      </c>
      <c r="BJ1" s="115" t="s">
        <v>839</v>
      </c>
      <c r="BK1" s="115" t="s">
        <v>839</v>
      </c>
      <c r="BL1" s="115" t="s">
        <v>839</v>
      </c>
      <c r="BM1" s="115" t="s">
        <v>839</v>
      </c>
      <c r="BN1" s="115" t="s">
        <v>839</v>
      </c>
      <c r="BO1" s="115" t="s">
        <v>281</v>
      </c>
      <c r="BP1" s="115" t="s">
        <v>839</v>
      </c>
      <c r="BQ1" s="115" t="s">
        <v>839</v>
      </c>
    </row>
    <row r="2" spans="1:69" ht="27" hidden="1" customHeight="1" x14ac:dyDescent="0.25">
      <c r="A2" s="110" t="s">
        <v>394</v>
      </c>
      <c r="B2" s="112"/>
      <c r="C2" s="115" t="s">
        <v>633</v>
      </c>
      <c r="D2" s="115" t="s">
        <v>633</v>
      </c>
      <c r="E2" s="115" t="s">
        <v>633</v>
      </c>
      <c r="F2" s="115" t="s">
        <v>633</v>
      </c>
      <c r="G2" s="115" t="s">
        <v>633</v>
      </c>
      <c r="H2" s="115" t="s">
        <v>633</v>
      </c>
      <c r="I2" s="115" t="s">
        <v>633</v>
      </c>
      <c r="J2" s="115" t="s">
        <v>633</v>
      </c>
      <c r="K2" s="115" t="s">
        <v>633</v>
      </c>
      <c r="L2" s="115" t="s">
        <v>633</v>
      </c>
      <c r="M2" s="115" t="s">
        <v>633</v>
      </c>
      <c r="N2" s="115" t="s">
        <v>633</v>
      </c>
      <c r="O2" s="115" t="s">
        <v>633</v>
      </c>
      <c r="P2" s="115" t="s">
        <v>617</v>
      </c>
      <c r="Q2" s="115" t="s">
        <v>617</v>
      </c>
      <c r="R2" s="115" t="s">
        <v>633</v>
      </c>
      <c r="S2" s="115" t="s">
        <v>633</v>
      </c>
      <c r="T2" s="115" t="s">
        <v>633</v>
      </c>
      <c r="U2" s="115" t="s">
        <v>633</v>
      </c>
      <c r="V2" s="115" t="s">
        <v>633</v>
      </c>
      <c r="W2" s="115" t="s">
        <v>633</v>
      </c>
      <c r="X2" s="115" t="s">
        <v>633</v>
      </c>
      <c r="Y2" s="115" t="s">
        <v>633</v>
      </c>
      <c r="Z2" s="115" t="s">
        <v>633</v>
      </c>
      <c r="AA2" s="115" t="s">
        <v>633</v>
      </c>
      <c r="AB2" s="115" t="s">
        <v>633</v>
      </c>
      <c r="AC2" s="115" t="s">
        <v>633</v>
      </c>
      <c r="AD2" s="115" t="s">
        <v>633</v>
      </c>
      <c r="AE2" s="115" t="s">
        <v>633</v>
      </c>
      <c r="AF2" s="115" t="s">
        <v>617</v>
      </c>
      <c r="AG2" s="115" t="s">
        <v>617</v>
      </c>
      <c r="AH2" s="122"/>
      <c r="AI2" s="122"/>
      <c r="AJ2" s="122"/>
      <c r="AK2" s="115" t="s">
        <v>617</v>
      </c>
      <c r="AL2" s="115" t="s">
        <v>617</v>
      </c>
      <c r="AM2" s="115" t="s">
        <v>840</v>
      </c>
      <c r="AN2" s="115" t="s">
        <v>840</v>
      </c>
      <c r="AO2" s="115" t="s">
        <v>840</v>
      </c>
      <c r="AP2" s="115" t="s">
        <v>840</v>
      </c>
      <c r="AQ2" s="115" t="s">
        <v>840</v>
      </c>
      <c r="AR2" s="115" t="s">
        <v>840</v>
      </c>
      <c r="AS2" s="115" t="s">
        <v>840</v>
      </c>
      <c r="AT2" s="115" t="s">
        <v>840</v>
      </c>
      <c r="AU2" s="115" t="s">
        <v>840</v>
      </c>
      <c r="AV2" s="115" t="s">
        <v>840</v>
      </c>
      <c r="AW2" s="115" t="s">
        <v>840</v>
      </c>
      <c r="AX2" s="115" t="s">
        <v>840</v>
      </c>
      <c r="AY2" s="115" t="s">
        <v>840</v>
      </c>
      <c r="AZ2" s="115" t="s">
        <v>840</v>
      </c>
      <c r="BA2" s="115" t="s">
        <v>840</v>
      </c>
      <c r="BB2" s="115" t="s">
        <v>840</v>
      </c>
      <c r="BC2" s="115" t="s">
        <v>840</v>
      </c>
      <c r="BD2" s="115" t="s">
        <v>840</v>
      </c>
      <c r="BE2" s="115" t="s">
        <v>840</v>
      </c>
      <c r="BF2" s="115" t="s">
        <v>840</v>
      </c>
      <c r="BG2" s="115" t="s">
        <v>840</v>
      </c>
      <c r="BH2" s="115" t="s">
        <v>840</v>
      </c>
      <c r="BI2" s="115" t="s">
        <v>840</v>
      </c>
      <c r="BJ2" s="115" t="s">
        <v>840</v>
      </c>
      <c r="BK2" s="115" t="s">
        <v>840</v>
      </c>
      <c r="BL2" s="115" t="s">
        <v>840</v>
      </c>
      <c r="BM2" s="115" t="s">
        <v>840</v>
      </c>
      <c r="BN2" s="115" t="s">
        <v>840</v>
      </c>
      <c r="BO2" s="115" t="s">
        <v>613</v>
      </c>
      <c r="BP2" s="115" t="s">
        <v>840</v>
      </c>
      <c r="BQ2" s="115" t="s">
        <v>840</v>
      </c>
    </row>
    <row r="3" spans="1:69" s="185" customFormat="1" ht="27" hidden="1" customHeight="1" x14ac:dyDescent="0.2">
      <c r="A3" s="110" t="s">
        <v>163</v>
      </c>
      <c r="B3" s="156"/>
      <c r="C3" s="153" t="s">
        <v>138</v>
      </c>
      <c r="D3" s="153" t="s">
        <v>139</v>
      </c>
      <c r="E3" s="153" t="s">
        <v>140</v>
      </c>
      <c r="F3" s="153" t="s">
        <v>141</v>
      </c>
      <c r="G3" s="153" t="s">
        <v>142</v>
      </c>
      <c r="H3" s="153" t="s">
        <v>143</v>
      </c>
      <c r="I3" s="153" t="s">
        <v>506</v>
      </c>
      <c r="J3" s="153" t="s">
        <v>507</v>
      </c>
      <c r="K3" s="153" t="s">
        <v>146</v>
      </c>
      <c r="L3" s="153" t="s">
        <v>147</v>
      </c>
      <c r="M3" s="153" t="s">
        <v>148</v>
      </c>
      <c r="N3" s="145" t="s">
        <v>276</v>
      </c>
      <c r="O3" s="145" t="s">
        <v>277</v>
      </c>
      <c r="P3" s="145" t="s">
        <v>618</v>
      </c>
      <c r="Q3" s="122" t="s">
        <v>619</v>
      </c>
      <c r="R3" s="122" t="s">
        <v>855</v>
      </c>
      <c r="S3" s="122" t="s">
        <v>856</v>
      </c>
      <c r="T3" s="122" t="s">
        <v>857</v>
      </c>
      <c r="U3" s="122" t="s">
        <v>858</v>
      </c>
      <c r="V3" s="122" t="s">
        <v>859</v>
      </c>
      <c r="W3" s="122" t="s">
        <v>860</v>
      </c>
      <c r="X3" s="122" t="s">
        <v>861</v>
      </c>
      <c r="Y3" s="122" t="s">
        <v>862</v>
      </c>
      <c r="Z3" s="122" t="s">
        <v>863</v>
      </c>
      <c r="AA3" s="122" t="s">
        <v>864</v>
      </c>
      <c r="AB3" s="122" t="s">
        <v>865</v>
      </c>
      <c r="AC3" s="122" t="s">
        <v>866</v>
      </c>
      <c r="AD3" s="122" t="s">
        <v>867</v>
      </c>
      <c r="AE3" s="122" t="s">
        <v>868</v>
      </c>
      <c r="AF3" s="115" t="s">
        <v>623</v>
      </c>
      <c r="AG3" s="122" t="s">
        <v>624</v>
      </c>
      <c r="AH3" s="115" t="s">
        <v>634</v>
      </c>
      <c r="AI3" s="115" t="s">
        <v>635</v>
      </c>
      <c r="AJ3" s="115" t="s">
        <v>636</v>
      </c>
      <c r="AK3" s="122" t="s">
        <v>629</v>
      </c>
      <c r="AL3" s="115" t="s">
        <v>630</v>
      </c>
      <c r="AM3" s="122" t="s">
        <v>1013</v>
      </c>
      <c r="AN3" s="122" t="s">
        <v>888</v>
      </c>
      <c r="AO3" s="122" t="s">
        <v>889</v>
      </c>
      <c r="AP3" s="122" t="s">
        <v>893</v>
      </c>
      <c r="AQ3" s="122" t="s">
        <v>894</v>
      </c>
      <c r="AR3" s="122" t="s">
        <v>841</v>
      </c>
      <c r="AS3" s="122" t="s">
        <v>896</v>
      </c>
      <c r="AT3" s="122" t="s">
        <v>902</v>
      </c>
      <c r="AU3" s="122" t="s">
        <v>901</v>
      </c>
      <c r="AV3" s="122" t="s">
        <v>903</v>
      </c>
      <c r="AW3" s="122" t="s">
        <v>905</v>
      </c>
      <c r="AX3" s="122" t="s">
        <v>908</v>
      </c>
      <c r="AY3" s="122" t="s">
        <v>909</v>
      </c>
      <c r="AZ3" s="122" t="s">
        <v>911</v>
      </c>
      <c r="BA3" s="122" t="s">
        <v>912</v>
      </c>
      <c r="BB3" s="122" t="s">
        <v>913</v>
      </c>
      <c r="BC3" s="122" t="s">
        <v>914</v>
      </c>
      <c r="BD3" s="122" t="s">
        <v>920</v>
      </c>
      <c r="BE3" s="122" t="s">
        <v>921</v>
      </c>
      <c r="BF3" s="122" t="s">
        <v>927</v>
      </c>
      <c r="BG3" s="122" t="s">
        <v>928</v>
      </c>
      <c r="BH3" s="122" t="s">
        <v>931</v>
      </c>
      <c r="BI3" s="122" t="s">
        <v>932</v>
      </c>
      <c r="BJ3" s="122" t="s">
        <v>935</v>
      </c>
      <c r="BK3" s="122" t="s">
        <v>936</v>
      </c>
      <c r="BL3" s="122" t="s">
        <v>937</v>
      </c>
      <c r="BM3" s="122" t="s">
        <v>938</v>
      </c>
      <c r="BN3" s="122" t="s">
        <v>941</v>
      </c>
      <c r="BO3" s="122" t="s">
        <v>875</v>
      </c>
      <c r="BP3" s="115" t="s">
        <v>1015</v>
      </c>
      <c r="BQ3" s="115" t="s">
        <v>1016</v>
      </c>
    </row>
    <row r="4" spans="1:69" s="194" customFormat="1" ht="27" hidden="1" customHeight="1" x14ac:dyDescent="0.2">
      <c r="A4" s="110" t="s">
        <v>162</v>
      </c>
      <c r="B4" s="156"/>
      <c r="C4" s="153" t="s">
        <v>149</v>
      </c>
      <c r="D4" s="153" t="s">
        <v>149</v>
      </c>
      <c r="E4" s="153" t="s">
        <v>149</v>
      </c>
      <c r="F4" s="153" t="s">
        <v>149</v>
      </c>
      <c r="G4" s="153" t="s">
        <v>149</v>
      </c>
      <c r="H4" s="153" t="s">
        <v>149</v>
      </c>
      <c r="I4" s="153" t="s">
        <v>149</v>
      </c>
      <c r="J4" s="153" t="s">
        <v>149</v>
      </c>
      <c r="K4" s="153" t="s">
        <v>149</v>
      </c>
      <c r="L4" s="153" t="s">
        <v>150</v>
      </c>
      <c r="M4" s="153" t="s">
        <v>150</v>
      </c>
      <c r="N4" s="144" t="s">
        <v>516</v>
      </c>
      <c r="O4" s="144" t="s">
        <v>516</v>
      </c>
      <c r="P4" s="144" t="s">
        <v>516</v>
      </c>
      <c r="Q4" s="144" t="s">
        <v>516</v>
      </c>
      <c r="R4" s="144" t="s">
        <v>753</v>
      </c>
      <c r="S4" s="157" t="s">
        <v>283</v>
      </c>
      <c r="T4" s="157" t="s">
        <v>283</v>
      </c>
      <c r="U4" s="157" t="s">
        <v>283</v>
      </c>
      <c r="V4" s="157" t="s">
        <v>283</v>
      </c>
      <c r="W4" s="144" t="s">
        <v>753</v>
      </c>
      <c r="X4" s="157" t="s">
        <v>287</v>
      </c>
      <c r="Y4" s="157" t="s">
        <v>287</v>
      </c>
      <c r="Z4" s="157" t="s">
        <v>287</v>
      </c>
      <c r="AA4" s="157" t="s">
        <v>287</v>
      </c>
      <c r="AB4" s="157" t="s">
        <v>287</v>
      </c>
      <c r="AC4" s="144" t="s">
        <v>753</v>
      </c>
      <c r="AD4" s="144" t="s">
        <v>753</v>
      </c>
      <c r="AE4" s="144" t="s">
        <v>753</v>
      </c>
      <c r="AF4" s="115" t="s">
        <v>516</v>
      </c>
      <c r="AG4" s="115" t="s">
        <v>516</v>
      </c>
      <c r="AH4" s="115" t="s">
        <v>149</v>
      </c>
      <c r="AI4" s="115" t="s">
        <v>516</v>
      </c>
      <c r="AJ4" s="115" t="s">
        <v>516</v>
      </c>
      <c r="AK4" s="122" t="s">
        <v>516</v>
      </c>
      <c r="AL4" s="122" t="s">
        <v>516</v>
      </c>
      <c r="AM4" s="122" t="s">
        <v>516</v>
      </c>
      <c r="AN4" s="153" t="s">
        <v>149</v>
      </c>
      <c r="AO4" s="122" t="s">
        <v>516</v>
      </c>
      <c r="AP4" s="122" t="s">
        <v>516</v>
      </c>
      <c r="AQ4" s="122" t="s">
        <v>516</v>
      </c>
      <c r="AR4" s="153" t="s">
        <v>149</v>
      </c>
      <c r="AS4" s="122" t="s">
        <v>516</v>
      </c>
      <c r="AT4" s="153" t="s">
        <v>149</v>
      </c>
      <c r="AU4" s="122" t="s">
        <v>516</v>
      </c>
      <c r="AV4" s="153" t="s">
        <v>149</v>
      </c>
      <c r="AW4" s="153" t="s">
        <v>149</v>
      </c>
      <c r="AX4" s="122" t="s">
        <v>516</v>
      </c>
      <c r="AY4" s="122" t="s">
        <v>516</v>
      </c>
      <c r="AZ4" s="153" t="s">
        <v>149</v>
      </c>
      <c r="BA4" s="122" t="s">
        <v>516</v>
      </c>
      <c r="BB4" s="153" t="s">
        <v>149</v>
      </c>
      <c r="BC4" s="122" t="s">
        <v>516</v>
      </c>
      <c r="BD4" s="153" t="s">
        <v>149</v>
      </c>
      <c r="BE4" s="122" t="s">
        <v>516</v>
      </c>
      <c r="BF4" s="153" t="s">
        <v>149</v>
      </c>
      <c r="BG4" s="122" t="s">
        <v>516</v>
      </c>
      <c r="BH4" s="153" t="s">
        <v>149</v>
      </c>
      <c r="BI4" s="122" t="s">
        <v>516</v>
      </c>
      <c r="BJ4" s="153" t="s">
        <v>149</v>
      </c>
      <c r="BK4" s="122" t="s">
        <v>516</v>
      </c>
      <c r="BL4" s="122" t="s">
        <v>516</v>
      </c>
      <c r="BM4" s="122" t="s">
        <v>516</v>
      </c>
      <c r="BN4" s="122" t="s">
        <v>516</v>
      </c>
      <c r="BO4" s="144" t="s">
        <v>516</v>
      </c>
      <c r="BP4" s="122" t="s">
        <v>516</v>
      </c>
      <c r="BQ4" s="122" t="s">
        <v>516</v>
      </c>
    </row>
    <row r="5" spans="1:69" s="194" customFormat="1" ht="27" hidden="1" customHeight="1" x14ac:dyDescent="0.2">
      <c r="A5" s="110" t="s">
        <v>395</v>
      </c>
      <c r="B5" s="158"/>
      <c r="C5" s="154" t="s">
        <v>160</v>
      </c>
      <c r="D5" s="116" t="s">
        <v>172</v>
      </c>
      <c r="E5" s="116"/>
      <c r="F5" s="116" t="s">
        <v>175</v>
      </c>
      <c r="G5" s="154" t="s">
        <v>512</v>
      </c>
      <c r="H5" s="154" t="s">
        <v>513</v>
      </c>
      <c r="I5" s="154" t="s">
        <v>514</v>
      </c>
      <c r="J5" s="154" t="s">
        <v>515</v>
      </c>
      <c r="K5" s="116" t="s">
        <v>161</v>
      </c>
      <c r="L5" s="154" t="s">
        <v>180</v>
      </c>
      <c r="M5" s="154" t="s">
        <v>181</v>
      </c>
      <c r="N5" s="117" t="s">
        <v>292</v>
      </c>
      <c r="O5" s="117" t="s">
        <v>292</v>
      </c>
      <c r="P5" s="118" t="s">
        <v>620</v>
      </c>
      <c r="Q5" s="115" t="s">
        <v>621</v>
      </c>
      <c r="R5" s="122"/>
      <c r="S5" s="153" t="s">
        <v>285</v>
      </c>
      <c r="T5" s="153" t="s">
        <v>286</v>
      </c>
      <c r="U5" s="153" t="s">
        <v>284</v>
      </c>
      <c r="V5" s="153" t="s">
        <v>131</v>
      </c>
      <c r="W5" s="122"/>
      <c r="X5" s="153" t="s">
        <v>288</v>
      </c>
      <c r="Y5" s="115" t="s">
        <v>289</v>
      </c>
      <c r="Z5" s="115" t="s">
        <v>290</v>
      </c>
      <c r="AA5" s="115" t="s">
        <v>132</v>
      </c>
      <c r="AB5" s="115" t="s">
        <v>133</v>
      </c>
      <c r="AC5" s="115"/>
      <c r="AD5" s="115"/>
      <c r="AE5" s="115"/>
      <c r="AF5" s="115" t="s">
        <v>627</v>
      </c>
      <c r="AG5" s="115" t="s">
        <v>628</v>
      </c>
      <c r="AH5" s="115" t="s">
        <v>637</v>
      </c>
      <c r="AI5" s="115" t="s">
        <v>638</v>
      </c>
      <c r="AJ5" s="115" t="s">
        <v>639</v>
      </c>
      <c r="AK5" s="122"/>
      <c r="AL5" s="122"/>
      <c r="AM5" s="122" t="s">
        <v>1014</v>
      </c>
      <c r="AN5" s="122" t="s">
        <v>843</v>
      </c>
      <c r="AO5" s="122" t="s">
        <v>844</v>
      </c>
      <c r="AP5" s="122"/>
      <c r="AQ5" s="122"/>
      <c r="AR5" s="122" t="s">
        <v>845</v>
      </c>
      <c r="AS5" s="122" t="s">
        <v>898</v>
      </c>
      <c r="AT5" s="122" t="s">
        <v>846</v>
      </c>
      <c r="AU5" s="122" t="s">
        <v>846</v>
      </c>
      <c r="AV5" s="122" t="s">
        <v>847</v>
      </c>
      <c r="AW5" s="122" t="s">
        <v>848</v>
      </c>
      <c r="AX5" s="122" t="s">
        <v>915</v>
      </c>
      <c r="AY5" s="122" t="s">
        <v>916</v>
      </c>
      <c r="AZ5" s="122" t="s">
        <v>907</v>
      </c>
      <c r="BA5" s="122" t="s">
        <v>910</v>
      </c>
      <c r="BB5" s="122" t="s">
        <v>849</v>
      </c>
      <c r="BC5" s="122" t="s">
        <v>849</v>
      </c>
      <c r="BD5" s="122" t="s">
        <v>919</v>
      </c>
      <c r="BE5" s="122" t="s">
        <v>922</v>
      </c>
      <c r="BF5" s="122" t="s">
        <v>925</v>
      </c>
      <c r="BG5" s="122" t="s">
        <v>926</v>
      </c>
      <c r="BH5" s="122" t="s">
        <v>929</v>
      </c>
      <c r="BI5" s="122" t="s">
        <v>930</v>
      </c>
      <c r="BJ5" s="122" t="s">
        <v>933</v>
      </c>
      <c r="BK5" s="122" t="s">
        <v>934</v>
      </c>
      <c r="BL5" s="122" t="s">
        <v>939</v>
      </c>
      <c r="BM5" s="122" t="s">
        <v>940</v>
      </c>
      <c r="BN5" s="122"/>
      <c r="BO5" s="115" t="s">
        <v>876</v>
      </c>
      <c r="BP5" s="115" t="s">
        <v>1017</v>
      </c>
      <c r="BQ5" s="115" t="s">
        <v>1018</v>
      </c>
    </row>
    <row r="6" spans="1:69" s="194" customFormat="1" ht="27" hidden="1" customHeight="1" x14ac:dyDescent="0.2">
      <c r="A6" s="110" t="s">
        <v>166</v>
      </c>
      <c r="B6" s="112"/>
      <c r="C6" s="115" t="s">
        <v>134</v>
      </c>
      <c r="D6" s="115" t="s">
        <v>134</v>
      </c>
      <c r="E6" s="115" t="s">
        <v>170</v>
      </c>
      <c r="F6" s="115" t="s">
        <v>134</v>
      </c>
      <c r="G6" s="115" t="s">
        <v>134</v>
      </c>
      <c r="H6" s="115" t="s">
        <v>134</v>
      </c>
      <c r="I6" s="115" t="s">
        <v>134</v>
      </c>
      <c r="J6" s="115" t="s">
        <v>134</v>
      </c>
      <c r="K6" s="115" t="s">
        <v>134</v>
      </c>
      <c r="L6" s="115" t="s">
        <v>134</v>
      </c>
      <c r="M6" s="115" t="s">
        <v>134</v>
      </c>
      <c r="N6" s="122" t="s">
        <v>134</v>
      </c>
      <c r="O6" s="122" t="s">
        <v>134</v>
      </c>
      <c r="P6" s="115" t="s">
        <v>291</v>
      </c>
      <c r="Q6" s="115" t="s">
        <v>134</v>
      </c>
      <c r="R6" s="115" t="s">
        <v>178</v>
      </c>
      <c r="S6" s="122" t="s">
        <v>183</v>
      </c>
      <c r="T6" s="122" t="s">
        <v>183</v>
      </c>
      <c r="U6" s="122" t="s">
        <v>183</v>
      </c>
      <c r="V6" s="115" t="s">
        <v>178</v>
      </c>
      <c r="W6" s="115" t="s">
        <v>178</v>
      </c>
      <c r="X6" s="122" t="s">
        <v>183</v>
      </c>
      <c r="Y6" s="122" t="s">
        <v>183</v>
      </c>
      <c r="Z6" s="122" t="s">
        <v>183</v>
      </c>
      <c r="AA6" s="115" t="s">
        <v>178</v>
      </c>
      <c r="AB6" s="115" t="s">
        <v>178</v>
      </c>
      <c r="AC6" s="115" t="s">
        <v>178</v>
      </c>
      <c r="AD6" s="115" t="s">
        <v>178</v>
      </c>
      <c r="AE6" s="122" t="s">
        <v>183</v>
      </c>
      <c r="AF6" s="115" t="s">
        <v>134</v>
      </c>
      <c r="AG6" s="115" t="s">
        <v>134</v>
      </c>
      <c r="AH6" s="115" t="s">
        <v>178</v>
      </c>
      <c r="AI6" s="115" t="s">
        <v>134</v>
      </c>
      <c r="AJ6" s="115" t="s">
        <v>178</v>
      </c>
      <c r="AK6" s="115" t="s">
        <v>134</v>
      </c>
      <c r="AL6" s="115" t="s">
        <v>134</v>
      </c>
      <c r="AM6" s="115" t="s">
        <v>178</v>
      </c>
      <c r="AN6" s="115" t="s">
        <v>895</v>
      </c>
      <c r="AO6" s="115" t="s">
        <v>134</v>
      </c>
      <c r="AP6" s="115" t="s">
        <v>895</v>
      </c>
      <c r="AQ6" s="115" t="s">
        <v>134</v>
      </c>
      <c r="AR6" s="115" t="s">
        <v>134</v>
      </c>
      <c r="AS6" s="115" t="s">
        <v>134</v>
      </c>
      <c r="AT6" s="115" t="s">
        <v>134</v>
      </c>
      <c r="AU6" s="115" t="s">
        <v>134</v>
      </c>
      <c r="AV6" s="115" t="s">
        <v>134</v>
      </c>
      <c r="AW6" s="115" t="s">
        <v>134</v>
      </c>
      <c r="AX6" s="115" t="s">
        <v>134</v>
      </c>
      <c r="AY6" s="115" t="s">
        <v>134</v>
      </c>
      <c r="AZ6" s="115" t="s">
        <v>134</v>
      </c>
      <c r="BA6" s="115" t="s">
        <v>134</v>
      </c>
      <c r="BB6" s="115" t="s">
        <v>134</v>
      </c>
      <c r="BC6" s="115" t="s">
        <v>134</v>
      </c>
      <c r="BD6" s="115" t="s">
        <v>134</v>
      </c>
      <c r="BE6" s="115" t="s">
        <v>134</v>
      </c>
      <c r="BF6" s="115" t="s">
        <v>134</v>
      </c>
      <c r="BG6" s="115" t="s">
        <v>134</v>
      </c>
      <c r="BH6" s="115" t="s">
        <v>134</v>
      </c>
      <c r="BI6" s="115" t="s">
        <v>134</v>
      </c>
      <c r="BJ6" s="115" t="s">
        <v>134</v>
      </c>
      <c r="BK6" s="115" t="s">
        <v>134</v>
      </c>
      <c r="BL6" s="115" t="s">
        <v>134</v>
      </c>
      <c r="BM6" s="115" t="s">
        <v>134</v>
      </c>
      <c r="BN6" s="115" t="s">
        <v>178</v>
      </c>
      <c r="BO6" s="122" t="s">
        <v>134</v>
      </c>
      <c r="BP6" s="115" t="s">
        <v>134</v>
      </c>
      <c r="BQ6" s="115" t="s">
        <v>134</v>
      </c>
    </row>
    <row r="7" spans="1:69" s="194" customFormat="1" ht="27" hidden="1" customHeight="1" x14ac:dyDescent="0.2">
      <c r="A7" s="110" t="s">
        <v>167</v>
      </c>
      <c r="B7" s="112"/>
      <c r="C7" s="115" t="s">
        <v>169</v>
      </c>
      <c r="D7" s="115" t="s">
        <v>169</v>
      </c>
      <c r="E7" s="115" t="s">
        <v>171</v>
      </c>
      <c r="F7" s="115" t="s">
        <v>173</v>
      </c>
      <c r="G7" s="115" t="s">
        <v>173</v>
      </c>
      <c r="H7" s="115" t="s">
        <v>173</v>
      </c>
      <c r="I7" s="115" t="s">
        <v>173</v>
      </c>
      <c r="J7" s="115" t="s">
        <v>173</v>
      </c>
      <c r="K7" s="115" t="s">
        <v>169</v>
      </c>
      <c r="L7" s="115" t="s">
        <v>173</v>
      </c>
      <c r="M7" s="115" t="s">
        <v>173</v>
      </c>
      <c r="N7" s="122" t="s">
        <v>2</v>
      </c>
      <c r="O7" s="122" t="s">
        <v>2</v>
      </c>
      <c r="P7" s="122" t="s">
        <v>171</v>
      </c>
      <c r="Q7" s="115" t="s">
        <v>169</v>
      </c>
      <c r="R7" s="115" t="s">
        <v>171</v>
      </c>
      <c r="S7" s="122" t="s">
        <v>183</v>
      </c>
      <c r="T7" s="122" t="s">
        <v>183</v>
      </c>
      <c r="U7" s="122" t="s">
        <v>183</v>
      </c>
      <c r="V7" s="115" t="s">
        <v>171</v>
      </c>
      <c r="W7" s="115" t="s">
        <v>171</v>
      </c>
      <c r="X7" s="122" t="s">
        <v>183</v>
      </c>
      <c r="Y7" s="122" t="s">
        <v>183</v>
      </c>
      <c r="Z7" s="122" t="s">
        <v>183</v>
      </c>
      <c r="AA7" s="122" t="s">
        <v>171</v>
      </c>
      <c r="AB7" s="122" t="s">
        <v>171</v>
      </c>
      <c r="AC7" s="122" t="s">
        <v>171</v>
      </c>
      <c r="AD7" s="122" t="s">
        <v>171</v>
      </c>
      <c r="AE7" s="122" t="s">
        <v>183</v>
      </c>
      <c r="AF7" s="115" t="s">
        <v>169</v>
      </c>
      <c r="AG7" s="115" t="s">
        <v>169</v>
      </c>
      <c r="AH7" s="115" t="s">
        <v>171</v>
      </c>
      <c r="AI7" s="115" t="s">
        <v>169</v>
      </c>
      <c r="AJ7" s="115" t="s">
        <v>171</v>
      </c>
      <c r="AK7" s="115" t="s">
        <v>173</v>
      </c>
      <c r="AL7" s="115" t="s">
        <v>173</v>
      </c>
      <c r="AM7" s="115" t="s">
        <v>171</v>
      </c>
      <c r="AN7" s="115" t="s">
        <v>171</v>
      </c>
      <c r="AO7" s="115" t="s">
        <v>169</v>
      </c>
      <c r="AP7" s="115" t="s">
        <v>171</v>
      </c>
      <c r="AQ7" s="115" t="s">
        <v>169</v>
      </c>
      <c r="AR7" s="115" t="s">
        <v>185</v>
      </c>
      <c r="AS7" s="115" t="s">
        <v>185</v>
      </c>
      <c r="AT7" s="115" t="s">
        <v>185</v>
      </c>
      <c r="AU7" s="115" t="s">
        <v>185</v>
      </c>
      <c r="AV7" s="115" t="s">
        <v>185</v>
      </c>
      <c r="AW7" s="115" t="s">
        <v>185</v>
      </c>
      <c r="AX7" s="115" t="s">
        <v>185</v>
      </c>
      <c r="AY7" s="115" t="s">
        <v>185</v>
      </c>
      <c r="AZ7" s="115" t="s">
        <v>185</v>
      </c>
      <c r="BA7" s="115" t="s">
        <v>185</v>
      </c>
      <c r="BB7" s="115" t="s">
        <v>185</v>
      </c>
      <c r="BC7" s="115" t="s">
        <v>185</v>
      </c>
      <c r="BD7" s="115" t="s">
        <v>185</v>
      </c>
      <c r="BE7" s="115" t="s">
        <v>185</v>
      </c>
      <c r="BF7" s="115" t="s">
        <v>185</v>
      </c>
      <c r="BG7" s="115" t="s">
        <v>185</v>
      </c>
      <c r="BH7" s="115" t="s">
        <v>185</v>
      </c>
      <c r="BI7" s="115" t="s">
        <v>185</v>
      </c>
      <c r="BJ7" s="115" t="s">
        <v>185</v>
      </c>
      <c r="BK7" s="115" t="s">
        <v>185</v>
      </c>
      <c r="BL7" s="115" t="s">
        <v>169</v>
      </c>
      <c r="BM7" s="115" t="s">
        <v>169</v>
      </c>
      <c r="BN7" s="115" t="s">
        <v>171</v>
      </c>
      <c r="BO7" s="122" t="s">
        <v>169</v>
      </c>
      <c r="BP7" s="115" t="s">
        <v>169</v>
      </c>
      <c r="BQ7" s="115" t="s">
        <v>169</v>
      </c>
    </row>
    <row r="8" spans="1:69" s="194" customFormat="1" ht="27" hidden="1" customHeight="1" x14ac:dyDescent="0.2">
      <c r="A8" s="110" t="s">
        <v>168</v>
      </c>
      <c r="B8" s="112"/>
      <c r="C8" s="115">
        <v>80</v>
      </c>
      <c r="D8" s="115">
        <v>20</v>
      </c>
      <c r="E8" s="115" t="s">
        <v>134</v>
      </c>
      <c r="F8" s="115" t="s">
        <v>174</v>
      </c>
      <c r="G8" s="115" t="s">
        <v>174</v>
      </c>
      <c r="H8" s="115" t="s">
        <v>174</v>
      </c>
      <c r="I8" s="115" t="s">
        <v>174</v>
      </c>
      <c r="J8" s="115" t="s">
        <v>174</v>
      </c>
      <c r="K8" s="115">
        <v>1500</v>
      </c>
      <c r="L8" s="115" t="s">
        <v>174</v>
      </c>
      <c r="M8" s="115" t="s">
        <v>174</v>
      </c>
      <c r="N8" s="122" t="s">
        <v>745</v>
      </c>
      <c r="O8" s="122" t="s">
        <v>745</v>
      </c>
      <c r="P8" s="122" t="s">
        <v>134</v>
      </c>
      <c r="Q8" s="115">
        <v>255</v>
      </c>
      <c r="R8" s="115" t="s">
        <v>134</v>
      </c>
      <c r="S8" s="122" t="s">
        <v>183</v>
      </c>
      <c r="T8" s="122" t="s">
        <v>183</v>
      </c>
      <c r="U8" s="122" t="s">
        <v>183</v>
      </c>
      <c r="V8" s="115" t="s">
        <v>134</v>
      </c>
      <c r="W8" s="115" t="s">
        <v>134</v>
      </c>
      <c r="X8" s="122" t="s">
        <v>183</v>
      </c>
      <c r="Y8" s="122" t="s">
        <v>183</v>
      </c>
      <c r="Z8" s="122" t="s">
        <v>183</v>
      </c>
      <c r="AA8" s="122" t="s">
        <v>134</v>
      </c>
      <c r="AB8" s="122" t="s">
        <v>134</v>
      </c>
      <c r="AC8" s="122" t="s">
        <v>134</v>
      </c>
      <c r="AD8" s="122" t="s">
        <v>134</v>
      </c>
      <c r="AE8" s="122" t="s">
        <v>183</v>
      </c>
      <c r="AF8" s="115">
        <v>50</v>
      </c>
      <c r="AG8" s="115">
        <v>50</v>
      </c>
      <c r="AH8" s="115" t="s">
        <v>134</v>
      </c>
      <c r="AI8" s="115">
        <v>1500</v>
      </c>
      <c r="AJ8" s="115" t="s">
        <v>134</v>
      </c>
      <c r="AK8" s="115" t="s">
        <v>174</v>
      </c>
      <c r="AL8" s="115" t="s">
        <v>174</v>
      </c>
      <c r="AM8" s="115" t="s">
        <v>134</v>
      </c>
      <c r="AN8" s="115" t="s">
        <v>134</v>
      </c>
      <c r="AO8" s="115">
        <v>250</v>
      </c>
      <c r="AP8" s="115" t="s">
        <v>134</v>
      </c>
      <c r="AQ8" s="115">
        <v>250</v>
      </c>
      <c r="AR8" s="115">
        <v>10</v>
      </c>
      <c r="AS8" s="115">
        <v>10</v>
      </c>
      <c r="AT8" s="115">
        <v>10</v>
      </c>
      <c r="AU8" s="115">
        <v>10</v>
      </c>
      <c r="AV8" s="115">
        <v>10</v>
      </c>
      <c r="AW8" s="115">
        <v>10</v>
      </c>
      <c r="AX8" s="115">
        <v>10</v>
      </c>
      <c r="AY8" s="115">
        <v>10</v>
      </c>
      <c r="AZ8" s="115">
        <v>10</v>
      </c>
      <c r="BA8" s="115">
        <v>10</v>
      </c>
      <c r="BB8" s="115">
        <v>10</v>
      </c>
      <c r="BC8" s="115">
        <v>10</v>
      </c>
      <c r="BD8" s="115">
        <v>10</v>
      </c>
      <c r="BE8" s="115">
        <v>10</v>
      </c>
      <c r="BF8" s="115">
        <v>10</v>
      </c>
      <c r="BG8" s="115">
        <v>10</v>
      </c>
      <c r="BH8" s="115">
        <v>10</v>
      </c>
      <c r="BI8" s="115">
        <v>10</v>
      </c>
      <c r="BJ8" s="115">
        <v>10</v>
      </c>
      <c r="BK8" s="115">
        <v>10</v>
      </c>
      <c r="BL8" s="115">
        <v>250</v>
      </c>
      <c r="BM8" s="115">
        <v>250</v>
      </c>
      <c r="BN8" s="115" t="s">
        <v>134</v>
      </c>
      <c r="BO8" s="122">
        <v>255</v>
      </c>
      <c r="BP8" s="115">
        <v>1500</v>
      </c>
      <c r="BQ8" s="115">
        <v>1500</v>
      </c>
    </row>
    <row r="9" spans="1:69" s="194" customFormat="1" ht="27" hidden="1" customHeight="1" x14ac:dyDescent="0.2">
      <c r="A9" s="110" t="s">
        <v>396</v>
      </c>
      <c r="B9" s="156"/>
      <c r="C9" s="153"/>
      <c r="D9" s="153"/>
      <c r="E9" s="153"/>
      <c r="F9" s="153"/>
      <c r="G9" s="153"/>
      <c r="H9" s="153"/>
      <c r="I9" s="153"/>
      <c r="J9" s="153"/>
      <c r="K9" s="153"/>
      <c r="L9" s="153"/>
      <c r="M9" s="153"/>
      <c r="N9" s="144" t="s">
        <v>622</v>
      </c>
      <c r="O9" s="144" t="s">
        <v>622</v>
      </c>
      <c r="P9" s="144" t="s">
        <v>622</v>
      </c>
      <c r="Q9" s="144" t="s">
        <v>622</v>
      </c>
      <c r="R9" s="144"/>
      <c r="S9" s="157"/>
      <c r="T9" s="157"/>
      <c r="U9" s="157"/>
      <c r="V9" s="157"/>
      <c r="W9" s="144"/>
      <c r="X9" s="157"/>
      <c r="Y9" s="157"/>
      <c r="Z9" s="157"/>
      <c r="AA9" s="157"/>
      <c r="AB9" s="157"/>
      <c r="AC9" s="144"/>
      <c r="AD9" s="144"/>
      <c r="AE9" s="144"/>
      <c r="AF9" s="144" t="s">
        <v>622</v>
      </c>
      <c r="AG9" s="144" t="s">
        <v>622</v>
      </c>
      <c r="AH9" s="144" t="s">
        <v>622</v>
      </c>
      <c r="AI9" s="144" t="s">
        <v>622</v>
      </c>
      <c r="AJ9" s="144" t="s">
        <v>622</v>
      </c>
      <c r="AK9" s="144" t="s">
        <v>622</v>
      </c>
      <c r="AL9" s="144" t="s">
        <v>622</v>
      </c>
      <c r="AM9" s="144"/>
      <c r="AN9" s="144"/>
      <c r="AO9" s="144"/>
      <c r="AP9" s="144"/>
      <c r="AQ9" s="144"/>
      <c r="AR9" s="144"/>
      <c r="AS9" s="144"/>
      <c r="AT9" s="144"/>
      <c r="AU9" s="144"/>
      <c r="AV9" s="144"/>
      <c r="AW9" s="144"/>
      <c r="AX9" s="144"/>
      <c r="AY9" s="144"/>
      <c r="AZ9" s="144"/>
      <c r="BA9" s="144"/>
      <c r="BB9" s="144"/>
      <c r="BC9" s="144"/>
      <c r="BD9" s="144"/>
      <c r="BE9" s="144"/>
      <c r="BF9" s="144"/>
      <c r="BG9" s="144"/>
      <c r="BH9" s="144"/>
      <c r="BI9" s="144"/>
      <c r="BJ9" s="144"/>
      <c r="BK9" s="144"/>
      <c r="BL9" s="144"/>
      <c r="BM9" s="144"/>
      <c r="BN9" s="144"/>
      <c r="BO9" s="144" t="s">
        <v>877</v>
      </c>
      <c r="BP9" s="144"/>
      <c r="BQ9" s="144"/>
    </row>
    <row r="10" spans="1:69" s="194" customFormat="1" ht="35.15" hidden="1" customHeight="1" x14ac:dyDescent="0.2">
      <c r="A10" s="86" t="s">
        <v>752</v>
      </c>
      <c r="B10" s="94"/>
      <c r="C10" s="87" t="s">
        <v>755</v>
      </c>
      <c r="D10" s="87" t="s">
        <v>756</v>
      </c>
      <c r="E10" s="87" t="s">
        <v>757</v>
      </c>
      <c r="F10" s="87" t="s">
        <v>758</v>
      </c>
      <c r="G10" s="87" t="s">
        <v>759</v>
      </c>
      <c r="H10" s="88" t="s">
        <v>806</v>
      </c>
      <c r="I10" s="88" t="s">
        <v>805</v>
      </c>
      <c r="J10" s="88" t="s">
        <v>831</v>
      </c>
      <c r="K10" s="87" t="s">
        <v>760</v>
      </c>
      <c r="L10" s="87" t="s">
        <v>761</v>
      </c>
      <c r="M10" s="87" t="s">
        <v>762</v>
      </c>
      <c r="N10" s="90"/>
      <c r="O10" s="90"/>
      <c r="P10" s="90"/>
      <c r="Q10" s="90"/>
      <c r="R10" s="90"/>
      <c r="S10" s="95"/>
      <c r="T10" s="95"/>
      <c r="U10" s="95"/>
      <c r="V10" s="95"/>
      <c r="W10" s="90"/>
      <c r="X10" s="95"/>
      <c r="Y10" s="95"/>
      <c r="Z10" s="95"/>
      <c r="AA10" s="95"/>
      <c r="AB10" s="95"/>
      <c r="AC10" s="90"/>
      <c r="AD10" s="90"/>
      <c r="AE10" s="90"/>
      <c r="AF10" s="90"/>
      <c r="AG10" s="90"/>
      <c r="AH10" s="90"/>
      <c r="AI10" s="90"/>
      <c r="AJ10" s="90"/>
      <c r="AK10" s="90"/>
      <c r="AL10" s="90"/>
      <c r="AM10" s="90"/>
      <c r="AN10" s="90"/>
      <c r="AO10" s="90"/>
      <c r="AP10" s="90"/>
      <c r="AQ10" s="90"/>
      <c r="AR10" s="90"/>
      <c r="AS10" s="90"/>
      <c r="AT10" s="90"/>
      <c r="AU10" s="90"/>
      <c r="AV10" s="90"/>
      <c r="AW10" s="90"/>
      <c r="AX10" s="90"/>
      <c r="AY10" s="90"/>
      <c r="AZ10" s="90"/>
      <c r="BA10" s="90"/>
      <c r="BB10" s="90"/>
      <c r="BC10" s="90"/>
      <c r="BD10" s="90"/>
      <c r="BE10" s="90"/>
      <c r="BF10" s="90"/>
      <c r="BG10" s="90"/>
      <c r="BH10" s="90"/>
      <c r="BI10" s="90"/>
      <c r="BJ10" s="90"/>
      <c r="BK10" s="90"/>
      <c r="BL10" s="90"/>
      <c r="BM10" s="90"/>
      <c r="BN10" s="90"/>
      <c r="BO10" s="90"/>
      <c r="BP10" s="90" t="s">
        <v>1021</v>
      </c>
      <c r="BQ10" s="90" t="s">
        <v>1021</v>
      </c>
    </row>
    <row r="11" spans="1:69" s="163" customFormat="1" ht="14" x14ac:dyDescent="0.3">
      <c r="A11" s="70"/>
      <c r="B11" s="71"/>
      <c r="C11" s="69">
        <f>Cover!$C$2</f>
        <v>0</v>
      </c>
      <c r="D11" s="71"/>
      <c r="E11" s="71"/>
      <c r="F11" s="71"/>
      <c r="G11" s="71"/>
      <c r="H11" s="71"/>
      <c r="I11" s="71"/>
      <c r="J11" s="71"/>
      <c r="K11" s="71"/>
      <c r="L11" s="71"/>
      <c r="M11" s="71"/>
      <c r="N11" s="72"/>
      <c r="O11" s="72"/>
      <c r="P11" s="72"/>
      <c r="Q11" s="72"/>
      <c r="R11" s="72"/>
      <c r="S11" s="73"/>
      <c r="T11" s="73"/>
      <c r="U11" s="73"/>
      <c r="V11" s="73"/>
      <c r="W11" s="72"/>
      <c r="X11" s="73"/>
      <c r="Y11" s="73"/>
      <c r="Z11" s="73"/>
      <c r="AA11" s="73"/>
      <c r="AB11" s="73"/>
      <c r="AC11" s="72"/>
      <c r="AD11" s="72"/>
      <c r="AE11" s="72"/>
      <c r="AF11" s="74"/>
      <c r="AG11" s="74"/>
      <c r="AH11" s="74"/>
      <c r="AI11" s="74"/>
      <c r="AJ11" s="74"/>
      <c r="AK11" s="74"/>
      <c r="AL11" s="74"/>
      <c r="AM11" s="74"/>
      <c r="AN11" s="74"/>
      <c r="AO11" s="74"/>
      <c r="AP11" s="74"/>
      <c r="AQ11" s="74"/>
      <c r="AR11" s="74"/>
      <c r="AS11" s="74"/>
      <c r="AT11" s="74"/>
      <c r="AU11" s="74"/>
      <c r="AV11" s="74"/>
      <c r="AW11" s="74"/>
      <c r="AX11" s="74"/>
      <c r="AY11" s="74"/>
      <c r="AZ11" s="74"/>
      <c r="BA11" s="74"/>
      <c r="BB11" s="74"/>
      <c r="BC11" s="74"/>
      <c r="BD11" s="74"/>
      <c r="BE11" s="74"/>
      <c r="BF11" s="74"/>
      <c r="BG11" s="74"/>
      <c r="BH11" s="74"/>
      <c r="BI11" s="74"/>
      <c r="BJ11" s="74"/>
      <c r="BK11" s="74"/>
      <c r="BL11" s="74"/>
      <c r="BM11" s="74"/>
      <c r="BN11" s="74"/>
      <c r="BO11" s="216"/>
      <c r="BP11" s="74"/>
      <c r="BQ11" s="74"/>
    </row>
    <row r="12" spans="1:69" ht="195" x14ac:dyDescent="0.3">
      <c r="A12" s="229" t="s">
        <v>164</v>
      </c>
      <c r="B12" s="230"/>
      <c r="C12" s="232" t="s">
        <v>7</v>
      </c>
      <c r="D12" s="232" t="s">
        <v>152</v>
      </c>
      <c r="E12" s="232" t="s">
        <v>153</v>
      </c>
      <c r="F12" s="232" t="s">
        <v>154</v>
      </c>
      <c r="G12" s="232" t="s">
        <v>508</v>
      </c>
      <c r="H12" s="232" t="s">
        <v>509</v>
      </c>
      <c r="I12" s="232" t="s">
        <v>510</v>
      </c>
      <c r="J12" s="232" t="s">
        <v>511</v>
      </c>
      <c r="K12" s="232" t="s">
        <v>157</v>
      </c>
      <c r="L12" s="308" t="s">
        <v>158</v>
      </c>
      <c r="M12" s="308" t="s">
        <v>159</v>
      </c>
      <c r="N12" s="232" t="s">
        <v>278</v>
      </c>
      <c r="O12" s="232" t="s">
        <v>279</v>
      </c>
      <c r="P12" s="232" t="s">
        <v>699</v>
      </c>
      <c r="Q12" s="232" t="s">
        <v>282</v>
      </c>
      <c r="R12" s="232" t="s">
        <v>379</v>
      </c>
      <c r="S12" s="232" t="s">
        <v>381</v>
      </c>
      <c r="T12" s="232" t="s">
        <v>380</v>
      </c>
      <c r="U12" s="232" t="s">
        <v>384</v>
      </c>
      <c r="V12" s="232" t="s">
        <v>382</v>
      </c>
      <c r="W12" s="232" t="s">
        <v>383</v>
      </c>
      <c r="X12" s="232" t="s">
        <v>385</v>
      </c>
      <c r="Y12" s="232" t="s">
        <v>386</v>
      </c>
      <c r="Z12" s="232" t="s">
        <v>387</v>
      </c>
      <c r="AA12" s="232" t="s">
        <v>388</v>
      </c>
      <c r="AB12" s="232" t="s">
        <v>389</v>
      </c>
      <c r="AC12" s="232" t="s">
        <v>390</v>
      </c>
      <c r="AD12" s="232" t="s">
        <v>392</v>
      </c>
      <c r="AE12" s="232" t="s">
        <v>391</v>
      </c>
      <c r="AF12" s="232" t="s">
        <v>625</v>
      </c>
      <c r="AG12" s="232" t="s">
        <v>626</v>
      </c>
      <c r="AH12" s="232" t="s">
        <v>1023</v>
      </c>
      <c r="AI12" s="232" t="s">
        <v>698</v>
      </c>
      <c r="AJ12" s="232" t="s">
        <v>697</v>
      </c>
      <c r="AK12" s="232" t="s">
        <v>631</v>
      </c>
      <c r="AL12" s="232" t="s">
        <v>632</v>
      </c>
      <c r="AM12" s="232" t="s">
        <v>1014</v>
      </c>
      <c r="AN12" s="232" t="s">
        <v>887</v>
      </c>
      <c r="AO12" s="232" t="s">
        <v>890</v>
      </c>
      <c r="AP12" s="232" t="s">
        <v>891</v>
      </c>
      <c r="AQ12" s="232" t="s">
        <v>892</v>
      </c>
      <c r="AR12" s="232" t="s">
        <v>897</v>
      </c>
      <c r="AS12" s="232" t="s">
        <v>898</v>
      </c>
      <c r="AT12" s="232" t="s">
        <v>899</v>
      </c>
      <c r="AU12" s="232" t="s">
        <v>900</v>
      </c>
      <c r="AV12" s="232" t="s">
        <v>904</v>
      </c>
      <c r="AW12" s="232" t="s">
        <v>906</v>
      </c>
      <c r="AX12" s="232" t="s">
        <v>915</v>
      </c>
      <c r="AY12" s="232" t="s">
        <v>916</v>
      </c>
      <c r="AZ12" s="232" t="s">
        <v>907</v>
      </c>
      <c r="BA12" s="232" t="s">
        <v>910</v>
      </c>
      <c r="BB12" s="232" t="s">
        <v>918</v>
      </c>
      <c r="BC12" s="232" t="s">
        <v>917</v>
      </c>
      <c r="BD12" s="232" t="s">
        <v>923</v>
      </c>
      <c r="BE12" s="232" t="s">
        <v>924</v>
      </c>
      <c r="BF12" s="232" t="s">
        <v>925</v>
      </c>
      <c r="BG12" s="232" t="s">
        <v>926</v>
      </c>
      <c r="BH12" s="232" t="s">
        <v>929</v>
      </c>
      <c r="BI12" s="232" t="s">
        <v>930</v>
      </c>
      <c r="BJ12" s="232" t="s">
        <v>933</v>
      </c>
      <c r="BK12" s="232" t="s">
        <v>934</v>
      </c>
      <c r="BL12" s="232" t="s">
        <v>939</v>
      </c>
      <c r="BM12" s="232" t="s">
        <v>940</v>
      </c>
      <c r="BN12" s="232" t="s">
        <v>842</v>
      </c>
      <c r="BO12" s="232" t="s">
        <v>876</v>
      </c>
      <c r="BP12" s="232" t="s">
        <v>1017</v>
      </c>
      <c r="BQ12" s="232" t="s">
        <v>1018</v>
      </c>
    </row>
    <row r="13" spans="1:69" s="164" customFormat="1" ht="12.75" customHeight="1" x14ac:dyDescent="0.25">
      <c r="A13" s="238" t="s">
        <v>165</v>
      </c>
      <c r="B13" s="241"/>
      <c r="C13" s="242"/>
      <c r="D13" s="242"/>
      <c r="E13" s="242"/>
      <c r="F13" s="248"/>
      <c r="G13" s="248"/>
      <c r="H13" s="248"/>
      <c r="I13" s="248"/>
      <c r="J13" s="248"/>
      <c r="K13" s="242"/>
      <c r="L13" s="248"/>
      <c r="M13" s="248"/>
      <c r="N13" s="218"/>
      <c r="O13" s="218"/>
      <c r="P13" s="219"/>
      <c r="Q13" s="244"/>
      <c r="R13" s="244"/>
      <c r="S13" s="242"/>
      <c r="T13" s="244"/>
      <c r="U13" s="244"/>
      <c r="V13" s="244"/>
      <c r="W13" s="244"/>
      <c r="X13" s="244"/>
      <c r="Y13" s="244"/>
      <c r="Z13" s="244"/>
      <c r="AA13" s="244"/>
      <c r="AB13" s="244"/>
      <c r="AC13" s="244"/>
      <c r="AD13" s="244"/>
      <c r="AE13" s="244"/>
      <c r="AF13" s="244"/>
      <c r="AG13" s="244"/>
      <c r="AH13" s="244"/>
      <c r="AI13" s="244"/>
      <c r="AJ13" s="244"/>
      <c r="AK13" s="246"/>
      <c r="AL13" s="250"/>
      <c r="AM13" s="244"/>
      <c r="AN13" s="244"/>
      <c r="AO13" s="244"/>
      <c r="AP13" s="244"/>
      <c r="AQ13" s="244"/>
      <c r="AR13" s="244"/>
      <c r="AS13" s="244"/>
      <c r="AT13" s="244"/>
      <c r="AU13" s="244"/>
      <c r="AV13" s="244"/>
      <c r="AW13" s="244"/>
      <c r="AX13" s="244"/>
      <c r="AY13" s="244"/>
      <c r="AZ13" s="244"/>
      <c r="BA13" s="244"/>
      <c r="BB13" s="244"/>
      <c r="BC13" s="244"/>
      <c r="BD13" s="244"/>
      <c r="BE13" s="244"/>
      <c r="BF13" s="244"/>
      <c r="BG13" s="244"/>
      <c r="BH13" s="244"/>
      <c r="BI13" s="244"/>
      <c r="BJ13" s="244"/>
      <c r="BK13" s="244"/>
      <c r="BL13" s="244"/>
      <c r="BM13" s="244"/>
      <c r="BN13" s="244"/>
      <c r="BO13" s="244"/>
      <c r="BP13" s="242"/>
      <c r="BQ13" s="242"/>
    </row>
    <row r="14" spans="1:69" s="164" customFormat="1" ht="12.75" customHeight="1" x14ac:dyDescent="0.25">
      <c r="A14" s="238"/>
      <c r="B14" s="241"/>
      <c r="C14" s="242"/>
      <c r="D14" s="242"/>
      <c r="E14" s="242"/>
      <c r="F14" s="248"/>
      <c r="G14" s="248"/>
      <c r="H14" s="248"/>
      <c r="I14" s="248"/>
      <c r="J14" s="248"/>
      <c r="K14" s="242"/>
      <c r="L14" s="248"/>
      <c r="M14" s="248"/>
      <c r="N14" s="218"/>
      <c r="O14" s="218"/>
      <c r="P14" s="219"/>
      <c r="Q14" s="244"/>
      <c r="R14" s="244"/>
      <c r="S14" s="242"/>
      <c r="T14" s="244"/>
      <c r="U14" s="244"/>
      <c r="V14" s="244"/>
      <c r="W14" s="244"/>
      <c r="X14" s="244"/>
      <c r="Y14" s="244"/>
      <c r="Z14" s="244"/>
      <c r="AA14" s="244"/>
      <c r="AB14" s="244"/>
      <c r="AC14" s="244"/>
      <c r="AD14" s="244"/>
      <c r="AE14" s="244"/>
      <c r="AF14" s="244"/>
      <c r="AG14" s="244"/>
      <c r="AH14" s="244"/>
      <c r="AI14" s="244"/>
      <c r="AJ14" s="244"/>
      <c r="AK14" s="246"/>
      <c r="AL14" s="250"/>
      <c r="AM14" s="244"/>
      <c r="AN14" s="244"/>
      <c r="AO14" s="244"/>
      <c r="AP14" s="244"/>
      <c r="AQ14" s="244"/>
      <c r="AR14" s="244"/>
      <c r="AS14" s="244"/>
      <c r="AT14" s="244"/>
      <c r="AU14" s="244"/>
      <c r="AV14" s="244"/>
      <c r="AW14" s="244"/>
      <c r="AX14" s="244"/>
      <c r="AY14" s="244"/>
      <c r="AZ14" s="244"/>
      <c r="BA14" s="244"/>
      <c r="BB14" s="244"/>
      <c r="BC14" s="244"/>
      <c r="BD14" s="244"/>
      <c r="BE14" s="244"/>
      <c r="BF14" s="244"/>
      <c r="BG14" s="244"/>
      <c r="BH14" s="244"/>
      <c r="BI14" s="244"/>
      <c r="BJ14" s="244"/>
      <c r="BK14" s="244"/>
      <c r="BL14" s="244"/>
      <c r="BM14" s="244"/>
      <c r="BN14" s="244"/>
      <c r="BO14" s="242"/>
      <c r="BP14" s="242"/>
      <c r="BQ14" s="242"/>
    </row>
    <row r="15" spans="1:69" s="164" customFormat="1" ht="12.75" customHeight="1" x14ac:dyDescent="0.25">
      <c r="A15" s="238"/>
      <c r="B15" s="241"/>
      <c r="C15" s="242"/>
      <c r="D15" s="242"/>
      <c r="E15" s="242"/>
      <c r="F15" s="248"/>
      <c r="G15" s="248"/>
      <c r="H15" s="248"/>
      <c r="I15" s="248"/>
      <c r="J15" s="248"/>
      <c r="K15" s="242"/>
      <c r="L15" s="248"/>
      <c r="M15" s="248"/>
      <c r="N15" s="218"/>
      <c r="O15" s="218"/>
      <c r="P15" s="219"/>
      <c r="Q15" s="244"/>
      <c r="R15" s="244"/>
      <c r="S15" s="242"/>
      <c r="T15" s="244"/>
      <c r="U15" s="244"/>
      <c r="V15" s="244"/>
      <c r="W15" s="244"/>
      <c r="X15" s="244"/>
      <c r="Y15" s="244"/>
      <c r="Z15" s="244"/>
      <c r="AA15" s="244"/>
      <c r="AB15" s="244"/>
      <c r="AC15" s="244"/>
      <c r="AD15" s="244"/>
      <c r="AE15" s="244"/>
      <c r="AF15" s="244"/>
      <c r="AG15" s="244"/>
      <c r="AH15" s="244"/>
      <c r="AI15" s="244"/>
      <c r="AJ15" s="244"/>
      <c r="AK15" s="246"/>
      <c r="AL15" s="250"/>
      <c r="AM15" s="244"/>
      <c r="AN15" s="244"/>
      <c r="AO15" s="244"/>
      <c r="AP15" s="244"/>
      <c r="AQ15" s="244"/>
      <c r="AR15" s="244"/>
      <c r="AS15" s="244"/>
      <c r="AT15" s="244"/>
      <c r="AU15" s="244"/>
      <c r="AV15" s="244"/>
      <c r="AW15" s="244"/>
      <c r="AX15" s="244"/>
      <c r="AY15" s="244"/>
      <c r="AZ15" s="244"/>
      <c r="BA15" s="244"/>
      <c r="BB15" s="244"/>
      <c r="BC15" s="244"/>
      <c r="BD15" s="244"/>
      <c r="BE15" s="244"/>
      <c r="BF15" s="244"/>
      <c r="BG15" s="244"/>
      <c r="BH15" s="244"/>
      <c r="BI15" s="244"/>
      <c r="BJ15" s="244"/>
      <c r="BK15" s="244"/>
      <c r="BL15" s="244"/>
      <c r="BM15" s="244"/>
      <c r="BN15" s="244"/>
      <c r="BO15" s="242"/>
      <c r="BP15" s="242"/>
      <c r="BQ15" s="242"/>
    </row>
    <row r="16" spans="1:69" s="164" customFormat="1" ht="12.75" customHeight="1" x14ac:dyDescent="0.25">
      <c r="A16" s="238"/>
      <c r="B16" s="241"/>
      <c r="C16" s="242"/>
      <c r="D16" s="242"/>
      <c r="E16" s="242"/>
      <c r="F16" s="248"/>
      <c r="G16" s="248"/>
      <c r="H16" s="248"/>
      <c r="I16" s="248"/>
      <c r="J16" s="248"/>
      <c r="K16" s="242"/>
      <c r="L16" s="248"/>
      <c r="M16" s="248"/>
      <c r="N16" s="218"/>
      <c r="O16" s="218"/>
      <c r="P16" s="219"/>
      <c r="Q16" s="244"/>
      <c r="R16" s="244"/>
      <c r="S16" s="242"/>
      <c r="T16" s="244"/>
      <c r="U16" s="244"/>
      <c r="V16" s="244"/>
      <c r="W16" s="244"/>
      <c r="X16" s="244"/>
      <c r="Y16" s="244"/>
      <c r="Z16" s="244"/>
      <c r="AA16" s="244"/>
      <c r="AB16" s="244"/>
      <c r="AC16" s="244"/>
      <c r="AD16" s="244"/>
      <c r="AE16" s="244"/>
      <c r="AF16" s="244"/>
      <c r="AG16" s="244"/>
      <c r="AH16" s="244"/>
      <c r="AI16" s="244"/>
      <c r="AJ16" s="244"/>
      <c r="AK16" s="246"/>
      <c r="AL16" s="250"/>
      <c r="AM16" s="244"/>
      <c r="AN16" s="244"/>
      <c r="AO16" s="244"/>
      <c r="AP16" s="244"/>
      <c r="AQ16" s="244"/>
      <c r="AR16" s="244"/>
      <c r="AS16" s="244"/>
      <c r="AT16" s="244"/>
      <c r="AU16" s="244"/>
      <c r="AV16" s="244"/>
      <c r="AW16" s="244"/>
      <c r="AX16" s="244"/>
      <c r="AY16" s="244"/>
      <c r="AZ16" s="244"/>
      <c r="BA16" s="244"/>
      <c r="BB16" s="244"/>
      <c r="BC16" s="244"/>
      <c r="BD16" s="244"/>
      <c r="BE16" s="244"/>
      <c r="BF16" s="244"/>
      <c r="BG16" s="244"/>
      <c r="BH16" s="244"/>
      <c r="BI16" s="244"/>
      <c r="BJ16" s="244"/>
      <c r="BK16" s="244"/>
      <c r="BL16" s="244"/>
      <c r="BM16" s="244"/>
      <c r="BN16" s="244"/>
      <c r="BO16" s="242"/>
      <c r="BP16" s="242"/>
      <c r="BQ16" s="242"/>
    </row>
    <row r="17" spans="1:69" s="164" customFormat="1" ht="12.75" customHeight="1" x14ac:dyDescent="0.25">
      <c r="A17" s="238"/>
      <c r="B17" s="241"/>
      <c r="C17" s="242"/>
      <c r="D17" s="242"/>
      <c r="E17" s="242"/>
      <c r="F17" s="248"/>
      <c r="G17" s="248"/>
      <c r="H17" s="248"/>
      <c r="I17" s="248"/>
      <c r="J17" s="248"/>
      <c r="K17" s="242"/>
      <c r="L17" s="248"/>
      <c r="M17" s="248"/>
      <c r="N17" s="218"/>
      <c r="O17" s="218"/>
      <c r="P17" s="219"/>
      <c r="Q17" s="244"/>
      <c r="R17" s="244"/>
      <c r="S17" s="242"/>
      <c r="T17" s="244"/>
      <c r="U17" s="244"/>
      <c r="V17" s="244"/>
      <c r="W17" s="244"/>
      <c r="X17" s="244"/>
      <c r="Y17" s="244"/>
      <c r="Z17" s="244"/>
      <c r="AA17" s="244"/>
      <c r="AB17" s="244"/>
      <c r="AC17" s="244"/>
      <c r="AD17" s="244"/>
      <c r="AE17" s="244"/>
      <c r="AF17" s="244"/>
      <c r="AG17" s="244"/>
      <c r="AH17" s="244"/>
      <c r="AI17" s="244"/>
      <c r="AJ17" s="244"/>
      <c r="AK17" s="246"/>
      <c r="AL17" s="250"/>
      <c r="AM17" s="244"/>
      <c r="AN17" s="244"/>
      <c r="AO17" s="244"/>
      <c r="AP17" s="244"/>
      <c r="AQ17" s="244"/>
      <c r="AR17" s="244"/>
      <c r="AS17" s="244"/>
      <c r="AT17" s="244"/>
      <c r="AU17" s="244"/>
      <c r="AV17" s="244"/>
      <c r="AW17" s="244"/>
      <c r="AX17" s="244"/>
      <c r="AY17" s="244"/>
      <c r="AZ17" s="244"/>
      <c r="BA17" s="244"/>
      <c r="BB17" s="244"/>
      <c r="BC17" s="244"/>
      <c r="BD17" s="244"/>
      <c r="BE17" s="244"/>
      <c r="BF17" s="244"/>
      <c r="BG17" s="244"/>
      <c r="BH17" s="244"/>
      <c r="BI17" s="244"/>
      <c r="BJ17" s="244"/>
      <c r="BK17" s="244"/>
      <c r="BL17" s="244"/>
      <c r="BM17" s="244"/>
      <c r="BN17" s="244"/>
      <c r="BO17" s="242"/>
      <c r="BP17" s="242"/>
      <c r="BQ17" s="242"/>
    </row>
    <row r="18" spans="1:69" s="164" customFormat="1" ht="12.75" customHeight="1" x14ac:dyDescent="0.25">
      <c r="A18" s="238"/>
      <c r="B18" s="241"/>
      <c r="C18" s="242"/>
      <c r="D18" s="242"/>
      <c r="E18" s="242"/>
      <c r="F18" s="248"/>
      <c r="G18" s="248"/>
      <c r="H18" s="248"/>
      <c r="I18" s="248"/>
      <c r="J18" s="248"/>
      <c r="K18" s="242"/>
      <c r="L18" s="248"/>
      <c r="M18" s="248"/>
      <c r="N18" s="218"/>
      <c r="O18" s="218"/>
      <c r="P18" s="219"/>
      <c r="Q18" s="244"/>
      <c r="R18" s="244"/>
      <c r="S18" s="242"/>
      <c r="T18" s="244"/>
      <c r="U18" s="244"/>
      <c r="V18" s="244"/>
      <c r="W18" s="244"/>
      <c r="X18" s="244"/>
      <c r="Y18" s="244"/>
      <c r="Z18" s="244"/>
      <c r="AA18" s="244"/>
      <c r="AB18" s="244"/>
      <c r="AC18" s="244"/>
      <c r="AD18" s="244"/>
      <c r="AE18" s="244"/>
      <c r="AF18" s="244"/>
      <c r="AG18" s="244"/>
      <c r="AH18" s="244"/>
      <c r="AI18" s="244"/>
      <c r="AJ18" s="244"/>
      <c r="AK18" s="246"/>
      <c r="AL18" s="250"/>
      <c r="AM18" s="244"/>
      <c r="AN18" s="244"/>
      <c r="AO18" s="244"/>
      <c r="AP18" s="244"/>
      <c r="AQ18" s="244"/>
      <c r="AR18" s="244"/>
      <c r="AS18" s="244"/>
      <c r="AT18" s="244"/>
      <c r="AU18" s="244"/>
      <c r="AV18" s="244"/>
      <c r="AW18" s="244"/>
      <c r="AX18" s="244"/>
      <c r="AY18" s="244"/>
      <c r="AZ18" s="244"/>
      <c r="BA18" s="244"/>
      <c r="BB18" s="244"/>
      <c r="BC18" s="244"/>
      <c r="BD18" s="244"/>
      <c r="BE18" s="244"/>
      <c r="BF18" s="244"/>
      <c r="BG18" s="244"/>
      <c r="BH18" s="244"/>
      <c r="BI18" s="244"/>
      <c r="BJ18" s="244"/>
      <c r="BK18" s="244"/>
      <c r="BL18" s="244"/>
      <c r="BM18" s="244"/>
      <c r="BN18" s="244"/>
      <c r="BO18" s="242"/>
      <c r="BP18" s="242"/>
      <c r="BQ18" s="242"/>
    </row>
    <row r="19" spans="1:69" s="164" customFormat="1" ht="12.75" customHeight="1" x14ac:dyDescent="0.25">
      <c r="A19" s="238"/>
      <c r="B19" s="241"/>
      <c r="C19" s="242"/>
      <c r="D19" s="242"/>
      <c r="E19" s="242"/>
      <c r="F19" s="248"/>
      <c r="G19" s="248"/>
      <c r="H19" s="248"/>
      <c r="I19" s="248"/>
      <c r="J19" s="248"/>
      <c r="K19" s="242"/>
      <c r="L19" s="248"/>
      <c r="M19" s="248"/>
      <c r="N19" s="218"/>
      <c r="O19" s="218"/>
      <c r="P19" s="219"/>
      <c r="Q19" s="244"/>
      <c r="R19" s="244"/>
      <c r="S19" s="242"/>
      <c r="T19" s="244"/>
      <c r="U19" s="244"/>
      <c r="V19" s="244"/>
      <c r="W19" s="244"/>
      <c r="X19" s="244"/>
      <c r="Y19" s="244"/>
      <c r="Z19" s="244"/>
      <c r="AA19" s="244"/>
      <c r="AB19" s="244"/>
      <c r="AC19" s="244"/>
      <c r="AD19" s="244"/>
      <c r="AE19" s="244"/>
      <c r="AF19" s="244"/>
      <c r="AG19" s="244"/>
      <c r="AH19" s="244"/>
      <c r="AI19" s="244"/>
      <c r="AJ19" s="244"/>
      <c r="AK19" s="246"/>
      <c r="AL19" s="250"/>
      <c r="AM19" s="244"/>
      <c r="AN19" s="244"/>
      <c r="AO19" s="244"/>
      <c r="AP19" s="244"/>
      <c r="AQ19" s="244"/>
      <c r="AR19" s="244"/>
      <c r="AS19" s="244"/>
      <c r="AT19" s="244"/>
      <c r="AU19" s="244"/>
      <c r="AV19" s="244"/>
      <c r="AW19" s="244"/>
      <c r="AX19" s="244"/>
      <c r="AY19" s="244"/>
      <c r="AZ19" s="244"/>
      <c r="BA19" s="244"/>
      <c r="BB19" s="244"/>
      <c r="BC19" s="244"/>
      <c r="BD19" s="244"/>
      <c r="BE19" s="244"/>
      <c r="BF19" s="244"/>
      <c r="BG19" s="244"/>
      <c r="BH19" s="244"/>
      <c r="BI19" s="244"/>
      <c r="BJ19" s="244"/>
      <c r="BK19" s="244"/>
      <c r="BL19" s="244"/>
      <c r="BM19" s="244"/>
      <c r="BN19" s="244"/>
      <c r="BO19" s="242"/>
      <c r="BP19" s="242"/>
      <c r="BQ19" s="242"/>
    </row>
    <row r="20" spans="1:69" s="164" customFormat="1" ht="12.75" customHeight="1" x14ac:dyDescent="0.25">
      <c r="A20" s="238"/>
      <c r="B20" s="241"/>
      <c r="C20" s="242"/>
      <c r="D20" s="242"/>
      <c r="E20" s="242"/>
      <c r="F20" s="248"/>
      <c r="G20" s="248"/>
      <c r="H20" s="248"/>
      <c r="I20" s="248"/>
      <c r="J20" s="248"/>
      <c r="K20" s="242"/>
      <c r="L20" s="248"/>
      <c r="M20" s="248"/>
      <c r="N20" s="218"/>
      <c r="O20" s="218"/>
      <c r="P20" s="219"/>
      <c r="Q20" s="244"/>
      <c r="R20" s="244"/>
      <c r="S20" s="242"/>
      <c r="T20" s="244"/>
      <c r="U20" s="244"/>
      <c r="V20" s="244"/>
      <c r="W20" s="244"/>
      <c r="X20" s="244"/>
      <c r="Y20" s="244"/>
      <c r="Z20" s="244"/>
      <c r="AA20" s="244"/>
      <c r="AB20" s="244"/>
      <c r="AC20" s="244"/>
      <c r="AD20" s="244"/>
      <c r="AE20" s="244"/>
      <c r="AF20" s="244"/>
      <c r="AG20" s="244"/>
      <c r="AH20" s="244"/>
      <c r="AI20" s="244"/>
      <c r="AJ20" s="244"/>
      <c r="AK20" s="246"/>
      <c r="AL20" s="250"/>
      <c r="AM20" s="244"/>
      <c r="AN20" s="244"/>
      <c r="AO20" s="244"/>
      <c r="AP20" s="244"/>
      <c r="AQ20" s="244"/>
      <c r="AR20" s="244"/>
      <c r="AS20" s="244"/>
      <c r="AT20" s="244"/>
      <c r="AU20" s="244"/>
      <c r="AV20" s="244"/>
      <c r="AW20" s="244"/>
      <c r="AX20" s="244"/>
      <c r="AY20" s="244"/>
      <c r="AZ20" s="244"/>
      <c r="BA20" s="244"/>
      <c r="BB20" s="244"/>
      <c r="BC20" s="244"/>
      <c r="BD20" s="244"/>
      <c r="BE20" s="244"/>
      <c r="BF20" s="244"/>
      <c r="BG20" s="244"/>
      <c r="BH20" s="244"/>
      <c r="BI20" s="244"/>
      <c r="BJ20" s="244"/>
      <c r="BK20" s="244"/>
      <c r="BL20" s="244"/>
      <c r="BM20" s="244"/>
      <c r="BN20" s="244"/>
      <c r="BO20" s="242"/>
      <c r="BP20" s="242"/>
      <c r="BQ20" s="242"/>
    </row>
    <row r="21" spans="1:69" s="164" customFormat="1" ht="12.75" customHeight="1" x14ac:dyDescent="0.25">
      <c r="A21" s="238"/>
      <c r="B21" s="241"/>
      <c r="C21" s="242"/>
      <c r="D21" s="242"/>
      <c r="E21" s="242"/>
      <c r="F21" s="248"/>
      <c r="G21" s="248"/>
      <c r="H21" s="248"/>
      <c r="I21" s="248"/>
      <c r="J21" s="248"/>
      <c r="K21" s="242"/>
      <c r="L21" s="248"/>
      <c r="M21" s="248"/>
      <c r="N21" s="218"/>
      <c r="O21" s="218"/>
      <c r="P21" s="219"/>
      <c r="Q21" s="244"/>
      <c r="R21" s="244"/>
      <c r="S21" s="242"/>
      <c r="T21" s="244"/>
      <c r="U21" s="244"/>
      <c r="V21" s="244"/>
      <c r="W21" s="244"/>
      <c r="X21" s="244"/>
      <c r="Y21" s="244"/>
      <c r="Z21" s="244"/>
      <c r="AA21" s="244"/>
      <c r="AB21" s="244"/>
      <c r="AC21" s="244"/>
      <c r="AD21" s="244"/>
      <c r="AE21" s="244"/>
      <c r="AF21" s="244"/>
      <c r="AG21" s="244"/>
      <c r="AH21" s="244"/>
      <c r="AI21" s="244"/>
      <c r="AJ21" s="244"/>
      <c r="AK21" s="246"/>
      <c r="AL21" s="250"/>
      <c r="AM21" s="244"/>
      <c r="AN21" s="244"/>
      <c r="AO21" s="244"/>
      <c r="AP21" s="244"/>
      <c r="AQ21" s="244"/>
      <c r="AR21" s="244"/>
      <c r="AS21" s="244"/>
      <c r="AT21" s="244"/>
      <c r="AU21" s="244"/>
      <c r="AV21" s="244"/>
      <c r="AW21" s="244"/>
      <c r="AX21" s="244"/>
      <c r="AY21" s="244"/>
      <c r="AZ21" s="244"/>
      <c r="BA21" s="244"/>
      <c r="BB21" s="244"/>
      <c r="BC21" s="244"/>
      <c r="BD21" s="244"/>
      <c r="BE21" s="244"/>
      <c r="BF21" s="244"/>
      <c r="BG21" s="244"/>
      <c r="BH21" s="244"/>
      <c r="BI21" s="244"/>
      <c r="BJ21" s="244"/>
      <c r="BK21" s="244"/>
      <c r="BL21" s="244"/>
      <c r="BM21" s="244"/>
      <c r="BN21" s="244"/>
      <c r="BO21" s="242"/>
      <c r="BP21" s="242"/>
      <c r="BQ21" s="242"/>
    </row>
    <row r="22" spans="1:69" s="164" customFormat="1" ht="12.75" customHeight="1" x14ac:dyDescent="0.25">
      <c r="A22" s="238"/>
      <c r="B22" s="241"/>
      <c r="C22" s="242"/>
      <c r="D22" s="242"/>
      <c r="E22" s="242"/>
      <c r="F22" s="248"/>
      <c r="G22" s="248"/>
      <c r="H22" s="248"/>
      <c r="I22" s="248"/>
      <c r="J22" s="248"/>
      <c r="K22" s="242"/>
      <c r="L22" s="248"/>
      <c r="M22" s="248"/>
      <c r="N22" s="218"/>
      <c r="O22" s="218"/>
      <c r="P22" s="219"/>
      <c r="Q22" s="244"/>
      <c r="R22" s="244"/>
      <c r="S22" s="242"/>
      <c r="T22" s="244"/>
      <c r="U22" s="244"/>
      <c r="V22" s="244"/>
      <c r="W22" s="244"/>
      <c r="X22" s="244"/>
      <c r="Y22" s="244"/>
      <c r="Z22" s="244"/>
      <c r="AA22" s="244"/>
      <c r="AB22" s="244"/>
      <c r="AC22" s="244"/>
      <c r="AD22" s="244"/>
      <c r="AE22" s="244"/>
      <c r="AF22" s="244"/>
      <c r="AG22" s="244"/>
      <c r="AH22" s="244"/>
      <c r="AI22" s="244"/>
      <c r="AJ22" s="244"/>
      <c r="AK22" s="246"/>
      <c r="AL22" s="250"/>
      <c r="AM22" s="244"/>
      <c r="AN22" s="244"/>
      <c r="AO22" s="244"/>
      <c r="AP22" s="244"/>
      <c r="AQ22" s="244"/>
      <c r="AR22" s="244"/>
      <c r="AS22" s="244"/>
      <c r="AT22" s="244"/>
      <c r="AU22" s="244"/>
      <c r="AV22" s="244"/>
      <c r="AW22" s="244"/>
      <c r="AX22" s="244"/>
      <c r="AY22" s="244"/>
      <c r="AZ22" s="244"/>
      <c r="BA22" s="244"/>
      <c r="BB22" s="244"/>
      <c r="BC22" s="244"/>
      <c r="BD22" s="244"/>
      <c r="BE22" s="244"/>
      <c r="BF22" s="244"/>
      <c r="BG22" s="244"/>
      <c r="BH22" s="244"/>
      <c r="BI22" s="244"/>
      <c r="BJ22" s="244"/>
      <c r="BK22" s="244"/>
      <c r="BL22" s="244"/>
      <c r="BM22" s="244"/>
      <c r="BN22" s="244"/>
      <c r="BO22" s="242"/>
      <c r="BP22" s="242"/>
      <c r="BQ22" s="242"/>
    </row>
    <row r="23" spans="1:69" s="164" customFormat="1" ht="12.75" customHeight="1" x14ac:dyDescent="0.25">
      <c r="A23" s="238"/>
      <c r="B23" s="241"/>
      <c r="C23" s="242"/>
      <c r="D23" s="242"/>
      <c r="E23" s="242"/>
      <c r="F23" s="248"/>
      <c r="G23" s="248"/>
      <c r="H23" s="248"/>
      <c r="I23" s="248"/>
      <c r="J23" s="248"/>
      <c r="K23" s="242"/>
      <c r="L23" s="248"/>
      <c r="M23" s="248"/>
      <c r="N23" s="218"/>
      <c r="O23" s="218"/>
      <c r="P23" s="219"/>
      <c r="Q23" s="244"/>
      <c r="R23" s="244"/>
      <c r="S23" s="242"/>
      <c r="T23" s="244"/>
      <c r="U23" s="244"/>
      <c r="V23" s="244"/>
      <c r="W23" s="244"/>
      <c r="X23" s="244"/>
      <c r="Y23" s="244"/>
      <c r="Z23" s="244"/>
      <c r="AA23" s="244"/>
      <c r="AB23" s="244"/>
      <c r="AC23" s="244"/>
      <c r="AD23" s="244"/>
      <c r="AE23" s="244"/>
      <c r="AF23" s="244"/>
      <c r="AG23" s="244"/>
      <c r="AH23" s="244"/>
      <c r="AI23" s="244"/>
      <c r="AJ23" s="244"/>
      <c r="AK23" s="246"/>
      <c r="AL23" s="250"/>
      <c r="AM23" s="244"/>
      <c r="AN23" s="244"/>
      <c r="AO23" s="244"/>
      <c r="AP23" s="244"/>
      <c r="AQ23" s="244"/>
      <c r="AR23" s="244"/>
      <c r="AS23" s="244"/>
      <c r="AT23" s="244"/>
      <c r="AU23" s="244"/>
      <c r="AV23" s="244"/>
      <c r="AW23" s="244"/>
      <c r="AX23" s="244"/>
      <c r="AY23" s="244"/>
      <c r="AZ23" s="244"/>
      <c r="BA23" s="244"/>
      <c r="BB23" s="244"/>
      <c r="BC23" s="244"/>
      <c r="BD23" s="244"/>
      <c r="BE23" s="244"/>
      <c r="BF23" s="244"/>
      <c r="BG23" s="244"/>
      <c r="BH23" s="244"/>
      <c r="BI23" s="244"/>
      <c r="BJ23" s="244"/>
      <c r="BK23" s="244"/>
      <c r="BL23" s="244"/>
      <c r="BM23" s="244"/>
      <c r="BN23" s="244"/>
      <c r="BO23" s="242"/>
      <c r="BP23" s="242"/>
      <c r="BQ23" s="242"/>
    </row>
    <row r="24" spans="1:69" s="164" customFormat="1" ht="12.75" customHeight="1" x14ac:dyDescent="0.25">
      <c r="A24" s="238"/>
      <c r="B24" s="241"/>
      <c r="C24" s="242"/>
      <c r="D24" s="242"/>
      <c r="E24" s="242"/>
      <c r="F24" s="248"/>
      <c r="G24" s="248"/>
      <c r="H24" s="248"/>
      <c r="I24" s="248"/>
      <c r="J24" s="248"/>
      <c r="K24" s="242"/>
      <c r="L24" s="248"/>
      <c r="M24" s="248"/>
      <c r="N24" s="218"/>
      <c r="O24" s="218"/>
      <c r="P24" s="219"/>
      <c r="Q24" s="244"/>
      <c r="R24" s="244"/>
      <c r="S24" s="242"/>
      <c r="T24" s="244"/>
      <c r="U24" s="244"/>
      <c r="V24" s="244"/>
      <c r="W24" s="244"/>
      <c r="X24" s="244"/>
      <c r="Y24" s="244"/>
      <c r="Z24" s="244"/>
      <c r="AA24" s="244"/>
      <c r="AB24" s="244"/>
      <c r="AC24" s="244"/>
      <c r="AD24" s="244"/>
      <c r="AE24" s="244"/>
      <c r="AF24" s="244"/>
      <c r="AG24" s="244"/>
      <c r="AH24" s="244"/>
      <c r="AI24" s="244"/>
      <c r="AJ24" s="244"/>
      <c r="AK24" s="246"/>
      <c r="AL24" s="250"/>
      <c r="AM24" s="244"/>
      <c r="AN24" s="244"/>
      <c r="AO24" s="244"/>
      <c r="AP24" s="244"/>
      <c r="AQ24" s="244"/>
      <c r="AR24" s="244"/>
      <c r="AS24" s="244"/>
      <c r="AT24" s="244"/>
      <c r="AU24" s="244"/>
      <c r="AV24" s="244"/>
      <c r="AW24" s="244"/>
      <c r="AX24" s="244"/>
      <c r="AY24" s="244"/>
      <c r="AZ24" s="244"/>
      <c r="BA24" s="244"/>
      <c r="BB24" s="244"/>
      <c r="BC24" s="244"/>
      <c r="BD24" s="244"/>
      <c r="BE24" s="244"/>
      <c r="BF24" s="244"/>
      <c r="BG24" s="244"/>
      <c r="BH24" s="244"/>
      <c r="BI24" s="244"/>
      <c r="BJ24" s="244"/>
      <c r="BK24" s="244"/>
      <c r="BL24" s="244"/>
      <c r="BM24" s="244"/>
      <c r="BN24" s="244"/>
      <c r="BO24" s="242"/>
      <c r="BP24" s="242"/>
      <c r="BQ24" s="242"/>
    </row>
    <row r="25" spans="1:69" s="164" customFormat="1" ht="12.75" customHeight="1" x14ac:dyDescent="0.25">
      <c r="A25" s="238"/>
      <c r="B25" s="241"/>
      <c r="C25" s="242"/>
      <c r="D25" s="242"/>
      <c r="E25" s="242"/>
      <c r="F25" s="248"/>
      <c r="G25" s="248"/>
      <c r="H25" s="248"/>
      <c r="I25" s="248"/>
      <c r="J25" s="248"/>
      <c r="K25" s="242"/>
      <c r="L25" s="248"/>
      <c r="M25" s="248"/>
      <c r="N25" s="218"/>
      <c r="O25" s="218"/>
      <c r="P25" s="219"/>
      <c r="Q25" s="244"/>
      <c r="R25" s="244"/>
      <c r="S25" s="242"/>
      <c r="T25" s="244"/>
      <c r="U25" s="244"/>
      <c r="V25" s="244"/>
      <c r="W25" s="244"/>
      <c r="X25" s="244"/>
      <c r="Y25" s="244"/>
      <c r="Z25" s="244"/>
      <c r="AA25" s="244"/>
      <c r="AB25" s="244"/>
      <c r="AC25" s="244"/>
      <c r="AD25" s="244"/>
      <c r="AE25" s="244"/>
      <c r="AF25" s="244"/>
      <c r="AG25" s="244"/>
      <c r="AH25" s="244"/>
      <c r="AI25" s="244"/>
      <c r="AJ25" s="244"/>
      <c r="AK25" s="246"/>
      <c r="AL25" s="250"/>
      <c r="AM25" s="244"/>
      <c r="AN25" s="244"/>
      <c r="AO25" s="244"/>
      <c r="AP25" s="244"/>
      <c r="AQ25" s="244"/>
      <c r="AR25" s="244"/>
      <c r="AS25" s="244"/>
      <c r="AT25" s="244"/>
      <c r="AU25" s="244"/>
      <c r="AV25" s="244"/>
      <c r="AW25" s="244"/>
      <c r="AX25" s="244"/>
      <c r="AY25" s="244"/>
      <c r="AZ25" s="244"/>
      <c r="BA25" s="244"/>
      <c r="BB25" s="244"/>
      <c r="BC25" s="244"/>
      <c r="BD25" s="244"/>
      <c r="BE25" s="244"/>
      <c r="BF25" s="244"/>
      <c r="BG25" s="244"/>
      <c r="BH25" s="244"/>
      <c r="BI25" s="244"/>
      <c r="BJ25" s="244"/>
      <c r="BK25" s="244"/>
      <c r="BL25" s="244"/>
      <c r="BM25" s="244"/>
      <c r="BN25" s="244"/>
      <c r="BO25" s="242"/>
      <c r="BP25" s="242"/>
      <c r="BQ25" s="242"/>
    </row>
    <row r="26" spans="1:69" s="164" customFormat="1" ht="12.75" customHeight="1" x14ac:dyDescent="0.25">
      <c r="A26" s="238"/>
      <c r="B26" s="241"/>
      <c r="C26" s="242"/>
      <c r="D26" s="242"/>
      <c r="E26" s="242"/>
      <c r="F26" s="248"/>
      <c r="G26" s="248"/>
      <c r="H26" s="248"/>
      <c r="I26" s="248"/>
      <c r="J26" s="248"/>
      <c r="K26" s="242"/>
      <c r="L26" s="248"/>
      <c r="M26" s="248"/>
      <c r="N26" s="218"/>
      <c r="O26" s="218"/>
      <c r="P26" s="219"/>
      <c r="Q26" s="244"/>
      <c r="R26" s="244"/>
      <c r="S26" s="242"/>
      <c r="T26" s="244"/>
      <c r="U26" s="244"/>
      <c r="V26" s="244"/>
      <c r="W26" s="244"/>
      <c r="X26" s="244"/>
      <c r="Y26" s="244"/>
      <c r="Z26" s="244"/>
      <c r="AA26" s="244"/>
      <c r="AB26" s="244"/>
      <c r="AC26" s="244"/>
      <c r="AD26" s="244"/>
      <c r="AE26" s="244"/>
      <c r="AF26" s="244"/>
      <c r="AG26" s="244"/>
      <c r="AH26" s="244"/>
      <c r="AI26" s="244"/>
      <c r="AJ26" s="244"/>
      <c r="AK26" s="246"/>
      <c r="AL26" s="250"/>
      <c r="AM26" s="244"/>
      <c r="AN26" s="244"/>
      <c r="AO26" s="244"/>
      <c r="AP26" s="244"/>
      <c r="AQ26" s="244"/>
      <c r="AR26" s="244"/>
      <c r="AS26" s="244"/>
      <c r="AT26" s="244"/>
      <c r="AU26" s="244"/>
      <c r="AV26" s="244"/>
      <c r="AW26" s="244"/>
      <c r="AX26" s="244"/>
      <c r="AY26" s="244"/>
      <c r="AZ26" s="244"/>
      <c r="BA26" s="244"/>
      <c r="BB26" s="244"/>
      <c r="BC26" s="244"/>
      <c r="BD26" s="244"/>
      <c r="BE26" s="244"/>
      <c r="BF26" s="244"/>
      <c r="BG26" s="244"/>
      <c r="BH26" s="244"/>
      <c r="BI26" s="244"/>
      <c r="BJ26" s="244"/>
      <c r="BK26" s="244"/>
      <c r="BL26" s="244"/>
      <c r="BM26" s="244"/>
      <c r="BN26" s="244"/>
      <c r="BO26" s="242"/>
      <c r="BP26" s="242"/>
      <c r="BQ26" s="242"/>
    </row>
    <row r="27" spans="1:69" s="164" customFormat="1" ht="12.75" customHeight="1" x14ac:dyDescent="0.25">
      <c r="A27" s="238"/>
      <c r="B27" s="241"/>
      <c r="C27" s="242"/>
      <c r="D27" s="242"/>
      <c r="E27" s="242"/>
      <c r="F27" s="248"/>
      <c r="G27" s="248"/>
      <c r="H27" s="248"/>
      <c r="I27" s="248"/>
      <c r="J27" s="248"/>
      <c r="K27" s="242"/>
      <c r="L27" s="248"/>
      <c r="M27" s="248"/>
      <c r="N27" s="218"/>
      <c r="O27" s="218"/>
      <c r="P27" s="219"/>
      <c r="Q27" s="244"/>
      <c r="R27" s="244"/>
      <c r="S27" s="242"/>
      <c r="T27" s="244"/>
      <c r="U27" s="244"/>
      <c r="V27" s="244"/>
      <c r="W27" s="244"/>
      <c r="X27" s="244"/>
      <c r="Y27" s="244"/>
      <c r="Z27" s="244"/>
      <c r="AA27" s="244"/>
      <c r="AB27" s="244"/>
      <c r="AC27" s="244"/>
      <c r="AD27" s="244"/>
      <c r="AE27" s="244"/>
      <c r="AF27" s="244"/>
      <c r="AG27" s="244"/>
      <c r="AH27" s="244"/>
      <c r="AI27" s="244"/>
      <c r="AJ27" s="244"/>
      <c r="AK27" s="246"/>
      <c r="AL27" s="250"/>
      <c r="AM27" s="244"/>
      <c r="AN27" s="244"/>
      <c r="AO27" s="244"/>
      <c r="AP27" s="244"/>
      <c r="AQ27" s="244"/>
      <c r="AR27" s="244"/>
      <c r="AS27" s="244"/>
      <c r="AT27" s="244"/>
      <c r="AU27" s="244"/>
      <c r="AV27" s="244"/>
      <c r="AW27" s="244"/>
      <c r="AX27" s="244"/>
      <c r="AY27" s="244"/>
      <c r="AZ27" s="244"/>
      <c r="BA27" s="244"/>
      <c r="BB27" s="244"/>
      <c r="BC27" s="244"/>
      <c r="BD27" s="244"/>
      <c r="BE27" s="244"/>
      <c r="BF27" s="244"/>
      <c r="BG27" s="244"/>
      <c r="BH27" s="244"/>
      <c r="BI27" s="244"/>
      <c r="BJ27" s="244"/>
      <c r="BK27" s="244"/>
      <c r="BL27" s="244"/>
      <c r="BM27" s="244"/>
      <c r="BN27" s="244"/>
      <c r="BO27" s="242"/>
      <c r="BP27" s="242"/>
      <c r="BQ27" s="242"/>
    </row>
    <row r="28" spans="1:69" s="164" customFormat="1" ht="12.75" customHeight="1" x14ac:dyDescent="0.25">
      <c r="A28" s="238"/>
      <c r="B28" s="241"/>
      <c r="C28" s="242"/>
      <c r="D28" s="242"/>
      <c r="E28" s="242"/>
      <c r="F28" s="248"/>
      <c r="G28" s="248"/>
      <c r="H28" s="248"/>
      <c r="I28" s="248"/>
      <c r="J28" s="248"/>
      <c r="K28" s="242"/>
      <c r="L28" s="248"/>
      <c r="M28" s="248"/>
      <c r="N28" s="218"/>
      <c r="O28" s="218"/>
      <c r="P28" s="219"/>
      <c r="Q28" s="244"/>
      <c r="R28" s="244"/>
      <c r="S28" s="242"/>
      <c r="T28" s="244"/>
      <c r="U28" s="244"/>
      <c r="V28" s="244"/>
      <c r="W28" s="244"/>
      <c r="X28" s="244"/>
      <c r="Y28" s="244"/>
      <c r="Z28" s="244"/>
      <c r="AA28" s="244"/>
      <c r="AB28" s="244"/>
      <c r="AC28" s="244"/>
      <c r="AD28" s="244"/>
      <c r="AE28" s="244"/>
      <c r="AF28" s="244"/>
      <c r="AG28" s="244"/>
      <c r="AH28" s="244"/>
      <c r="AI28" s="244"/>
      <c r="AJ28" s="244"/>
      <c r="AK28" s="246"/>
      <c r="AL28" s="250"/>
      <c r="AM28" s="244"/>
      <c r="AN28" s="244"/>
      <c r="AO28" s="244"/>
      <c r="AP28" s="244"/>
      <c r="AQ28" s="244"/>
      <c r="AR28" s="244"/>
      <c r="AS28" s="244"/>
      <c r="AT28" s="244"/>
      <c r="AU28" s="244"/>
      <c r="AV28" s="244"/>
      <c r="AW28" s="244"/>
      <c r="AX28" s="244"/>
      <c r="AY28" s="244"/>
      <c r="AZ28" s="244"/>
      <c r="BA28" s="244"/>
      <c r="BB28" s="244"/>
      <c r="BC28" s="244"/>
      <c r="BD28" s="244"/>
      <c r="BE28" s="244"/>
      <c r="BF28" s="244"/>
      <c r="BG28" s="244"/>
      <c r="BH28" s="244"/>
      <c r="BI28" s="244"/>
      <c r="BJ28" s="244"/>
      <c r="BK28" s="244"/>
      <c r="BL28" s="244"/>
      <c r="BM28" s="244"/>
      <c r="BN28" s="244"/>
      <c r="BO28" s="242"/>
      <c r="BP28" s="242"/>
      <c r="BQ28" s="242"/>
    </row>
    <row r="29" spans="1:69" s="164" customFormat="1" ht="12.75" customHeight="1" x14ac:dyDescent="0.25">
      <c r="A29" s="238"/>
      <c r="B29" s="241"/>
      <c r="C29" s="242"/>
      <c r="D29" s="242"/>
      <c r="E29" s="242"/>
      <c r="F29" s="248"/>
      <c r="G29" s="248"/>
      <c r="H29" s="248"/>
      <c r="I29" s="248"/>
      <c r="J29" s="248"/>
      <c r="K29" s="242"/>
      <c r="L29" s="248"/>
      <c r="M29" s="248"/>
      <c r="N29" s="218"/>
      <c r="O29" s="218"/>
      <c r="P29" s="219"/>
      <c r="Q29" s="244"/>
      <c r="R29" s="244"/>
      <c r="S29" s="242"/>
      <c r="T29" s="244"/>
      <c r="U29" s="244"/>
      <c r="V29" s="244"/>
      <c r="W29" s="244"/>
      <c r="X29" s="244"/>
      <c r="Y29" s="244"/>
      <c r="Z29" s="244"/>
      <c r="AA29" s="244"/>
      <c r="AB29" s="244"/>
      <c r="AC29" s="244"/>
      <c r="AD29" s="244"/>
      <c r="AE29" s="244"/>
      <c r="AF29" s="244"/>
      <c r="AG29" s="244"/>
      <c r="AH29" s="244"/>
      <c r="AI29" s="244"/>
      <c r="AJ29" s="244"/>
      <c r="AK29" s="246"/>
      <c r="AL29" s="250"/>
      <c r="AM29" s="244"/>
      <c r="AN29" s="244"/>
      <c r="AO29" s="244"/>
      <c r="AP29" s="244"/>
      <c r="AQ29" s="244"/>
      <c r="AR29" s="244"/>
      <c r="AS29" s="244"/>
      <c r="AT29" s="244"/>
      <c r="AU29" s="244"/>
      <c r="AV29" s="244"/>
      <c r="AW29" s="244"/>
      <c r="AX29" s="244"/>
      <c r="AY29" s="244"/>
      <c r="AZ29" s="244"/>
      <c r="BA29" s="244"/>
      <c r="BB29" s="244"/>
      <c r="BC29" s="244"/>
      <c r="BD29" s="244"/>
      <c r="BE29" s="244"/>
      <c r="BF29" s="244"/>
      <c r="BG29" s="244"/>
      <c r="BH29" s="244"/>
      <c r="BI29" s="244"/>
      <c r="BJ29" s="244"/>
      <c r="BK29" s="244"/>
      <c r="BL29" s="244"/>
      <c r="BM29" s="244"/>
      <c r="BN29" s="244"/>
      <c r="BO29" s="242"/>
      <c r="BP29" s="242"/>
      <c r="BQ29" s="242"/>
    </row>
    <row r="30" spans="1:69" s="164" customFormat="1" ht="12.75" customHeight="1" x14ac:dyDescent="0.25">
      <c r="A30" s="238"/>
      <c r="B30" s="241"/>
      <c r="C30" s="242"/>
      <c r="D30" s="242"/>
      <c r="E30" s="242"/>
      <c r="F30" s="248"/>
      <c r="G30" s="248"/>
      <c r="H30" s="248"/>
      <c r="I30" s="248"/>
      <c r="J30" s="248"/>
      <c r="K30" s="242"/>
      <c r="L30" s="248"/>
      <c r="M30" s="248"/>
      <c r="N30" s="218"/>
      <c r="O30" s="218"/>
      <c r="P30" s="219"/>
      <c r="Q30" s="244"/>
      <c r="R30" s="244"/>
      <c r="S30" s="242"/>
      <c r="T30" s="244"/>
      <c r="U30" s="244"/>
      <c r="V30" s="244"/>
      <c r="W30" s="244"/>
      <c r="X30" s="244"/>
      <c r="Y30" s="244"/>
      <c r="Z30" s="244"/>
      <c r="AA30" s="244"/>
      <c r="AB30" s="244"/>
      <c r="AC30" s="244"/>
      <c r="AD30" s="244"/>
      <c r="AE30" s="244"/>
      <c r="AF30" s="244"/>
      <c r="AG30" s="244"/>
      <c r="AH30" s="244"/>
      <c r="AI30" s="244"/>
      <c r="AJ30" s="244"/>
      <c r="AK30" s="246"/>
      <c r="AL30" s="250"/>
      <c r="AM30" s="244"/>
      <c r="AN30" s="244"/>
      <c r="AO30" s="244"/>
      <c r="AP30" s="244"/>
      <c r="AQ30" s="244"/>
      <c r="AR30" s="244"/>
      <c r="AS30" s="244"/>
      <c r="AT30" s="244"/>
      <c r="AU30" s="244"/>
      <c r="AV30" s="244"/>
      <c r="AW30" s="244"/>
      <c r="AX30" s="244"/>
      <c r="AY30" s="244"/>
      <c r="AZ30" s="244"/>
      <c r="BA30" s="244"/>
      <c r="BB30" s="244"/>
      <c r="BC30" s="244"/>
      <c r="BD30" s="244"/>
      <c r="BE30" s="244"/>
      <c r="BF30" s="244"/>
      <c r="BG30" s="244"/>
      <c r="BH30" s="244"/>
      <c r="BI30" s="244"/>
      <c r="BJ30" s="244"/>
      <c r="BK30" s="244"/>
      <c r="BL30" s="244"/>
      <c r="BM30" s="244"/>
      <c r="BN30" s="244"/>
      <c r="BO30" s="242"/>
      <c r="BP30" s="242"/>
      <c r="BQ30" s="242"/>
    </row>
    <row r="31" spans="1:69" s="164" customFormat="1" ht="12.75" customHeight="1" x14ac:dyDescent="0.25">
      <c r="A31" s="238"/>
      <c r="B31" s="241"/>
      <c r="C31" s="242"/>
      <c r="D31" s="242"/>
      <c r="E31" s="242"/>
      <c r="F31" s="248"/>
      <c r="G31" s="248"/>
      <c r="H31" s="248"/>
      <c r="I31" s="248"/>
      <c r="J31" s="248"/>
      <c r="K31" s="242"/>
      <c r="L31" s="248"/>
      <c r="M31" s="248"/>
      <c r="N31" s="218"/>
      <c r="O31" s="218"/>
      <c r="P31" s="219"/>
      <c r="Q31" s="244"/>
      <c r="R31" s="244"/>
      <c r="S31" s="242"/>
      <c r="T31" s="244"/>
      <c r="U31" s="244"/>
      <c r="V31" s="244"/>
      <c r="W31" s="244"/>
      <c r="X31" s="244"/>
      <c r="Y31" s="244"/>
      <c r="Z31" s="244"/>
      <c r="AA31" s="244"/>
      <c r="AB31" s="244"/>
      <c r="AC31" s="244"/>
      <c r="AD31" s="244"/>
      <c r="AE31" s="244"/>
      <c r="AF31" s="244"/>
      <c r="AG31" s="244"/>
      <c r="AH31" s="244"/>
      <c r="AI31" s="244"/>
      <c r="AJ31" s="244"/>
      <c r="AK31" s="246"/>
      <c r="AL31" s="250"/>
      <c r="AM31" s="244"/>
      <c r="AN31" s="244"/>
      <c r="AO31" s="244"/>
      <c r="AP31" s="244"/>
      <c r="AQ31" s="244"/>
      <c r="AR31" s="244"/>
      <c r="AS31" s="244"/>
      <c r="AT31" s="244"/>
      <c r="AU31" s="244"/>
      <c r="AV31" s="244"/>
      <c r="AW31" s="244"/>
      <c r="AX31" s="244"/>
      <c r="AY31" s="244"/>
      <c r="AZ31" s="244"/>
      <c r="BA31" s="244"/>
      <c r="BB31" s="244"/>
      <c r="BC31" s="244"/>
      <c r="BD31" s="244"/>
      <c r="BE31" s="244"/>
      <c r="BF31" s="244"/>
      <c r="BG31" s="244"/>
      <c r="BH31" s="244"/>
      <c r="BI31" s="244"/>
      <c r="BJ31" s="244"/>
      <c r="BK31" s="244"/>
      <c r="BL31" s="244"/>
      <c r="BM31" s="244"/>
      <c r="BN31" s="244"/>
      <c r="BO31" s="242"/>
      <c r="BP31" s="242"/>
      <c r="BQ31" s="242"/>
    </row>
    <row r="32" spans="1:69" s="164" customFormat="1" ht="12.75" customHeight="1" x14ac:dyDescent="0.25">
      <c r="A32" s="238"/>
      <c r="B32" s="241"/>
      <c r="C32" s="242"/>
      <c r="D32" s="242"/>
      <c r="E32" s="242"/>
      <c r="F32" s="248"/>
      <c r="G32" s="248"/>
      <c r="H32" s="248"/>
      <c r="I32" s="248"/>
      <c r="J32" s="248"/>
      <c r="K32" s="242"/>
      <c r="L32" s="248"/>
      <c r="M32" s="248"/>
      <c r="N32" s="218"/>
      <c r="O32" s="218"/>
      <c r="P32" s="219"/>
      <c r="Q32" s="244"/>
      <c r="R32" s="244"/>
      <c r="S32" s="242"/>
      <c r="T32" s="244"/>
      <c r="U32" s="244"/>
      <c r="V32" s="244"/>
      <c r="W32" s="244"/>
      <c r="X32" s="244"/>
      <c r="Y32" s="244"/>
      <c r="Z32" s="244"/>
      <c r="AA32" s="244"/>
      <c r="AB32" s="244"/>
      <c r="AC32" s="244"/>
      <c r="AD32" s="244"/>
      <c r="AE32" s="244"/>
      <c r="AF32" s="244"/>
      <c r="AG32" s="244"/>
      <c r="AH32" s="244"/>
      <c r="AI32" s="244"/>
      <c r="AJ32" s="244"/>
      <c r="AK32" s="246"/>
      <c r="AL32" s="250"/>
      <c r="AM32" s="244"/>
      <c r="AN32" s="244"/>
      <c r="AO32" s="244"/>
      <c r="AP32" s="244"/>
      <c r="AQ32" s="244"/>
      <c r="AR32" s="244"/>
      <c r="AS32" s="244"/>
      <c r="AT32" s="244"/>
      <c r="AU32" s="244"/>
      <c r="AV32" s="244"/>
      <c r="AW32" s="244"/>
      <c r="AX32" s="244"/>
      <c r="AY32" s="244"/>
      <c r="AZ32" s="244"/>
      <c r="BA32" s="244"/>
      <c r="BB32" s="244"/>
      <c r="BC32" s="244"/>
      <c r="BD32" s="244"/>
      <c r="BE32" s="244"/>
      <c r="BF32" s="244"/>
      <c r="BG32" s="244"/>
      <c r="BH32" s="244"/>
      <c r="BI32" s="244"/>
      <c r="BJ32" s="244"/>
      <c r="BK32" s="244"/>
      <c r="BL32" s="244"/>
      <c r="BM32" s="244"/>
      <c r="BN32" s="244"/>
      <c r="BO32" s="242"/>
      <c r="BP32" s="242"/>
      <c r="BQ32" s="242"/>
    </row>
    <row r="33" spans="1:69" s="164" customFormat="1" ht="12.75" customHeight="1" x14ac:dyDescent="0.25">
      <c r="A33" s="238"/>
      <c r="B33" s="241"/>
      <c r="C33" s="242"/>
      <c r="D33" s="242"/>
      <c r="E33" s="242"/>
      <c r="F33" s="248"/>
      <c r="G33" s="248"/>
      <c r="H33" s="248"/>
      <c r="I33" s="248"/>
      <c r="J33" s="248"/>
      <c r="K33" s="242"/>
      <c r="L33" s="248"/>
      <c r="M33" s="248"/>
      <c r="N33" s="218"/>
      <c r="O33" s="218"/>
      <c r="P33" s="219"/>
      <c r="Q33" s="244"/>
      <c r="R33" s="244"/>
      <c r="S33" s="242"/>
      <c r="T33" s="244"/>
      <c r="U33" s="244"/>
      <c r="V33" s="244"/>
      <c r="W33" s="244"/>
      <c r="X33" s="244"/>
      <c r="Y33" s="244"/>
      <c r="Z33" s="244"/>
      <c r="AA33" s="244"/>
      <c r="AB33" s="244"/>
      <c r="AC33" s="244"/>
      <c r="AD33" s="244"/>
      <c r="AE33" s="244"/>
      <c r="AF33" s="244"/>
      <c r="AG33" s="244"/>
      <c r="AH33" s="244"/>
      <c r="AI33" s="244"/>
      <c r="AJ33" s="244"/>
      <c r="AK33" s="246"/>
      <c r="AL33" s="250"/>
      <c r="AM33" s="244"/>
      <c r="AN33" s="244"/>
      <c r="AO33" s="244"/>
      <c r="AP33" s="244"/>
      <c r="AQ33" s="244"/>
      <c r="AR33" s="244"/>
      <c r="AS33" s="244"/>
      <c r="AT33" s="244"/>
      <c r="AU33" s="244"/>
      <c r="AV33" s="244"/>
      <c r="AW33" s="244"/>
      <c r="AX33" s="244"/>
      <c r="AY33" s="244"/>
      <c r="AZ33" s="244"/>
      <c r="BA33" s="244"/>
      <c r="BB33" s="244"/>
      <c r="BC33" s="244"/>
      <c r="BD33" s="244"/>
      <c r="BE33" s="244"/>
      <c r="BF33" s="244"/>
      <c r="BG33" s="244"/>
      <c r="BH33" s="244"/>
      <c r="BI33" s="244"/>
      <c r="BJ33" s="244"/>
      <c r="BK33" s="244"/>
      <c r="BL33" s="244"/>
      <c r="BM33" s="244"/>
      <c r="BN33" s="244"/>
      <c r="BO33" s="242"/>
      <c r="BP33" s="242"/>
      <c r="BQ33" s="242"/>
    </row>
    <row r="34" spans="1:69" s="164" customFormat="1" ht="12.75" customHeight="1" x14ac:dyDescent="0.25">
      <c r="A34" s="238"/>
      <c r="B34" s="241"/>
      <c r="C34" s="242"/>
      <c r="D34" s="242"/>
      <c r="E34" s="242"/>
      <c r="F34" s="248"/>
      <c r="G34" s="248"/>
      <c r="H34" s="248"/>
      <c r="I34" s="248"/>
      <c r="J34" s="248"/>
      <c r="K34" s="242"/>
      <c r="L34" s="248"/>
      <c r="M34" s="248"/>
      <c r="N34" s="218"/>
      <c r="O34" s="218"/>
      <c r="P34" s="219"/>
      <c r="Q34" s="244"/>
      <c r="R34" s="244"/>
      <c r="S34" s="242"/>
      <c r="T34" s="244"/>
      <c r="U34" s="244"/>
      <c r="V34" s="244"/>
      <c r="W34" s="244"/>
      <c r="X34" s="244"/>
      <c r="Y34" s="244"/>
      <c r="Z34" s="244"/>
      <c r="AA34" s="244"/>
      <c r="AB34" s="244"/>
      <c r="AC34" s="244"/>
      <c r="AD34" s="244"/>
      <c r="AE34" s="244"/>
      <c r="AF34" s="244"/>
      <c r="AG34" s="244"/>
      <c r="AH34" s="244"/>
      <c r="AI34" s="244"/>
      <c r="AJ34" s="244"/>
      <c r="AK34" s="246"/>
      <c r="AL34" s="250"/>
      <c r="AM34" s="244"/>
      <c r="AN34" s="244"/>
      <c r="AO34" s="244"/>
      <c r="AP34" s="244"/>
      <c r="AQ34" s="244"/>
      <c r="AR34" s="244"/>
      <c r="AS34" s="244"/>
      <c r="AT34" s="244"/>
      <c r="AU34" s="244"/>
      <c r="AV34" s="244"/>
      <c r="AW34" s="244"/>
      <c r="AX34" s="244"/>
      <c r="AY34" s="244"/>
      <c r="AZ34" s="244"/>
      <c r="BA34" s="244"/>
      <c r="BB34" s="244"/>
      <c r="BC34" s="244"/>
      <c r="BD34" s="244"/>
      <c r="BE34" s="244"/>
      <c r="BF34" s="244"/>
      <c r="BG34" s="244"/>
      <c r="BH34" s="244"/>
      <c r="BI34" s="244"/>
      <c r="BJ34" s="244"/>
      <c r="BK34" s="244"/>
      <c r="BL34" s="244"/>
      <c r="BM34" s="244"/>
      <c r="BN34" s="244"/>
      <c r="BO34" s="242"/>
      <c r="BP34" s="242"/>
      <c r="BQ34" s="242"/>
    </row>
    <row r="35" spans="1:69" s="164" customFormat="1" ht="12.75" customHeight="1" x14ac:dyDescent="0.25">
      <c r="A35" s="238"/>
      <c r="B35" s="241"/>
      <c r="C35" s="242"/>
      <c r="D35" s="242"/>
      <c r="E35" s="242"/>
      <c r="F35" s="248"/>
      <c r="G35" s="248"/>
      <c r="H35" s="248"/>
      <c r="I35" s="248"/>
      <c r="J35" s="248"/>
      <c r="K35" s="242"/>
      <c r="L35" s="248"/>
      <c r="M35" s="248"/>
      <c r="N35" s="218"/>
      <c r="O35" s="218"/>
      <c r="P35" s="219"/>
      <c r="Q35" s="244"/>
      <c r="R35" s="244"/>
      <c r="S35" s="242"/>
      <c r="T35" s="244"/>
      <c r="U35" s="244"/>
      <c r="V35" s="244"/>
      <c r="W35" s="244"/>
      <c r="X35" s="244"/>
      <c r="Y35" s="244"/>
      <c r="Z35" s="244"/>
      <c r="AA35" s="244"/>
      <c r="AB35" s="244"/>
      <c r="AC35" s="244"/>
      <c r="AD35" s="244"/>
      <c r="AE35" s="244"/>
      <c r="AF35" s="244"/>
      <c r="AG35" s="244"/>
      <c r="AH35" s="244"/>
      <c r="AI35" s="244"/>
      <c r="AJ35" s="244"/>
      <c r="AK35" s="246"/>
      <c r="AL35" s="250"/>
      <c r="AM35" s="244"/>
      <c r="AN35" s="244"/>
      <c r="AO35" s="244"/>
      <c r="AP35" s="244"/>
      <c r="AQ35" s="244"/>
      <c r="AR35" s="244"/>
      <c r="AS35" s="244"/>
      <c r="AT35" s="244"/>
      <c r="AU35" s="244"/>
      <c r="AV35" s="244"/>
      <c r="AW35" s="244"/>
      <c r="AX35" s="244"/>
      <c r="AY35" s="244"/>
      <c r="AZ35" s="244"/>
      <c r="BA35" s="244"/>
      <c r="BB35" s="244"/>
      <c r="BC35" s="244"/>
      <c r="BD35" s="244"/>
      <c r="BE35" s="244"/>
      <c r="BF35" s="244"/>
      <c r="BG35" s="244"/>
      <c r="BH35" s="244"/>
      <c r="BI35" s="244"/>
      <c r="BJ35" s="244"/>
      <c r="BK35" s="244"/>
      <c r="BL35" s="244"/>
      <c r="BM35" s="244"/>
      <c r="BN35" s="244"/>
      <c r="BO35" s="242"/>
      <c r="BP35" s="242"/>
      <c r="BQ35" s="242"/>
    </row>
    <row r="36" spans="1:69" s="164" customFormat="1" ht="12.75" customHeight="1" x14ac:dyDescent="0.25">
      <c r="A36" s="238"/>
      <c r="B36" s="241"/>
      <c r="C36" s="242"/>
      <c r="D36" s="242"/>
      <c r="E36" s="242"/>
      <c r="F36" s="248"/>
      <c r="G36" s="248"/>
      <c r="H36" s="248"/>
      <c r="I36" s="248"/>
      <c r="J36" s="248"/>
      <c r="K36" s="242"/>
      <c r="L36" s="248"/>
      <c r="M36" s="248"/>
      <c r="N36" s="218"/>
      <c r="O36" s="218"/>
      <c r="P36" s="219"/>
      <c r="Q36" s="244"/>
      <c r="R36" s="244"/>
      <c r="S36" s="242"/>
      <c r="T36" s="244"/>
      <c r="U36" s="244"/>
      <c r="V36" s="244"/>
      <c r="W36" s="244"/>
      <c r="X36" s="244"/>
      <c r="Y36" s="244"/>
      <c r="Z36" s="244"/>
      <c r="AA36" s="244"/>
      <c r="AB36" s="244"/>
      <c r="AC36" s="244"/>
      <c r="AD36" s="244"/>
      <c r="AE36" s="244"/>
      <c r="AF36" s="244"/>
      <c r="AG36" s="244"/>
      <c r="AH36" s="244"/>
      <c r="AI36" s="244"/>
      <c r="AJ36" s="244"/>
      <c r="AK36" s="246"/>
      <c r="AL36" s="250"/>
      <c r="AM36" s="244"/>
      <c r="AN36" s="244"/>
      <c r="AO36" s="244"/>
      <c r="AP36" s="244"/>
      <c r="AQ36" s="244"/>
      <c r="AR36" s="244"/>
      <c r="AS36" s="244"/>
      <c r="AT36" s="244"/>
      <c r="AU36" s="244"/>
      <c r="AV36" s="244"/>
      <c r="AW36" s="244"/>
      <c r="AX36" s="244"/>
      <c r="AY36" s="244"/>
      <c r="AZ36" s="244"/>
      <c r="BA36" s="244"/>
      <c r="BB36" s="244"/>
      <c r="BC36" s="244"/>
      <c r="BD36" s="244"/>
      <c r="BE36" s="244"/>
      <c r="BF36" s="244"/>
      <c r="BG36" s="244"/>
      <c r="BH36" s="244"/>
      <c r="BI36" s="244"/>
      <c r="BJ36" s="244"/>
      <c r="BK36" s="244"/>
      <c r="BL36" s="244"/>
      <c r="BM36" s="244"/>
      <c r="BN36" s="244"/>
      <c r="BO36" s="242"/>
      <c r="BP36" s="242"/>
      <c r="BQ36" s="242"/>
    </row>
    <row r="37" spans="1:69" s="164" customFormat="1" ht="12.75" customHeight="1" x14ac:dyDescent="0.25">
      <c r="A37" s="238"/>
      <c r="B37" s="241"/>
      <c r="C37" s="242"/>
      <c r="D37" s="242"/>
      <c r="E37" s="242"/>
      <c r="F37" s="248"/>
      <c r="G37" s="248"/>
      <c r="H37" s="248"/>
      <c r="I37" s="248"/>
      <c r="J37" s="248"/>
      <c r="K37" s="242"/>
      <c r="L37" s="248"/>
      <c r="M37" s="248"/>
      <c r="N37" s="218"/>
      <c r="O37" s="218"/>
      <c r="P37" s="219"/>
      <c r="Q37" s="244"/>
      <c r="R37" s="244"/>
      <c r="S37" s="242"/>
      <c r="T37" s="244"/>
      <c r="U37" s="244"/>
      <c r="V37" s="244"/>
      <c r="W37" s="244"/>
      <c r="X37" s="244"/>
      <c r="Y37" s="244"/>
      <c r="Z37" s="244"/>
      <c r="AA37" s="244"/>
      <c r="AB37" s="244"/>
      <c r="AC37" s="244"/>
      <c r="AD37" s="244"/>
      <c r="AE37" s="244"/>
      <c r="AF37" s="244"/>
      <c r="AG37" s="244"/>
      <c r="AH37" s="244"/>
      <c r="AI37" s="244"/>
      <c r="AJ37" s="244"/>
      <c r="AK37" s="246"/>
      <c r="AL37" s="250"/>
      <c r="AM37" s="244"/>
      <c r="AN37" s="244"/>
      <c r="AO37" s="244"/>
      <c r="AP37" s="244"/>
      <c r="AQ37" s="244"/>
      <c r="AR37" s="244"/>
      <c r="AS37" s="244"/>
      <c r="AT37" s="244"/>
      <c r="AU37" s="244"/>
      <c r="AV37" s="244"/>
      <c r="AW37" s="244"/>
      <c r="AX37" s="244"/>
      <c r="AY37" s="244"/>
      <c r="AZ37" s="244"/>
      <c r="BA37" s="244"/>
      <c r="BB37" s="244"/>
      <c r="BC37" s="244"/>
      <c r="BD37" s="244"/>
      <c r="BE37" s="244"/>
      <c r="BF37" s="244"/>
      <c r="BG37" s="244"/>
      <c r="BH37" s="244"/>
      <c r="BI37" s="244"/>
      <c r="BJ37" s="244"/>
      <c r="BK37" s="244"/>
      <c r="BL37" s="244"/>
      <c r="BM37" s="244"/>
      <c r="BN37" s="244"/>
      <c r="BO37" s="242"/>
      <c r="BP37" s="242"/>
      <c r="BQ37" s="242"/>
    </row>
    <row r="38" spans="1:69" ht="12.75" customHeight="1" x14ac:dyDescent="0.25">
      <c r="A38" s="229"/>
      <c r="B38" s="229"/>
      <c r="C38" s="220"/>
      <c r="D38" s="220"/>
      <c r="E38" s="242"/>
      <c r="F38" s="254"/>
      <c r="G38" s="254"/>
      <c r="H38" s="254"/>
      <c r="I38" s="254"/>
      <c r="J38" s="254"/>
      <c r="K38" s="220"/>
      <c r="L38" s="254"/>
      <c r="M38" s="254"/>
      <c r="N38" s="255"/>
      <c r="O38" s="255"/>
      <c r="P38" s="219"/>
      <c r="Q38" s="220"/>
      <c r="R38" s="244"/>
      <c r="S38" s="220"/>
      <c r="T38" s="220"/>
      <c r="U38" s="220"/>
      <c r="V38" s="244"/>
      <c r="W38" s="244"/>
      <c r="X38" s="220"/>
      <c r="Y38" s="220"/>
      <c r="Z38" s="220"/>
      <c r="AA38" s="244"/>
      <c r="AB38" s="244"/>
      <c r="AC38" s="244"/>
      <c r="AD38" s="244"/>
      <c r="AE38" s="220"/>
      <c r="AF38" s="220"/>
      <c r="AG38" s="220"/>
      <c r="AH38" s="220"/>
      <c r="AI38" s="220"/>
      <c r="AJ38" s="244"/>
      <c r="AK38" s="254"/>
      <c r="AL38" s="250"/>
      <c r="AM38" s="244"/>
      <c r="AN38" s="244"/>
      <c r="AO38" s="220"/>
      <c r="AP38" s="244"/>
      <c r="AQ38" s="220"/>
      <c r="AR38" s="220"/>
      <c r="AS38" s="220"/>
      <c r="AT38" s="220"/>
      <c r="AU38" s="220"/>
      <c r="AV38" s="220"/>
      <c r="AW38" s="220"/>
      <c r="AX38" s="220"/>
      <c r="AY38" s="220"/>
      <c r="AZ38" s="220"/>
      <c r="BA38" s="220"/>
      <c r="BB38" s="220"/>
      <c r="BC38" s="220"/>
      <c r="BD38" s="220"/>
      <c r="BE38" s="220"/>
      <c r="BF38" s="220"/>
      <c r="BG38" s="220"/>
      <c r="BH38" s="220"/>
      <c r="BI38" s="220"/>
      <c r="BJ38" s="220"/>
      <c r="BK38" s="220"/>
      <c r="BL38" s="220"/>
      <c r="BM38" s="220"/>
      <c r="BN38" s="220"/>
      <c r="BO38" s="242"/>
      <c r="BP38" s="242"/>
      <c r="BQ38" s="242"/>
    </row>
    <row r="39" spans="1:69" ht="12.75" customHeight="1" x14ac:dyDescent="0.25">
      <c r="A39" s="229"/>
      <c r="B39" s="229"/>
      <c r="C39" s="220"/>
      <c r="D39" s="220"/>
      <c r="E39" s="242"/>
      <c r="F39" s="254"/>
      <c r="G39" s="254"/>
      <c r="H39" s="254"/>
      <c r="I39" s="254"/>
      <c r="J39" s="254"/>
      <c r="K39" s="220"/>
      <c r="L39" s="254"/>
      <c r="M39" s="254"/>
      <c r="N39" s="255"/>
      <c r="O39" s="255"/>
      <c r="P39" s="219"/>
      <c r="Q39" s="220"/>
      <c r="R39" s="244"/>
      <c r="S39" s="220"/>
      <c r="T39" s="220"/>
      <c r="U39" s="220"/>
      <c r="V39" s="244"/>
      <c r="W39" s="244"/>
      <c r="X39" s="220"/>
      <c r="Y39" s="220"/>
      <c r="Z39" s="220"/>
      <c r="AA39" s="244"/>
      <c r="AB39" s="244"/>
      <c r="AC39" s="244"/>
      <c r="AD39" s="244"/>
      <c r="AE39" s="220"/>
      <c r="AF39" s="220"/>
      <c r="AG39" s="220"/>
      <c r="AH39" s="220"/>
      <c r="AI39" s="220"/>
      <c r="AJ39" s="244"/>
      <c r="AK39" s="254"/>
      <c r="AL39" s="250"/>
      <c r="AM39" s="244"/>
      <c r="AN39" s="244"/>
      <c r="AO39" s="220"/>
      <c r="AP39" s="244"/>
      <c r="AQ39" s="220"/>
      <c r="AR39" s="220"/>
      <c r="AS39" s="220"/>
      <c r="AT39" s="220"/>
      <c r="AU39" s="220"/>
      <c r="AV39" s="220"/>
      <c r="AW39" s="220"/>
      <c r="AX39" s="220"/>
      <c r="AY39" s="220"/>
      <c r="AZ39" s="220"/>
      <c r="BA39" s="220"/>
      <c r="BB39" s="220"/>
      <c r="BC39" s="220"/>
      <c r="BD39" s="220"/>
      <c r="BE39" s="220"/>
      <c r="BF39" s="220"/>
      <c r="BG39" s="220"/>
      <c r="BH39" s="220"/>
      <c r="BI39" s="220"/>
      <c r="BJ39" s="220"/>
      <c r="BK39" s="220"/>
      <c r="BL39" s="220"/>
      <c r="BM39" s="220"/>
      <c r="BN39" s="220"/>
      <c r="BO39" s="242"/>
      <c r="BP39" s="242"/>
      <c r="BQ39" s="242"/>
    </row>
    <row r="40" spans="1:69" ht="12.75" customHeight="1" x14ac:dyDescent="0.25">
      <c r="A40" s="229"/>
      <c r="B40" s="229"/>
      <c r="C40" s="220"/>
      <c r="D40" s="220"/>
      <c r="E40" s="242"/>
      <c r="F40" s="254"/>
      <c r="G40" s="254"/>
      <c r="H40" s="254"/>
      <c r="I40" s="254"/>
      <c r="J40" s="254"/>
      <c r="K40" s="220"/>
      <c r="L40" s="254"/>
      <c r="M40" s="254"/>
      <c r="N40" s="255"/>
      <c r="O40" s="255"/>
      <c r="P40" s="219"/>
      <c r="Q40" s="220"/>
      <c r="R40" s="244"/>
      <c r="S40" s="220"/>
      <c r="T40" s="220"/>
      <c r="U40" s="220"/>
      <c r="V40" s="244"/>
      <c r="W40" s="244"/>
      <c r="X40" s="220"/>
      <c r="Y40" s="220"/>
      <c r="Z40" s="220"/>
      <c r="AA40" s="244"/>
      <c r="AB40" s="244"/>
      <c r="AC40" s="244"/>
      <c r="AD40" s="244"/>
      <c r="AE40" s="220"/>
      <c r="AF40" s="220"/>
      <c r="AG40" s="220"/>
      <c r="AH40" s="220"/>
      <c r="AI40" s="220"/>
      <c r="AJ40" s="244"/>
      <c r="AK40" s="254"/>
      <c r="AL40" s="250"/>
      <c r="AM40" s="244"/>
      <c r="AN40" s="244"/>
      <c r="AO40" s="220"/>
      <c r="AP40" s="244"/>
      <c r="AQ40" s="220"/>
      <c r="AR40" s="220"/>
      <c r="AS40" s="220"/>
      <c r="AT40" s="220"/>
      <c r="AU40" s="220"/>
      <c r="AV40" s="220"/>
      <c r="AW40" s="220"/>
      <c r="AX40" s="220"/>
      <c r="AY40" s="220"/>
      <c r="AZ40" s="220"/>
      <c r="BA40" s="220"/>
      <c r="BB40" s="220"/>
      <c r="BC40" s="220"/>
      <c r="BD40" s="220"/>
      <c r="BE40" s="220"/>
      <c r="BF40" s="220"/>
      <c r="BG40" s="220"/>
      <c r="BH40" s="220"/>
      <c r="BI40" s="220"/>
      <c r="BJ40" s="220"/>
      <c r="BK40" s="220"/>
      <c r="BL40" s="220"/>
      <c r="BM40" s="220"/>
      <c r="BN40" s="220"/>
      <c r="BO40" s="242"/>
      <c r="BP40" s="242"/>
      <c r="BQ40" s="242"/>
    </row>
    <row r="41" spans="1:69" ht="12.75" customHeight="1" x14ac:dyDescent="0.25">
      <c r="A41" s="229"/>
      <c r="B41" s="229"/>
      <c r="C41" s="220"/>
      <c r="D41" s="220"/>
      <c r="E41" s="242"/>
      <c r="F41" s="254"/>
      <c r="G41" s="254"/>
      <c r="H41" s="254"/>
      <c r="I41" s="254"/>
      <c r="J41" s="254"/>
      <c r="K41" s="220"/>
      <c r="L41" s="254"/>
      <c r="M41" s="254"/>
      <c r="N41" s="255"/>
      <c r="O41" s="255"/>
      <c r="P41" s="219"/>
      <c r="Q41" s="220"/>
      <c r="R41" s="244"/>
      <c r="S41" s="220"/>
      <c r="T41" s="220"/>
      <c r="U41" s="220"/>
      <c r="V41" s="244"/>
      <c r="W41" s="244"/>
      <c r="X41" s="220"/>
      <c r="Y41" s="220"/>
      <c r="Z41" s="220"/>
      <c r="AA41" s="244"/>
      <c r="AB41" s="244"/>
      <c r="AC41" s="244"/>
      <c r="AD41" s="244"/>
      <c r="AE41" s="220"/>
      <c r="AF41" s="220"/>
      <c r="AG41" s="220"/>
      <c r="AH41" s="220"/>
      <c r="AI41" s="220"/>
      <c r="AJ41" s="244"/>
      <c r="AK41" s="254"/>
      <c r="AL41" s="250"/>
      <c r="AM41" s="244"/>
      <c r="AN41" s="244"/>
      <c r="AO41" s="220"/>
      <c r="AP41" s="244"/>
      <c r="AQ41" s="220"/>
      <c r="AR41" s="220"/>
      <c r="AS41" s="220"/>
      <c r="AT41" s="220"/>
      <c r="AU41" s="220"/>
      <c r="AV41" s="220"/>
      <c r="AW41" s="220"/>
      <c r="AX41" s="220"/>
      <c r="AY41" s="220"/>
      <c r="AZ41" s="220"/>
      <c r="BA41" s="220"/>
      <c r="BB41" s="220"/>
      <c r="BC41" s="220"/>
      <c r="BD41" s="220"/>
      <c r="BE41" s="220"/>
      <c r="BF41" s="220"/>
      <c r="BG41" s="220"/>
      <c r="BH41" s="220"/>
      <c r="BI41" s="220"/>
      <c r="BJ41" s="220"/>
      <c r="BK41" s="220"/>
      <c r="BL41" s="220"/>
      <c r="BM41" s="220"/>
      <c r="BN41" s="220"/>
      <c r="BO41" s="242"/>
      <c r="BP41" s="242"/>
      <c r="BQ41" s="242"/>
    </row>
    <row r="42" spans="1:69" ht="12.75" customHeight="1" x14ac:dyDescent="0.25">
      <c r="A42" s="229"/>
      <c r="B42" s="229"/>
      <c r="C42" s="220"/>
      <c r="D42" s="220"/>
      <c r="E42" s="242"/>
      <c r="F42" s="254"/>
      <c r="G42" s="254"/>
      <c r="H42" s="254"/>
      <c r="I42" s="254"/>
      <c r="J42" s="254"/>
      <c r="K42" s="220"/>
      <c r="L42" s="254"/>
      <c r="M42" s="254"/>
      <c r="N42" s="255"/>
      <c r="O42" s="255"/>
      <c r="P42" s="219"/>
      <c r="Q42" s="220"/>
      <c r="R42" s="244"/>
      <c r="S42" s="220"/>
      <c r="T42" s="220"/>
      <c r="U42" s="220"/>
      <c r="V42" s="244"/>
      <c r="W42" s="244"/>
      <c r="X42" s="220"/>
      <c r="Y42" s="220"/>
      <c r="Z42" s="220"/>
      <c r="AA42" s="244"/>
      <c r="AB42" s="244"/>
      <c r="AC42" s="244"/>
      <c r="AD42" s="244"/>
      <c r="AE42" s="220"/>
      <c r="AF42" s="220"/>
      <c r="AG42" s="220"/>
      <c r="AH42" s="220"/>
      <c r="AI42" s="220"/>
      <c r="AJ42" s="244"/>
      <c r="AK42" s="254"/>
      <c r="AL42" s="250"/>
      <c r="AM42" s="244"/>
      <c r="AN42" s="244"/>
      <c r="AO42" s="220"/>
      <c r="AP42" s="244"/>
      <c r="AQ42" s="220"/>
      <c r="AR42" s="220"/>
      <c r="AS42" s="220"/>
      <c r="AT42" s="220"/>
      <c r="AU42" s="220"/>
      <c r="AV42" s="220"/>
      <c r="AW42" s="220"/>
      <c r="AX42" s="220"/>
      <c r="AY42" s="220"/>
      <c r="AZ42" s="220"/>
      <c r="BA42" s="220"/>
      <c r="BB42" s="220"/>
      <c r="BC42" s="220"/>
      <c r="BD42" s="220"/>
      <c r="BE42" s="220"/>
      <c r="BF42" s="220"/>
      <c r="BG42" s="220"/>
      <c r="BH42" s="220"/>
      <c r="BI42" s="220"/>
      <c r="BJ42" s="220"/>
      <c r="BK42" s="220"/>
      <c r="BL42" s="220"/>
      <c r="BM42" s="220"/>
      <c r="BN42" s="220"/>
      <c r="BO42" s="242"/>
      <c r="BP42" s="242"/>
      <c r="BQ42" s="242"/>
    </row>
    <row r="43" spans="1:69" ht="12.75" customHeight="1" x14ac:dyDescent="0.25">
      <c r="A43" s="229"/>
      <c r="B43" s="229"/>
      <c r="C43" s="220"/>
      <c r="D43" s="220"/>
      <c r="E43" s="242"/>
      <c r="F43" s="254"/>
      <c r="G43" s="254"/>
      <c r="H43" s="254"/>
      <c r="I43" s="254"/>
      <c r="J43" s="254"/>
      <c r="K43" s="220"/>
      <c r="L43" s="254"/>
      <c r="M43" s="254"/>
      <c r="N43" s="255"/>
      <c r="O43" s="255"/>
      <c r="P43" s="219"/>
      <c r="Q43" s="220"/>
      <c r="R43" s="244"/>
      <c r="S43" s="220"/>
      <c r="T43" s="220"/>
      <c r="U43" s="220"/>
      <c r="V43" s="244"/>
      <c r="W43" s="244"/>
      <c r="X43" s="220"/>
      <c r="Y43" s="220"/>
      <c r="Z43" s="220"/>
      <c r="AA43" s="244"/>
      <c r="AB43" s="244"/>
      <c r="AC43" s="244"/>
      <c r="AD43" s="244"/>
      <c r="AE43" s="220"/>
      <c r="AF43" s="220"/>
      <c r="AG43" s="220"/>
      <c r="AH43" s="220"/>
      <c r="AI43" s="220"/>
      <c r="AJ43" s="244"/>
      <c r="AK43" s="254"/>
      <c r="AL43" s="250"/>
      <c r="AM43" s="244"/>
      <c r="AN43" s="244"/>
      <c r="AO43" s="220"/>
      <c r="AP43" s="244"/>
      <c r="AQ43" s="220"/>
      <c r="AR43" s="220"/>
      <c r="AS43" s="220"/>
      <c r="AT43" s="220"/>
      <c r="AU43" s="220"/>
      <c r="AV43" s="220"/>
      <c r="AW43" s="220"/>
      <c r="AX43" s="220"/>
      <c r="AY43" s="220"/>
      <c r="AZ43" s="220"/>
      <c r="BA43" s="220"/>
      <c r="BB43" s="220"/>
      <c r="BC43" s="220"/>
      <c r="BD43" s="220"/>
      <c r="BE43" s="220"/>
      <c r="BF43" s="220"/>
      <c r="BG43" s="220"/>
      <c r="BH43" s="220"/>
      <c r="BI43" s="220"/>
      <c r="BJ43" s="220"/>
      <c r="BK43" s="220"/>
      <c r="BL43" s="220"/>
      <c r="BM43" s="220"/>
      <c r="BN43" s="220"/>
      <c r="BO43" s="242"/>
      <c r="BP43" s="242"/>
      <c r="BQ43" s="242"/>
    </row>
    <row r="44" spans="1:69" ht="12.75" customHeight="1" x14ac:dyDescent="0.25">
      <c r="A44" s="229"/>
      <c r="B44" s="229"/>
      <c r="C44" s="220"/>
      <c r="D44" s="220"/>
      <c r="E44" s="242"/>
      <c r="F44" s="254"/>
      <c r="G44" s="254"/>
      <c r="H44" s="254"/>
      <c r="I44" s="254"/>
      <c r="J44" s="254"/>
      <c r="K44" s="220"/>
      <c r="L44" s="254"/>
      <c r="M44" s="254"/>
      <c r="N44" s="255"/>
      <c r="O44" s="255"/>
      <c r="P44" s="219"/>
      <c r="Q44" s="220"/>
      <c r="R44" s="244"/>
      <c r="S44" s="220"/>
      <c r="T44" s="220"/>
      <c r="U44" s="220"/>
      <c r="V44" s="244"/>
      <c r="W44" s="244"/>
      <c r="X44" s="220"/>
      <c r="Y44" s="220"/>
      <c r="Z44" s="220"/>
      <c r="AA44" s="244"/>
      <c r="AB44" s="244"/>
      <c r="AC44" s="244"/>
      <c r="AD44" s="244"/>
      <c r="AE44" s="220"/>
      <c r="AF44" s="220"/>
      <c r="AG44" s="220"/>
      <c r="AH44" s="220"/>
      <c r="AI44" s="220"/>
      <c r="AJ44" s="244"/>
      <c r="AK44" s="254"/>
      <c r="AL44" s="250"/>
      <c r="AM44" s="244"/>
      <c r="AN44" s="244"/>
      <c r="AO44" s="220"/>
      <c r="AP44" s="244"/>
      <c r="AQ44" s="220"/>
      <c r="AR44" s="220"/>
      <c r="AS44" s="220"/>
      <c r="AT44" s="220"/>
      <c r="AU44" s="220"/>
      <c r="AV44" s="220"/>
      <c r="AW44" s="220"/>
      <c r="AX44" s="220"/>
      <c r="AY44" s="220"/>
      <c r="AZ44" s="220"/>
      <c r="BA44" s="220"/>
      <c r="BB44" s="220"/>
      <c r="BC44" s="220"/>
      <c r="BD44" s="220"/>
      <c r="BE44" s="220"/>
      <c r="BF44" s="220"/>
      <c r="BG44" s="220"/>
      <c r="BH44" s="220"/>
      <c r="BI44" s="220"/>
      <c r="BJ44" s="220"/>
      <c r="BK44" s="220"/>
      <c r="BL44" s="220"/>
      <c r="BM44" s="220"/>
      <c r="BN44" s="220"/>
      <c r="BO44" s="242"/>
      <c r="BP44" s="242"/>
      <c r="BQ44" s="242"/>
    </row>
    <row r="45" spans="1:69" ht="12.75" customHeight="1" x14ac:dyDescent="0.25">
      <c r="A45" s="229"/>
      <c r="B45" s="229"/>
      <c r="C45" s="220"/>
      <c r="D45" s="220"/>
      <c r="E45" s="242"/>
      <c r="F45" s="254"/>
      <c r="G45" s="254"/>
      <c r="H45" s="254"/>
      <c r="I45" s="254"/>
      <c r="J45" s="254"/>
      <c r="K45" s="220"/>
      <c r="L45" s="254"/>
      <c r="M45" s="254"/>
      <c r="N45" s="255"/>
      <c r="O45" s="255"/>
      <c r="P45" s="219"/>
      <c r="Q45" s="220"/>
      <c r="R45" s="244"/>
      <c r="S45" s="220"/>
      <c r="T45" s="220"/>
      <c r="U45" s="220"/>
      <c r="V45" s="244"/>
      <c r="W45" s="244"/>
      <c r="X45" s="220"/>
      <c r="Y45" s="220"/>
      <c r="Z45" s="220"/>
      <c r="AA45" s="244"/>
      <c r="AB45" s="244"/>
      <c r="AC45" s="244"/>
      <c r="AD45" s="244"/>
      <c r="AE45" s="220"/>
      <c r="AF45" s="220"/>
      <c r="AG45" s="220"/>
      <c r="AH45" s="220"/>
      <c r="AI45" s="220"/>
      <c r="AJ45" s="244"/>
      <c r="AK45" s="254"/>
      <c r="AL45" s="250"/>
      <c r="AM45" s="244"/>
      <c r="AN45" s="244"/>
      <c r="AO45" s="220"/>
      <c r="AP45" s="244"/>
      <c r="AQ45" s="220"/>
      <c r="AR45" s="220"/>
      <c r="AS45" s="220"/>
      <c r="AT45" s="220"/>
      <c r="AU45" s="220"/>
      <c r="AV45" s="220"/>
      <c r="AW45" s="220"/>
      <c r="AX45" s="220"/>
      <c r="AY45" s="220"/>
      <c r="AZ45" s="220"/>
      <c r="BA45" s="220"/>
      <c r="BB45" s="220"/>
      <c r="BC45" s="220"/>
      <c r="BD45" s="220"/>
      <c r="BE45" s="220"/>
      <c r="BF45" s="220"/>
      <c r="BG45" s="220"/>
      <c r="BH45" s="220"/>
      <c r="BI45" s="220"/>
      <c r="BJ45" s="220"/>
      <c r="BK45" s="220"/>
      <c r="BL45" s="220"/>
      <c r="BM45" s="220"/>
      <c r="BN45" s="220"/>
      <c r="BO45" s="242"/>
      <c r="BP45" s="242"/>
      <c r="BQ45" s="242"/>
    </row>
    <row r="46" spans="1:69" ht="12.75" customHeight="1" x14ac:dyDescent="0.25">
      <c r="A46" s="229"/>
      <c r="B46" s="229"/>
      <c r="C46" s="220"/>
      <c r="D46" s="220"/>
      <c r="E46" s="242"/>
      <c r="F46" s="254"/>
      <c r="G46" s="254"/>
      <c r="H46" s="254"/>
      <c r="I46" s="254"/>
      <c r="J46" s="254"/>
      <c r="K46" s="220"/>
      <c r="L46" s="254"/>
      <c r="M46" s="254"/>
      <c r="N46" s="255"/>
      <c r="O46" s="255"/>
      <c r="P46" s="219"/>
      <c r="Q46" s="220"/>
      <c r="R46" s="244"/>
      <c r="S46" s="220"/>
      <c r="T46" s="220"/>
      <c r="U46" s="220"/>
      <c r="V46" s="244"/>
      <c r="W46" s="244"/>
      <c r="X46" s="220"/>
      <c r="Y46" s="220"/>
      <c r="Z46" s="220"/>
      <c r="AA46" s="244"/>
      <c r="AB46" s="244"/>
      <c r="AC46" s="244"/>
      <c r="AD46" s="244"/>
      <c r="AE46" s="220"/>
      <c r="AF46" s="220"/>
      <c r="AG46" s="220"/>
      <c r="AH46" s="220"/>
      <c r="AI46" s="220"/>
      <c r="AJ46" s="244"/>
      <c r="AK46" s="254"/>
      <c r="AL46" s="250"/>
      <c r="AM46" s="244"/>
      <c r="AN46" s="244"/>
      <c r="AO46" s="220"/>
      <c r="AP46" s="244"/>
      <c r="AQ46" s="220"/>
      <c r="AR46" s="220"/>
      <c r="AS46" s="220"/>
      <c r="AT46" s="220"/>
      <c r="AU46" s="220"/>
      <c r="AV46" s="220"/>
      <c r="AW46" s="220"/>
      <c r="AX46" s="220"/>
      <c r="AY46" s="220"/>
      <c r="AZ46" s="220"/>
      <c r="BA46" s="220"/>
      <c r="BB46" s="220"/>
      <c r="BC46" s="220"/>
      <c r="BD46" s="220"/>
      <c r="BE46" s="220"/>
      <c r="BF46" s="220"/>
      <c r="BG46" s="220"/>
      <c r="BH46" s="220"/>
      <c r="BI46" s="220"/>
      <c r="BJ46" s="220"/>
      <c r="BK46" s="220"/>
      <c r="BL46" s="220"/>
      <c r="BM46" s="220"/>
      <c r="BN46" s="220"/>
      <c r="BO46" s="242"/>
      <c r="BP46" s="242"/>
      <c r="BQ46" s="242"/>
    </row>
    <row r="47" spans="1:69" ht="12.75" customHeight="1" x14ac:dyDescent="0.25">
      <c r="A47" s="229"/>
      <c r="B47" s="229"/>
      <c r="C47" s="220"/>
      <c r="D47" s="220"/>
      <c r="E47" s="242"/>
      <c r="F47" s="254"/>
      <c r="G47" s="254"/>
      <c r="H47" s="254"/>
      <c r="I47" s="254"/>
      <c r="J47" s="254"/>
      <c r="K47" s="220"/>
      <c r="L47" s="254"/>
      <c r="M47" s="254"/>
      <c r="N47" s="255"/>
      <c r="O47" s="255"/>
      <c r="P47" s="219"/>
      <c r="Q47" s="220"/>
      <c r="R47" s="244"/>
      <c r="S47" s="220"/>
      <c r="T47" s="220"/>
      <c r="U47" s="220"/>
      <c r="V47" s="244"/>
      <c r="W47" s="244"/>
      <c r="X47" s="220"/>
      <c r="Y47" s="220"/>
      <c r="Z47" s="220"/>
      <c r="AA47" s="244"/>
      <c r="AB47" s="244"/>
      <c r="AC47" s="244"/>
      <c r="AD47" s="244"/>
      <c r="AE47" s="220"/>
      <c r="AF47" s="220"/>
      <c r="AG47" s="220"/>
      <c r="AH47" s="220"/>
      <c r="AI47" s="220"/>
      <c r="AJ47" s="244"/>
      <c r="AK47" s="254"/>
      <c r="AL47" s="250"/>
      <c r="AM47" s="244"/>
      <c r="AN47" s="244"/>
      <c r="AO47" s="220"/>
      <c r="AP47" s="244"/>
      <c r="AQ47" s="220"/>
      <c r="AR47" s="220"/>
      <c r="AS47" s="220"/>
      <c r="AT47" s="220"/>
      <c r="AU47" s="220"/>
      <c r="AV47" s="220"/>
      <c r="AW47" s="220"/>
      <c r="AX47" s="220"/>
      <c r="AY47" s="220"/>
      <c r="AZ47" s="220"/>
      <c r="BA47" s="220"/>
      <c r="BB47" s="220"/>
      <c r="BC47" s="220"/>
      <c r="BD47" s="220"/>
      <c r="BE47" s="220"/>
      <c r="BF47" s="220"/>
      <c r="BG47" s="220"/>
      <c r="BH47" s="220"/>
      <c r="BI47" s="220"/>
      <c r="BJ47" s="220"/>
      <c r="BK47" s="220"/>
      <c r="BL47" s="220"/>
      <c r="BM47" s="220"/>
      <c r="BN47" s="220"/>
      <c r="BO47" s="242"/>
      <c r="BP47" s="242"/>
      <c r="BQ47" s="242"/>
    </row>
    <row r="48" spans="1:69" ht="12.75" customHeight="1" x14ac:dyDescent="0.25">
      <c r="A48" s="229"/>
      <c r="B48" s="229"/>
      <c r="C48" s="220"/>
      <c r="D48" s="220"/>
      <c r="E48" s="242"/>
      <c r="F48" s="254"/>
      <c r="G48" s="254"/>
      <c r="H48" s="254"/>
      <c r="I48" s="254"/>
      <c r="J48" s="254"/>
      <c r="K48" s="220"/>
      <c r="L48" s="254"/>
      <c r="M48" s="254"/>
      <c r="N48" s="255"/>
      <c r="O48" s="255"/>
      <c r="P48" s="219"/>
      <c r="Q48" s="220"/>
      <c r="R48" s="244"/>
      <c r="S48" s="220"/>
      <c r="T48" s="220"/>
      <c r="U48" s="220"/>
      <c r="V48" s="244"/>
      <c r="W48" s="244"/>
      <c r="X48" s="220"/>
      <c r="Y48" s="220"/>
      <c r="Z48" s="220"/>
      <c r="AA48" s="244"/>
      <c r="AB48" s="244"/>
      <c r="AC48" s="244"/>
      <c r="AD48" s="244"/>
      <c r="AE48" s="220"/>
      <c r="AF48" s="220"/>
      <c r="AG48" s="220"/>
      <c r="AH48" s="220"/>
      <c r="AI48" s="220"/>
      <c r="AJ48" s="244"/>
      <c r="AK48" s="254"/>
      <c r="AL48" s="250"/>
      <c r="AM48" s="244"/>
      <c r="AN48" s="244"/>
      <c r="AO48" s="220"/>
      <c r="AP48" s="244"/>
      <c r="AQ48" s="220"/>
      <c r="AR48" s="220"/>
      <c r="AS48" s="220"/>
      <c r="AT48" s="220"/>
      <c r="AU48" s="220"/>
      <c r="AV48" s="220"/>
      <c r="AW48" s="220"/>
      <c r="AX48" s="220"/>
      <c r="AY48" s="220"/>
      <c r="AZ48" s="220"/>
      <c r="BA48" s="220"/>
      <c r="BB48" s="220"/>
      <c r="BC48" s="220"/>
      <c r="BD48" s="220"/>
      <c r="BE48" s="220"/>
      <c r="BF48" s="220"/>
      <c r="BG48" s="220"/>
      <c r="BH48" s="220"/>
      <c r="BI48" s="220"/>
      <c r="BJ48" s="220"/>
      <c r="BK48" s="220"/>
      <c r="BL48" s="220"/>
      <c r="BM48" s="220"/>
      <c r="BN48" s="220"/>
      <c r="BO48" s="242"/>
      <c r="BP48" s="242"/>
      <c r="BQ48" s="242"/>
    </row>
    <row r="49" spans="1:69" ht="12.75" customHeight="1" x14ac:dyDescent="0.25">
      <c r="A49" s="229"/>
      <c r="B49" s="229"/>
      <c r="C49" s="220"/>
      <c r="D49" s="220"/>
      <c r="E49" s="242"/>
      <c r="F49" s="254"/>
      <c r="G49" s="254"/>
      <c r="H49" s="254"/>
      <c r="I49" s="254"/>
      <c r="J49" s="254"/>
      <c r="K49" s="220"/>
      <c r="L49" s="254"/>
      <c r="M49" s="254"/>
      <c r="N49" s="255"/>
      <c r="O49" s="255"/>
      <c r="P49" s="219"/>
      <c r="Q49" s="220"/>
      <c r="R49" s="244"/>
      <c r="S49" s="220"/>
      <c r="T49" s="220"/>
      <c r="U49" s="220"/>
      <c r="V49" s="244"/>
      <c r="W49" s="244"/>
      <c r="X49" s="220"/>
      <c r="Y49" s="220"/>
      <c r="Z49" s="220"/>
      <c r="AA49" s="244"/>
      <c r="AB49" s="244"/>
      <c r="AC49" s="244"/>
      <c r="AD49" s="244"/>
      <c r="AE49" s="220"/>
      <c r="AF49" s="220"/>
      <c r="AG49" s="220"/>
      <c r="AH49" s="220"/>
      <c r="AI49" s="220"/>
      <c r="AJ49" s="244"/>
      <c r="AK49" s="254"/>
      <c r="AL49" s="250"/>
      <c r="AM49" s="244"/>
      <c r="AN49" s="244"/>
      <c r="AO49" s="220"/>
      <c r="AP49" s="244"/>
      <c r="AQ49" s="220"/>
      <c r="AR49" s="220"/>
      <c r="AS49" s="220"/>
      <c r="AT49" s="220"/>
      <c r="AU49" s="220"/>
      <c r="AV49" s="220"/>
      <c r="AW49" s="220"/>
      <c r="AX49" s="220"/>
      <c r="AY49" s="220"/>
      <c r="AZ49" s="220"/>
      <c r="BA49" s="220"/>
      <c r="BB49" s="220"/>
      <c r="BC49" s="220"/>
      <c r="BD49" s="220"/>
      <c r="BE49" s="220"/>
      <c r="BF49" s="220"/>
      <c r="BG49" s="220"/>
      <c r="BH49" s="220"/>
      <c r="BI49" s="220"/>
      <c r="BJ49" s="220"/>
      <c r="BK49" s="220"/>
      <c r="BL49" s="220"/>
      <c r="BM49" s="220"/>
      <c r="BN49" s="220"/>
      <c r="BO49" s="242"/>
      <c r="BP49" s="242"/>
      <c r="BQ49" s="242"/>
    </row>
    <row r="50" spans="1:69" ht="12.75" customHeight="1" x14ac:dyDescent="0.25">
      <c r="A50" s="229"/>
      <c r="B50" s="229"/>
      <c r="C50" s="220"/>
      <c r="D50" s="220"/>
      <c r="E50" s="242"/>
      <c r="F50" s="254"/>
      <c r="G50" s="254"/>
      <c r="H50" s="254"/>
      <c r="I50" s="254"/>
      <c r="J50" s="254"/>
      <c r="K50" s="220"/>
      <c r="L50" s="254"/>
      <c r="M50" s="254"/>
      <c r="N50" s="255"/>
      <c r="O50" s="255"/>
      <c r="P50" s="219"/>
      <c r="Q50" s="220"/>
      <c r="R50" s="244"/>
      <c r="S50" s="220"/>
      <c r="T50" s="220"/>
      <c r="U50" s="220"/>
      <c r="V50" s="244"/>
      <c r="W50" s="244"/>
      <c r="X50" s="220"/>
      <c r="Y50" s="220"/>
      <c r="Z50" s="220"/>
      <c r="AA50" s="244"/>
      <c r="AB50" s="244"/>
      <c r="AC50" s="244"/>
      <c r="AD50" s="244"/>
      <c r="AE50" s="220"/>
      <c r="AF50" s="220"/>
      <c r="AG50" s="220"/>
      <c r="AH50" s="220"/>
      <c r="AI50" s="220"/>
      <c r="AJ50" s="244"/>
      <c r="AK50" s="254"/>
      <c r="AL50" s="250"/>
      <c r="AM50" s="244"/>
      <c r="AN50" s="244"/>
      <c r="AO50" s="220"/>
      <c r="AP50" s="244"/>
      <c r="AQ50" s="220"/>
      <c r="AR50" s="220"/>
      <c r="AS50" s="220"/>
      <c r="AT50" s="220"/>
      <c r="AU50" s="220"/>
      <c r="AV50" s="220"/>
      <c r="AW50" s="220"/>
      <c r="AX50" s="220"/>
      <c r="AY50" s="220"/>
      <c r="AZ50" s="220"/>
      <c r="BA50" s="220"/>
      <c r="BB50" s="220"/>
      <c r="BC50" s="220"/>
      <c r="BD50" s="220"/>
      <c r="BE50" s="220"/>
      <c r="BF50" s="220"/>
      <c r="BG50" s="220"/>
      <c r="BH50" s="220"/>
      <c r="BI50" s="220"/>
      <c r="BJ50" s="220"/>
      <c r="BK50" s="220"/>
      <c r="BL50" s="220"/>
      <c r="BM50" s="220"/>
      <c r="BN50" s="220"/>
      <c r="BO50" s="242"/>
      <c r="BP50" s="242"/>
      <c r="BQ50" s="242"/>
    </row>
    <row r="51" spans="1:69" ht="12.75" customHeight="1" x14ac:dyDescent="0.25">
      <c r="A51" s="229"/>
      <c r="B51" s="229"/>
      <c r="C51" s="220"/>
      <c r="D51" s="220"/>
      <c r="E51" s="242"/>
      <c r="F51" s="254"/>
      <c r="G51" s="254"/>
      <c r="H51" s="254"/>
      <c r="I51" s="254"/>
      <c r="J51" s="254"/>
      <c r="K51" s="220"/>
      <c r="L51" s="254"/>
      <c r="M51" s="254"/>
      <c r="N51" s="255"/>
      <c r="O51" s="255"/>
      <c r="P51" s="219"/>
      <c r="Q51" s="220"/>
      <c r="R51" s="244"/>
      <c r="S51" s="220"/>
      <c r="T51" s="220"/>
      <c r="U51" s="220"/>
      <c r="V51" s="244"/>
      <c r="W51" s="244"/>
      <c r="X51" s="220"/>
      <c r="Y51" s="220"/>
      <c r="Z51" s="220"/>
      <c r="AA51" s="244"/>
      <c r="AB51" s="244"/>
      <c r="AC51" s="244"/>
      <c r="AD51" s="244"/>
      <c r="AE51" s="220"/>
      <c r="AF51" s="220"/>
      <c r="AG51" s="220"/>
      <c r="AH51" s="220"/>
      <c r="AI51" s="220"/>
      <c r="AJ51" s="244"/>
      <c r="AK51" s="254"/>
      <c r="AL51" s="250"/>
      <c r="AM51" s="244"/>
      <c r="AN51" s="244"/>
      <c r="AO51" s="220"/>
      <c r="AP51" s="244"/>
      <c r="AQ51" s="220"/>
      <c r="AR51" s="220"/>
      <c r="AS51" s="220"/>
      <c r="AT51" s="220"/>
      <c r="AU51" s="220"/>
      <c r="AV51" s="220"/>
      <c r="AW51" s="220"/>
      <c r="AX51" s="220"/>
      <c r="AY51" s="220"/>
      <c r="AZ51" s="220"/>
      <c r="BA51" s="220"/>
      <c r="BB51" s="220"/>
      <c r="BC51" s="220"/>
      <c r="BD51" s="220"/>
      <c r="BE51" s="220"/>
      <c r="BF51" s="220"/>
      <c r="BG51" s="220"/>
      <c r="BH51" s="220"/>
      <c r="BI51" s="220"/>
      <c r="BJ51" s="220"/>
      <c r="BK51" s="220"/>
      <c r="BL51" s="220"/>
      <c r="BM51" s="220"/>
      <c r="BN51" s="220"/>
      <c r="BO51" s="242"/>
      <c r="BP51" s="242"/>
      <c r="BQ51" s="242"/>
    </row>
    <row r="52" spans="1:69" ht="12.75" customHeight="1" x14ac:dyDescent="0.25">
      <c r="A52" s="229"/>
      <c r="B52" s="229"/>
      <c r="C52" s="220"/>
      <c r="D52" s="220"/>
      <c r="E52" s="242"/>
      <c r="F52" s="254"/>
      <c r="G52" s="254"/>
      <c r="H52" s="254"/>
      <c r="I52" s="254"/>
      <c r="J52" s="254"/>
      <c r="K52" s="220"/>
      <c r="L52" s="254"/>
      <c r="M52" s="254"/>
      <c r="N52" s="255"/>
      <c r="O52" s="255"/>
      <c r="P52" s="219"/>
      <c r="Q52" s="220"/>
      <c r="R52" s="244"/>
      <c r="S52" s="220"/>
      <c r="T52" s="220"/>
      <c r="U52" s="220"/>
      <c r="V52" s="244"/>
      <c r="W52" s="244"/>
      <c r="X52" s="220"/>
      <c r="Y52" s="220"/>
      <c r="Z52" s="220"/>
      <c r="AA52" s="244"/>
      <c r="AB52" s="244"/>
      <c r="AC52" s="244"/>
      <c r="AD52" s="244"/>
      <c r="AE52" s="220"/>
      <c r="AF52" s="220"/>
      <c r="AG52" s="220"/>
      <c r="AH52" s="220"/>
      <c r="AI52" s="220"/>
      <c r="AJ52" s="244"/>
      <c r="AK52" s="254"/>
      <c r="AL52" s="250"/>
      <c r="AM52" s="244"/>
      <c r="AN52" s="244"/>
      <c r="AO52" s="220"/>
      <c r="AP52" s="244"/>
      <c r="AQ52" s="220"/>
      <c r="AR52" s="220"/>
      <c r="AS52" s="220"/>
      <c r="AT52" s="220"/>
      <c r="AU52" s="220"/>
      <c r="AV52" s="220"/>
      <c r="AW52" s="220"/>
      <c r="AX52" s="220"/>
      <c r="AY52" s="220"/>
      <c r="AZ52" s="220"/>
      <c r="BA52" s="220"/>
      <c r="BB52" s="220"/>
      <c r="BC52" s="220"/>
      <c r="BD52" s="220"/>
      <c r="BE52" s="220"/>
      <c r="BF52" s="220"/>
      <c r="BG52" s="220"/>
      <c r="BH52" s="220"/>
      <c r="BI52" s="220"/>
      <c r="BJ52" s="220"/>
      <c r="BK52" s="220"/>
      <c r="BL52" s="220"/>
      <c r="BM52" s="220"/>
      <c r="BN52" s="220"/>
      <c r="BO52" s="242"/>
      <c r="BP52" s="242"/>
      <c r="BQ52" s="242"/>
    </row>
    <row r="53" spans="1:69" ht="12.75" customHeight="1" x14ac:dyDescent="0.25">
      <c r="A53" s="229"/>
      <c r="B53" s="229"/>
      <c r="C53" s="220"/>
      <c r="D53" s="220"/>
      <c r="E53" s="242"/>
      <c r="F53" s="254"/>
      <c r="G53" s="254"/>
      <c r="H53" s="254"/>
      <c r="I53" s="254"/>
      <c r="J53" s="254"/>
      <c r="K53" s="220"/>
      <c r="L53" s="254"/>
      <c r="M53" s="254"/>
      <c r="N53" s="255"/>
      <c r="O53" s="255"/>
      <c r="P53" s="219"/>
      <c r="Q53" s="220"/>
      <c r="R53" s="244"/>
      <c r="S53" s="220"/>
      <c r="T53" s="220"/>
      <c r="U53" s="220"/>
      <c r="V53" s="244"/>
      <c r="W53" s="244"/>
      <c r="X53" s="220"/>
      <c r="Y53" s="220"/>
      <c r="Z53" s="220"/>
      <c r="AA53" s="244"/>
      <c r="AB53" s="244"/>
      <c r="AC53" s="244"/>
      <c r="AD53" s="244"/>
      <c r="AE53" s="220"/>
      <c r="AF53" s="220"/>
      <c r="AG53" s="220"/>
      <c r="AH53" s="220"/>
      <c r="AI53" s="220"/>
      <c r="AJ53" s="244"/>
      <c r="AK53" s="254"/>
      <c r="AL53" s="250"/>
      <c r="AM53" s="244"/>
      <c r="AN53" s="244"/>
      <c r="AO53" s="220"/>
      <c r="AP53" s="244"/>
      <c r="AQ53" s="220"/>
      <c r="AR53" s="220"/>
      <c r="AS53" s="220"/>
      <c r="AT53" s="220"/>
      <c r="AU53" s="220"/>
      <c r="AV53" s="220"/>
      <c r="AW53" s="220"/>
      <c r="AX53" s="220"/>
      <c r="AY53" s="220"/>
      <c r="AZ53" s="220"/>
      <c r="BA53" s="220"/>
      <c r="BB53" s="220"/>
      <c r="BC53" s="220"/>
      <c r="BD53" s="220"/>
      <c r="BE53" s="220"/>
      <c r="BF53" s="220"/>
      <c r="BG53" s="220"/>
      <c r="BH53" s="220"/>
      <c r="BI53" s="220"/>
      <c r="BJ53" s="220"/>
      <c r="BK53" s="220"/>
      <c r="BL53" s="220"/>
      <c r="BM53" s="220"/>
      <c r="BN53" s="220"/>
      <c r="BO53" s="242"/>
      <c r="BP53" s="242"/>
      <c r="BQ53" s="242"/>
    </row>
    <row r="54" spans="1:69" ht="12.75" customHeight="1" x14ac:dyDescent="0.25">
      <c r="A54" s="229"/>
      <c r="B54" s="229"/>
      <c r="C54" s="220"/>
      <c r="D54" s="220"/>
      <c r="E54" s="242"/>
      <c r="F54" s="254"/>
      <c r="G54" s="254"/>
      <c r="H54" s="254"/>
      <c r="I54" s="254"/>
      <c r="J54" s="254"/>
      <c r="K54" s="220"/>
      <c r="L54" s="254"/>
      <c r="M54" s="254"/>
      <c r="N54" s="255"/>
      <c r="O54" s="255"/>
      <c r="P54" s="219"/>
      <c r="Q54" s="220"/>
      <c r="R54" s="244"/>
      <c r="S54" s="220"/>
      <c r="T54" s="220"/>
      <c r="U54" s="220"/>
      <c r="V54" s="244"/>
      <c r="W54" s="244"/>
      <c r="X54" s="220"/>
      <c r="Y54" s="220"/>
      <c r="Z54" s="220"/>
      <c r="AA54" s="244"/>
      <c r="AB54" s="244"/>
      <c r="AC54" s="244"/>
      <c r="AD54" s="244"/>
      <c r="AE54" s="220"/>
      <c r="AF54" s="220"/>
      <c r="AG54" s="220"/>
      <c r="AH54" s="220"/>
      <c r="AI54" s="220"/>
      <c r="AJ54" s="244"/>
      <c r="AK54" s="254"/>
      <c r="AL54" s="250"/>
      <c r="AM54" s="244"/>
      <c r="AN54" s="244"/>
      <c r="AO54" s="220"/>
      <c r="AP54" s="244"/>
      <c r="AQ54" s="220"/>
      <c r="AR54" s="220"/>
      <c r="AS54" s="220"/>
      <c r="AT54" s="220"/>
      <c r="AU54" s="220"/>
      <c r="AV54" s="220"/>
      <c r="AW54" s="220"/>
      <c r="AX54" s="220"/>
      <c r="AY54" s="220"/>
      <c r="AZ54" s="220"/>
      <c r="BA54" s="220"/>
      <c r="BB54" s="220"/>
      <c r="BC54" s="220"/>
      <c r="BD54" s="220"/>
      <c r="BE54" s="220"/>
      <c r="BF54" s="220"/>
      <c r="BG54" s="220"/>
      <c r="BH54" s="220"/>
      <c r="BI54" s="220"/>
      <c r="BJ54" s="220"/>
      <c r="BK54" s="220"/>
      <c r="BL54" s="220"/>
      <c r="BM54" s="220"/>
      <c r="BN54" s="220"/>
      <c r="BO54" s="242"/>
      <c r="BP54" s="242"/>
      <c r="BQ54" s="242"/>
    </row>
    <row r="55" spans="1:69" ht="12.75" customHeight="1" x14ac:dyDescent="0.25">
      <c r="A55" s="229"/>
      <c r="B55" s="229"/>
      <c r="C55" s="220"/>
      <c r="D55" s="220"/>
      <c r="E55" s="242"/>
      <c r="F55" s="254"/>
      <c r="G55" s="254"/>
      <c r="H55" s="254"/>
      <c r="I55" s="254"/>
      <c r="J55" s="254"/>
      <c r="K55" s="220"/>
      <c r="L55" s="254"/>
      <c r="M55" s="254"/>
      <c r="N55" s="255"/>
      <c r="O55" s="255"/>
      <c r="P55" s="219"/>
      <c r="Q55" s="220"/>
      <c r="R55" s="244"/>
      <c r="S55" s="220"/>
      <c r="T55" s="220"/>
      <c r="U55" s="220"/>
      <c r="V55" s="244"/>
      <c r="W55" s="244"/>
      <c r="X55" s="220"/>
      <c r="Y55" s="220"/>
      <c r="Z55" s="220"/>
      <c r="AA55" s="244"/>
      <c r="AB55" s="244"/>
      <c r="AC55" s="244"/>
      <c r="AD55" s="244"/>
      <c r="AE55" s="220"/>
      <c r="AF55" s="220"/>
      <c r="AG55" s="220"/>
      <c r="AH55" s="220"/>
      <c r="AI55" s="220"/>
      <c r="AJ55" s="244"/>
      <c r="AK55" s="254"/>
      <c r="AL55" s="250"/>
      <c r="AM55" s="244"/>
      <c r="AN55" s="244"/>
      <c r="AO55" s="220"/>
      <c r="AP55" s="244"/>
      <c r="AQ55" s="220"/>
      <c r="AR55" s="220"/>
      <c r="AS55" s="220"/>
      <c r="AT55" s="220"/>
      <c r="AU55" s="220"/>
      <c r="AV55" s="220"/>
      <c r="AW55" s="220"/>
      <c r="AX55" s="220"/>
      <c r="AY55" s="220"/>
      <c r="AZ55" s="220"/>
      <c r="BA55" s="220"/>
      <c r="BB55" s="220"/>
      <c r="BC55" s="220"/>
      <c r="BD55" s="220"/>
      <c r="BE55" s="220"/>
      <c r="BF55" s="220"/>
      <c r="BG55" s="220"/>
      <c r="BH55" s="220"/>
      <c r="BI55" s="220"/>
      <c r="BJ55" s="220"/>
      <c r="BK55" s="220"/>
      <c r="BL55" s="220"/>
      <c r="BM55" s="220"/>
      <c r="BN55" s="220"/>
      <c r="BO55" s="242"/>
      <c r="BP55" s="242"/>
      <c r="BQ55" s="242"/>
    </row>
    <row r="56" spans="1:69" ht="12.75" customHeight="1" x14ac:dyDescent="0.25">
      <c r="A56" s="229"/>
      <c r="B56" s="229"/>
      <c r="C56" s="220"/>
      <c r="D56" s="220"/>
      <c r="E56" s="242"/>
      <c r="F56" s="254"/>
      <c r="G56" s="254"/>
      <c r="H56" s="254"/>
      <c r="I56" s="254"/>
      <c r="J56" s="254"/>
      <c r="K56" s="220"/>
      <c r="L56" s="254"/>
      <c r="M56" s="254"/>
      <c r="N56" s="255"/>
      <c r="O56" s="255"/>
      <c r="P56" s="219"/>
      <c r="Q56" s="220"/>
      <c r="R56" s="244"/>
      <c r="S56" s="220"/>
      <c r="T56" s="220"/>
      <c r="U56" s="220"/>
      <c r="V56" s="244"/>
      <c r="W56" s="244"/>
      <c r="X56" s="220"/>
      <c r="Y56" s="220"/>
      <c r="Z56" s="220"/>
      <c r="AA56" s="244"/>
      <c r="AB56" s="244"/>
      <c r="AC56" s="244"/>
      <c r="AD56" s="244"/>
      <c r="AE56" s="220"/>
      <c r="AF56" s="220"/>
      <c r="AG56" s="220"/>
      <c r="AH56" s="220"/>
      <c r="AI56" s="220"/>
      <c r="AJ56" s="244"/>
      <c r="AK56" s="254"/>
      <c r="AL56" s="250"/>
      <c r="AM56" s="244"/>
      <c r="AN56" s="244"/>
      <c r="AO56" s="220"/>
      <c r="AP56" s="244"/>
      <c r="AQ56" s="220"/>
      <c r="AR56" s="220"/>
      <c r="AS56" s="220"/>
      <c r="AT56" s="220"/>
      <c r="AU56" s="220"/>
      <c r="AV56" s="220"/>
      <c r="AW56" s="220"/>
      <c r="AX56" s="220"/>
      <c r="AY56" s="220"/>
      <c r="AZ56" s="220"/>
      <c r="BA56" s="220"/>
      <c r="BB56" s="220"/>
      <c r="BC56" s="220"/>
      <c r="BD56" s="220"/>
      <c r="BE56" s="220"/>
      <c r="BF56" s="220"/>
      <c r="BG56" s="220"/>
      <c r="BH56" s="220"/>
      <c r="BI56" s="220"/>
      <c r="BJ56" s="220"/>
      <c r="BK56" s="220"/>
      <c r="BL56" s="220"/>
      <c r="BM56" s="220"/>
      <c r="BN56" s="220"/>
      <c r="BO56" s="242"/>
      <c r="BP56" s="242"/>
      <c r="BQ56" s="242"/>
    </row>
    <row r="57" spans="1:69" ht="12.75" customHeight="1" x14ac:dyDescent="0.25">
      <c r="A57" s="229"/>
      <c r="B57" s="229"/>
      <c r="C57" s="220"/>
      <c r="D57" s="220"/>
      <c r="E57" s="242"/>
      <c r="F57" s="254"/>
      <c r="G57" s="254"/>
      <c r="H57" s="254"/>
      <c r="I57" s="254"/>
      <c r="J57" s="254"/>
      <c r="K57" s="220"/>
      <c r="L57" s="254"/>
      <c r="M57" s="254"/>
      <c r="N57" s="255"/>
      <c r="O57" s="255"/>
      <c r="P57" s="219"/>
      <c r="Q57" s="220"/>
      <c r="R57" s="244"/>
      <c r="S57" s="220"/>
      <c r="T57" s="220"/>
      <c r="U57" s="220"/>
      <c r="V57" s="244"/>
      <c r="W57" s="244"/>
      <c r="X57" s="220"/>
      <c r="Y57" s="220"/>
      <c r="Z57" s="220"/>
      <c r="AA57" s="244"/>
      <c r="AB57" s="244"/>
      <c r="AC57" s="244"/>
      <c r="AD57" s="244"/>
      <c r="AE57" s="220"/>
      <c r="AF57" s="220"/>
      <c r="AG57" s="220"/>
      <c r="AH57" s="220"/>
      <c r="AI57" s="220"/>
      <c r="AJ57" s="244"/>
      <c r="AK57" s="254"/>
      <c r="AL57" s="250"/>
      <c r="AM57" s="244"/>
      <c r="AN57" s="244"/>
      <c r="AO57" s="220"/>
      <c r="AP57" s="244"/>
      <c r="AQ57" s="220"/>
      <c r="AR57" s="220"/>
      <c r="AS57" s="220"/>
      <c r="AT57" s="220"/>
      <c r="AU57" s="220"/>
      <c r="AV57" s="220"/>
      <c r="AW57" s="220"/>
      <c r="AX57" s="220"/>
      <c r="AY57" s="220"/>
      <c r="AZ57" s="220"/>
      <c r="BA57" s="220"/>
      <c r="BB57" s="220"/>
      <c r="BC57" s="220"/>
      <c r="BD57" s="220"/>
      <c r="BE57" s="220"/>
      <c r="BF57" s="220"/>
      <c r="BG57" s="220"/>
      <c r="BH57" s="220"/>
      <c r="BI57" s="220"/>
      <c r="BJ57" s="220"/>
      <c r="BK57" s="220"/>
      <c r="BL57" s="220"/>
      <c r="BM57" s="220"/>
      <c r="BN57" s="220"/>
      <c r="BO57" s="242"/>
      <c r="BP57" s="242"/>
      <c r="BQ57" s="242"/>
    </row>
    <row r="58" spans="1:69" ht="12.75" customHeight="1" x14ac:dyDescent="0.25">
      <c r="A58" s="229"/>
      <c r="B58" s="229"/>
      <c r="C58" s="220"/>
      <c r="D58" s="220"/>
      <c r="E58" s="242"/>
      <c r="F58" s="254"/>
      <c r="G58" s="254"/>
      <c r="H58" s="254"/>
      <c r="I58" s="254"/>
      <c r="J58" s="254"/>
      <c r="K58" s="220"/>
      <c r="L58" s="254"/>
      <c r="M58" s="254"/>
      <c r="N58" s="255"/>
      <c r="O58" s="255"/>
      <c r="P58" s="219"/>
      <c r="Q58" s="220"/>
      <c r="R58" s="244"/>
      <c r="S58" s="220"/>
      <c r="T58" s="220"/>
      <c r="U58" s="220"/>
      <c r="V58" s="244"/>
      <c r="W58" s="244"/>
      <c r="X58" s="220"/>
      <c r="Y58" s="220"/>
      <c r="Z58" s="220"/>
      <c r="AA58" s="244"/>
      <c r="AB58" s="244"/>
      <c r="AC58" s="244"/>
      <c r="AD58" s="244"/>
      <c r="AE58" s="220"/>
      <c r="AF58" s="220"/>
      <c r="AG58" s="220"/>
      <c r="AH58" s="220"/>
      <c r="AI58" s="220"/>
      <c r="AJ58" s="244"/>
      <c r="AK58" s="254"/>
      <c r="AL58" s="250"/>
      <c r="AM58" s="244"/>
      <c r="AN58" s="244"/>
      <c r="AO58" s="220"/>
      <c r="AP58" s="244"/>
      <c r="AQ58" s="220"/>
      <c r="AR58" s="220"/>
      <c r="AS58" s="220"/>
      <c r="AT58" s="220"/>
      <c r="AU58" s="220"/>
      <c r="AV58" s="220"/>
      <c r="AW58" s="220"/>
      <c r="AX58" s="220"/>
      <c r="AY58" s="220"/>
      <c r="AZ58" s="220"/>
      <c r="BA58" s="220"/>
      <c r="BB58" s="220"/>
      <c r="BC58" s="220"/>
      <c r="BD58" s="220"/>
      <c r="BE58" s="220"/>
      <c r="BF58" s="220"/>
      <c r="BG58" s="220"/>
      <c r="BH58" s="220"/>
      <c r="BI58" s="220"/>
      <c r="BJ58" s="220"/>
      <c r="BK58" s="220"/>
      <c r="BL58" s="220"/>
      <c r="BM58" s="220"/>
      <c r="BN58" s="220"/>
      <c r="BO58" s="242"/>
      <c r="BP58" s="242"/>
      <c r="BQ58" s="242"/>
    </row>
    <row r="59" spans="1:69" ht="12.75" customHeight="1" x14ac:dyDescent="0.25">
      <c r="A59" s="229"/>
      <c r="B59" s="229"/>
      <c r="C59" s="220"/>
      <c r="D59" s="220"/>
      <c r="E59" s="242"/>
      <c r="F59" s="254"/>
      <c r="G59" s="254"/>
      <c r="H59" s="254"/>
      <c r="I59" s="254"/>
      <c r="J59" s="254"/>
      <c r="K59" s="220"/>
      <c r="L59" s="254"/>
      <c r="M59" s="254"/>
      <c r="N59" s="255"/>
      <c r="O59" s="255"/>
      <c r="P59" s="219"/>
      <c r="Q59" s="220"/>
      <c r="R59" s="244"/>
      <c r="S59" s="220"/>
      <c r="T59" s="220"/>
      <c r="U59" s="220"/>
      <c r="V59" s="244"/>
      <c r="W59" s="244"/>
      <c r="X59" s="220"/>
      <c r="Y59" s="220"/>
      <c r="Z59" s="220"/>
      <c r="AA59" s="244"/>
      <c r="AB59" s="244"/>
      <c r="AC59" s="244"/>
      <c r="AD59" s="244"/>
      <c r="AE59" s="220"/>
      <c r="AF59" s="220"/>
      <c r="AG59" s="220"/>
      <c r="AH59" s="220"/>
      <c r="AI59" s="220"/>
      <c r="AJ59" s="244"/>
      <c r="AK59" s="254"/>
      <c r="AL59" s="250"/>
      <c r="AM59" s="244"/>
      <c r="AN59" s="244"/>
      <c r="AO59" s="220"/>
      <c r="AP59" s="244"/>
      <c r="AQ59" s="220"/>
      <c r="AR59" s="220"/>
      <c r="AS59" s="220"/>
      <c r="AT59" s="220"/>
      <c r="AU59" s="220"/>
      <c r="AV59" s="220"/>
      <c r="AW59" s="220"/>
      <c r="AX59" s="220"/>
      <c r="AY59" s="220"/>
      <c r="AZ59" s="220"/>
      <c r="BA59" s="220"/>
      <c r="BB59" s="220"/>
      <c r="BC59" s="220"/>
      <c r="BD59" s="220"/>
      <c r="BE59" s="220"/>
      <c r="BF59" s="220"/>
      <c r="BG59" s="220"/>
      <c r="BH59" s="220"/>
      <c r="BI59" s="220"/>
      <c r="BJ59" s="220"/>
      <c r="BK59" s="220"/>
      <c r="BL59" s="220"/>
      <c r="BM59" s="220"/>
      <c r="BN59" s="220"/>
      <c r="BO59" s="242"/>
      <c r="BP59" s="242"/>
      <c r="BQ59" s="242"/>
    </row>
    <row r="60" spans="1:69" ht="12.75" customHeight="1" x14ac:dyDescent="0.25">
      <c r="A60" s="229"/>
      <c r="B60" s="229"/>
      <c r="C60" s="220"/>
      <c r="D60" s="220"/>
      <c r="E60" s="242"/>
      <c r="F60" s="254"/>
      <c r="G60" s="254"/>
      <c r="H60" s="254"/>
      <c r="I60" s="254"/>
      <c r="J60" s="254"/>
      <c r="K60" s="220"/>
      <c r="L60" s="254"/>
      <c r="M60" s="254"/>
      <c r="N60" s="255"/>
      <c r="O60" s="255"/>
      <c r="P60" s="219"/>
      <c r="Q60" s="220"/>
      <c r="R60" s="244"/>
      <c r="S60" s="220"/>
      <c r="T60" s="220"/>
      <c r="U60" s="220"/>
      <c r="V60" s="244"/>
      <c r="W60" s="244"/>
      <c r="X60" s="220"/>
      <c r="Y60" s="220"/>
      <c r="Z60" s="220"/>
      <c r="AA60" s="244"/>
      <c r="AB60" s="244"/>
      <c r="AC60" s="244"/>
      <c r="AD60" s="244"/>
      <c r="AE60" s="220"/>
      <c r="AF60" s="220"/>
      <c r="AG60" s="220"/>
      <c r="AH60" s="220"/>
      <c r="AI60" s="220"/>
      <c r="AJ60" s="244"/>
      <c r="AK60" s="254"/>
      <c r="AL60" s="250"/>
      <c r="AM60" s="244"/>
      <c r="AN60" s="244"/>
      <c r="AO60" s="220"/>
      <c r="AP60" s="244"/>
      <c r="AQ60" s="220"/>
      <c r="AR60" s="220"/>
      <c r="AS60" s="220"/>
      <c r="AT60" s="220"/>
      <c r="AU60" s="220"/>
      <c r="AV60" s="220"/>
      <c r="AW60" s="220"/>
      <c r="AX60" s="220"/>
      <c r="AY60" s="220"/>
      <c r="AZ60" s="220"/>
      <c r="BA60" s="220"/>
      <c r="BB60" s="220"/>
      <c r="BC60" s="220"/>
      <c r="BD60" s="220"/>
      <c r="BE60" s="220"/>
      <c r="BF60" s="220"/>
      <c r="BG60" s="220"/>
      <c r="BH60" s="220"/>
      <c r="BI60" s="220"/>
      <c r="BJ60" s="220"/>
      <c r="BK60" s="220"/>
      <c r="BL60" s="220"/>
      <c r="BM60" s="220"/>
      <c r="BN60" s="220"/>
      <c r="BO60" s="242"/>
      <c r="BP60" s="242"/>
      <c r="BQ60" s="242"/>
    </row>
    <row r="61" spans="1:69" ht="12.75" customHeight="1" x14ac:dyDescent="0.25">
      <c r="A61" s="229"/>
      <c r="B61" s="229"/>
      <c r="C61" s="220"/>
      <c r="D61" s="220"/>
      <c r="E61" s="242"/>
      <c r="F61" s="254"/>
      <c r="G61" s="254"/>
      <c r="H61" s="254"/>
      <c r="I61" s="254"/>
      <c r="J61" s="254"/>
      <c r="K61" s="220"/>
      <c r="L61" s="254"/>
      <c r="M61" s="254"/>
      <c r="N61" s="255"/>
      <c r="O61" s="255"/>
      <c r="P61" s="219"/>
      <c r="Q61" s="220"/>
      <c r="R61" s="244"/>
      <c r="S61" s="220"/>
      <c r="T61" s="220"/>
      <c r="U61" s="220"/>
      <c r="V61" s="244"/>
      <c r="W61" s="244"/>
      <c r="X61" s="220"/>
      <c r="Y61" s="220"/>
      <c r="Z61" s="220"/>
      <c r="AA61" s="244"/>
      <c r="AB61" s="244"/>
      <c r="AC61" s="244"/>
      <c r="AD61" s="244"/>
      <c r="AE61" s="220"/>
      <c r="AF61" s="220"/>
      <c r="AG61" s="220"/>
      <c r="AH61" s="220"/>
      <c r="AI61" s="220"/>
      <c r="AJ61" s="244"/>
      <c r="AK61" s="254"/>
      <c r="AL61" s="250"/>
      <c r="AM61" s="244"/>
      <c r="AN61" s="244"/>
      <c r="AO61" s="220"/>
      <c r="AP61" s="244"/>
      <c r="AQ61" s="220"/>
      <c r="AR61" s="220"/>
      <c r="AS61" s="220"/>
      <c r="AT61" s="220"/>
      <c r="AU61" s="220"/>
      <c r="AV61" s="220"/>
      <c r="AW61" s="220"/>
      <c r="AX61" s="220"/>
      <c r="AY61" s="220"/>
      <c r="AZ61" s="220"/>
      <c r="BA61" s="220"/>
      <c r="BB61" s="220"/>
      <c r="BC61" s="220"/>
      <c r="BD61" s="220"/>
      <c r="BE61" s="220"/>
      <c r="BF61" s="220"/>
      <c r="BG61" s="220"/>
      <c r="BH61" s="220"/>
      <c r="BI61" s="220"/>
      <c r="BJ61" s="220"/>
      <c r="BK61" s="220"/>
      <c r="BL61" s="220"/>
      <c r="BM61" s="220"/>
      <c r="BN61" s="220"/>
      <c r="BO61" s="242"/>
      <c r="BP61" s="242"/>
      <c r="BQ61" s="242"/>
    </row>
    <row r="62" spans="1:69" ht="12.75" customHeight="1" x14ac:dyDescent="0.25">
      <c r="A62" s="229"/>
      <c r="B62" s="229"/>
      <c r="C62" s="220"/>
      <c r="D62" s="220"/>
      <c r="E62" s="242"/>
      <c r="F62" s="254"/>
      <c r="G62" s="254"/>
      <c r="H62" s="254"/>
      <c r="I62" s="254"/>
      <c r="J62" s="254"/>
      <c r="K62" s="220"/>
      <c r="L62" s="254"/>
      <c r="M62" s="254"/>
      <c r="N62" s="255"/>
      <c r="O62" s="255"/>
      <c r="P62" s="219"/>
      <c r="Q62" s="220"/>
      <c r="R62" s="244"/>
      <c r="S62" s="220"/>
      <c r="T62" s="220"/>
      <c r="U62" s="220"/>
      <c r="V62" s="244"/>
      <c r="W62" s="244"/>
      <c r="X62" s="220"/>
      <c r="Y62" s="220"/>
      <c r="Z62" s="220"/>
      <c r="AA62" s="244"/>
      <c r="AB62" s="244"/>
      <c r="AC62" s="244"/>
      <c r="AD62" s="244"/>
      <c r="AE62" s="220"/>
      <c r="AF62" s="220"/>
      <c r="AG62" s="220"/>
      <c r="AH62" s="220"/>
      <c r="AI62" s="220"/>
      <c r="AJ62" s="244"/>
      <c r="AK62" s="254"/>
      <c r="AL62" s="250"/>
      <c r="AM62" s="244"/>
      <c r="AN62" s="244"/>
      <c r="AO62" s="220"/>
      <c r="AP62" s="244"/>
      <c r="AQ62" s="220"/>
      <c r="AR62" s="220"/>
      <c r="AS62" s="220"/>
      <c r="AT62" s="220"/>
      <c r="AU62" s="220"/>
      <c r="AV62" s="220"/>
      <c r="AW62" s="220"/>
      <c r="AX62" s="220"/>
      <c r="AY62" s="220"/>
      <c r="AZ62" s="220"/>
      <c r="BA62" s="220"/>
      <c r="BB62" s="220"/>
      <c r="BC62" s="220"/>
      <c r="BD62" s="220"/>
      <c r="BE62" s="220"/>
      <c r="BF62" s="220"/>
      <c r="BG62" s="220"/>
      <c r="BH62" s="220"/>
      <c r="BI62" s="220"/>
      <c r="BJ62" s="220"/>
      <c r="BK62" s="220"/>
      <c r="BL62" s="220"/>
      <c r="BM62" s="220"/>
      <c r="BN62" s="220"/>
      <c r="BO62" s="242"/>
      <c r="BP62" s="242"/>
      <c r="BQ62" s="242"/>
    </row>
    <row r="63" spans="1:69" ht="12.75" customHeight="1" x14ac:dyDescent="0.25">
      <c r="A63" s="229"/>
      <c r="B63" s="229"/>
      <c r="C63" s="220"/>
      <c r="D63" s="220"/>
      <c r="E63" s="242"/>
      <c r="F63" s="254"/>
      <c r="G63" s="254"/>
      <c r="H63" s="254"/>
      <c r="I63" s="254"/>
      <c r="J63" s="254"/>
      <c r="K63" s="220"/>
      <c r="L63" s="254"/>
      <c r="M63" s="254"/>
      <c r="N63" s="255"/>
      <c r="O63" s="255"/>
      <c r="P63" s="219"/>
      <c r="Q63" s="220"/>
      <c r="R63" s="244"/>
      <c r="S63" s="220"/>
      <c r="T63" s="220"/>
      <c r="U63" s="220"/>
      <c r="V63" s="244"/>
      <c r="W63" s="244"/>
      <c r="X63" s="220"/>
      <c r="Y63" s="220"/>
      <c r="Z63" s="220"/>
      <c r="AA63" s="244"/>
      <c r="AB63" s="244"/>
      <c r="AC63" s="244"/>
      <c r="AD63" s="244"/>
      <c r="AE63" s="220"/>
      <c r="AF63" s="220"/>
      <c r="AG63" s="220"/>
      <c r="AH63" s="220"/>
      <c r="AI63" s="220"/>
      <c r="AJ63" s="244"/>
      <c r="AK63" s="254"/>
      <c r="AL63" s="250"/>
      <c r="AM63" s="244"/>
      <c r="AN63" s="244"/>
      <c r="AO63" s="220"/>
      <c r="AP63" s="244"/>
      <c r="AQ63" s="220"/>
      <c r="AR63" s="220"/>
      <c r="AS63" s="220"/>
      <c r="AT63" s="220"/>
      <c r="AU63" s="220"/>
      <c r="AV63" s="220"/>
      <c r="AW63" s="220"/>
      <c r="AX63" s="220"/>
      <c r="AY63" s="220"/>
      <c r="AZ63" s="220"/>
      <c r="BA63" s="220"/>
      <c r="BB63" s="220"/>
      <c r="BC63" s="220"/>
      <c r="BD63" s="220"/>
      <c r="BE63" s="220"/>
      <c r="BF63" s="220"/>
      <c r="BG63" s="220"/>
      <c r="BH63" s="220"/>
      <c r="BI63" s="220"/>
      <c r="BJ63" s="220"/>
      <c r="BK63" s="220"/>
      <c r="BL63" s="220"/>
      <c r="BM63" s="220"/>
      <c r="BN63" s="220"/>
      <c r="BO63" s="242"/>
      <c r="BP63" s="242"/>
      <c r="BQ63" s="242"/>
    </row>
    <row r="64" spans="1:69" ht="12.75" customHeight="1" x14ac:dyDescent="0.25">
      <c r="A64" s="229"/>
      <c r="B64" s="229"/>
      <c r="C64" s="220"/>
      <c r="D64" s="220"/>
      <c r="E64" s="242"/>
      <c r="F64" s="254"/>
      <c r="G64" s="254"/>
      <c r="H64" s="254"/>
      <c r="I64" s="254"/>
      <c r="J64" s="254"/>
      <c r="K64" s="220"/>
      <c r="L64" s="254"/>
      <c r="M64" s="254"/>
      <c r="N64" s="255"/>
      <c r="O64" s="255"/>
      <c r="P64" s="219"/>
      <c r="Q64" s="220"/>
      <c r="R64" s="244"/>
      <c r="S64" s="220"/>
      <c r="T64" s="220"/>
      <c r="U64" s="220"/>
      <c r="V64" s="244"/>
      <c r="W64" s="244"/>
      <c r="X64" s="220"/>
      <c r="Y64" s="220"/>
      <c r="Z64" s="220"/>
      <c r="AA64" s="244"/>
      <c r="AB64" s="244"/>
      <c r="AC64" s="244"/>
      <c r="AD64" s="244"/>
      <c r="AE64" s="220"/>
      <c r="AF64" s="220"/>
      <c r="AG64" s="220"/>
      <c r="AH64" s="220"/>
      <c r="AI64" s="220"/>
      <c r="AJ64" s="244"/>
      <c r="AK64" s="254"/>
      <c r="AL64" s="250"/>
      <c r="AM64" s="244"/>
      <c r="AN64" s="244"/>
      <c r="AO64" s="220"/>
      <c r="AP64" s="244"/>
      <c r="AQ64" s="220"/>
      <c r="AR64" s="220"/>
      <c r="AS64" s="220"/>
      <c r="AT64" s="220"/>
      <c r="AU64" s="220"/>
      <c r="AV64" s="220"/>
      <c r="AW64" s="220"/>
      <c r="AX64" s="220"/>
      <c r="AY64" s="220"/>
      <c r="AZ64" s="220"/>
      <c r="BA64" s="220"/>
      <c r="BB64" s="220"/>
      <c r="BC64" s="220"/>
      <c r="BD64" s="220"/>
      <c r="BE64" s="220"/>
      <c r="BF64" s="220"/>
      <c r="BG64" s="220"/>
      <c r="BH64" s="220"/>
      <c r="BI64" s="220"/>
      <c r="BJ64" s="220"/>
      <c r="BK64" s="220"/>
      <c r="BL64" s="220"/>
      <c r="BM64" s="220"/>
      <c r="BN64" s="220"/>
      <c r="BO64" s="242"/>
      <c r="BP64" s="242"/>
      <c r="BQ64" s="242"/>
    </row>
    <row r="65" spans="1:69" ht="12.75" customHeight="1" x14ac:dyDescent="0.25">
      <c r="A65" s="229"/>
      <c r="B65" s="229"/>
      <c r="C65" s="220"/>
      <c r="D65" s="220"/>
      <c r="E65" s="242"/>
      <c r="F65" s="254"/>
      <c r="G65" s="254"/>
      <c r="H65" s="254"/>
      <c r="I65" s="254"/>
      <c r="J65" s="254"/>
      <c r="K65" s="220"/>
      <c r="L65" s="254"/>
      <c r="M65" s="254"/>
      <c r="N65" s="255"/>
      <c r="O65" s="255"/>
      <c r="P65" s="219"/>
      <c r="Q65" s="220"/>
      <c r="R65" s="244"/>
      <c r="S65" s="220"/>
      <c r="T65" s="220"/>
      <c r="U65" s="220"/>
      <c r="V65" s="244"/>
      <c r="W65" s="244"/>
      <c r="X65" s="220"/>
      <c r="Y65" s="220"/>
      <c r="Z65" s="220"/>
      <c r="AA65" s="244"/>
      <c r="AB65" s="244"/>
      <c r="AC65" s="244"/>
      <c r="AD65" s="244"/>
      <c r="AE65" s="220"/>
      <c r="AF65" s="220"/>
      <c r="AG65" s="220"/>
      <c r="AH65" s="220"/>
      <c r="AI65" s="220"/>
      <c r="AJ65" s="244"/>
      <c r="AK65" s="254"/>
      <c r="AL65" s="250"/>
      <c r="AM65" s="244"/>
      <c r="AN65" s="244"/>
      <c r="AO65" s="220"/>
      <c r="AP65" s="244"/>
      <c r="AQ65" s="220"/>
      <c r="AR65" s="220"/>
      <c r="AS65" s="220"/>
      <c r="AT65" s="220"/>
      <c r="AU65" s="220"/>
      <c r="AV65" s="220"/>
      <c r="AW65" s="220"/>
      <c r="AX65" s="220"/>
      <c r="AY65" s="220"/>
      <c r="AZ65" s="220"/>
      <c r="BA65" s="220"/>
      <c r="BB65" s="220"/>
      <c r="BC65" s="220"/>
      <c r="BD65" s="220"/>
      <c r="BE65" s="220"/>
      <c r="BF65" s="220"/>
      <c r="BG65" s="220"/>
      <c r="BH65" s="220"/>
      <c r="BI65" s="220"/>
      <c r="BJ65" s="220"/>
      <c r="BK65" s="220"/>
      <c r="BL65" s="220"/>
      <c r="BM65" s="220"/>
      <c r="BN65" s="220"/>
      <c r="BO65" s="242"/>
      <c r="BP65" s="242"/>
      <c r="BQ65" s="242"/>
    </row>
    <row r="66" spans="1:69" ht="12.75" customHeight="1" x14ac:dyDescent="0.25">
      <c r="A66" s="229"/>
      <c r="B66" s="229"/>
      <c r="C66" s="220"/>
      <c r="D66" s="220"/>
      <c r="E66" s="242"/>
      <c r="F66" s="254"/>
      <c r="G66" s="254"/>
      <c r="H66" s="254"/>
      <c r="I66" s="254"/>
      <c r="J66" s="254"/>
      <c r="K66" s="220"/>
      <c r="L66" s="254"/>
      <c r="M66" s="254"/>
      <c r="N66" s="255"/>
      <c r="O66" s="255"/>
      <c r="P66" s="219"/>
      <c r="Q66" s="220"/>
      <c r="R66" s="244"/>
      <c r="S66" s="220"/>
      <c r="T66" s="220"/>
      <c r="U66" s="220"/>
      <c r="V66" s="244"/>
      <c r="W66" s="244"/>
      <c r="X66" s="220"/>
      <c r="Y66" s="220"/>
      <c r="Z66" s="220"/>
      <c r="AA66" s="244"/>
      <c r="AB66" s="244"/>
      <c r="AC66" s="244"/>
      <c r="AD66" s="244"/>
      <c r="AE66" s="220"/>
      <c r="AF66" s="220"/>
      <c r="AG66" s="220"/>
      <c r="AH66" s="220"/>
      <c r="AI66" s="220"/>
      <c r="AJ66" s="244"/>
      <c r="AK66" s="254"/>
      <c r="AL66" s="250"/>
      <c r="AM66" s="244"/>
      <c r="AN66" s="244"/>
      <c r="AO66" s="220"/>
      <c r="AP66" s="244"/>
      <c r="AQ66" s="220"/>
      <c r="AR66" s="220"/>
      <c r="AS66" s="220"/>
      <c r="AT66" s="220"/>
      <c r="AU66" s="220"/>
      <c r="AV66" s="220"/>
      <c r="AW66" s="220"/>
      <c r="AX66" s="220"/>
      <c r="AY66" s="220"/>
      <c r="AZ66" s="220"/>
      <c r="BA66" s="220"/>
      <c r="BB66" s="220"/>
      <c r="BC66" s="220"/>
      <c r="BD66" s="220"/>
      <c r="BE66" s="220"/>
      <c r="BF66" s="220"/>
      <c r="BG66" s="220"/>
      <c r="BH66" s="220"/>
      <c r="BI66" s="220"/>
      <c r="BJ66" s="220"/>
      <c r="BK66" s="220"/>
      <c r="BL66" s="220"/>
      <c r="BM66" s="220"/>
      <c r="BN66" s="220"/>
      <c r="BO66" s="242"/>
      <c r="BP66" s="242"/>
      <c r="BQ66" s="242"/>
    </row>
    <row r="67" spans="1:69" ht="12.75" customHeight="1" x14ac:dyDescent="0.25">
      <c r="A67" s="229"/>
      <c r="B67" s="229"/>
      <c r="C67" s="220"/>
      <c r="D67" s="220"/>
      <c r="E67" s="242"/>
      <c r="F67" s="254"/>
      <c r="G67" s="254"/>
      <c r="H67" s="254"/>
      <c r="I67" s="254"/>
      <c r="J67" s="254"/>
      <c r="K67" s="220"/>
      <c r="L67" s="254"/>
      <c r="M67" s="254"/>
      <c r="N67" s="255"/>
      <c r="O67" s="255"/>
      <c r="P67" s="219"/>
      <c r="Q67" s="220"/>
      <c r="R67" s="244"/>
      <c r="S67" s="220"/>
      <c r="T67" s="220"/>
      <c r="U67" s="220"/>
      <c r="V67" s="244"/>
      <c r="W67" s="244"/>
      <c r="X67" s="220"/>
      <c r="Y67" s="220"/>
      <c r="Z67" s="220"/>
      <c r="AA67" s="244"/>
      <c r="AB67" s="244"/>
      <c r="AC67" s="244"/>
      <c r="AD67" s="244"/>
      <c r="AE67" s="220"/>
      <c r="AF67" s="220"/>
      <c r="AG67" s="220"/>
      <c r="AH67" s="220"/>
      <c r="AI67" s="220"/>
      <c r="AJ67" s="244"/>
      <c r="AK67" s="254"/>
      <c r="AL67" s="250"/>
      <c r="AM67" s="244"/>
      <c r="AN67" s="244"/>
      <c r="AO67" s="220"/>
      <c r="AP67" s="244"/>
      <c r="AQ67" s="220"/>
      <c r="AR67" s="220"/>
      <c r="AS67" s="220"/>
      <c r="AT67" s="220"/>
      <c r="AU67" s="220"/>
      <c r="AV67" s="220"/>
      <c r="AW67" s="220"/>
      <c r="AX67" s="220"/>
      <c r="AY67" s="220"/>
      <c r="AZ67" s="220"/>
      <c r="BA67" s="220"/>
      <c r="BB67" s="220"/>
      <c r="BC67" s="220"/>
      <c r="BD67" s="220"/>
      <c r="BE67" s="220"/>
      <c r="BF67" s="220"/>
      <c r="BG67" s="220"/>
      <c r="BH67" s="220"/>
      <c r="BI67" s="220"/>
      <c r="BJ67" s="220"/>
      <c r="BK67" s="220"/>
      <c r="BL67" s="220"/>
      <c r="BM67" s="220"/>
      <c r="BN67" s="220"/>
      <c r="BO67" s="242"/>
      <c r="BP67" s="242"/>
      <c r="BQ67" s="242"/>
    </row>
    <row r="68" spans="1:69" ht="12.75" customHeight="1" x14ac:dyDescent="0.25">
      <c r="A68" s="229"/>
      <c r="B68" s="229"/>
      <c r="C68" s="220"/>
      <c r="D68" s="220"/>
      <c r="E68" s="242"/>
      <c r="F68" s="254"/>
      <c r="G68" s="254"/>
      <c r="H68" s="254"/>
      <c r="I68" s="254"/>
      <c r="J68" s="254"/>
      <c r="K68" s="220"/>
      <c r="L68" s="254"/>
      <c r="M68" s="254"/>
      <c r="N68" s="255"/>
      <c r="O68" s="255"/>
      <c r="P68" s="219"/>
      <c r="Q68" s="220"/>
      <c r="R68" s="244"/>
      <c r="S68" s="220"/>
      <c r="T68" s="220"/>
      <c r="U68" s="220"/>
      <c r="V68" s="244"/>
      <c r="W68" s="244"/>
      <c r="X68" s="220"/>
      <c r="Y68" s="220"/>
      <c r="Z68" s="220"/>
      <c r="AA68" s="244"/>
      <c r="AB68" s="244"/>
      <c r="AC68" s="244"/>
      <c r="AD68" s="244"/>
      <c r="AE68" s="220"/>
      <c r="AF68" s="220"/>
      <c r="AG68" s="220"/>
      <c r="AH68" s="220"/>
      <c r="AI68" s="220"/>
      <c r="AJ68" s="244"/>
      <c r="AK68" s="254"/>
      <c r="AL68" s="250"/>
      <c r="AM68" s="244"/>
      <c r="AN68" s="244"/>
      <c r="AO68" s="220"/>
      <c r="AP68" s="244"/>
      <c r="AQ68" s="220"/>
      <c r="AR68" s="220"/>
      <c r="AS68" s="220"/>
      <c r="AT68" s="220"/>
      <c r="AU68" s="220"/>
      <c r="AV68" s="220"/>
      <c r="AW68" s="220"/>
      <c r="AX68" s="220"/>
      <c r="AY68" s="220"/>
      <c r="AZ68" s="220"/>
      <c r="BA68" s="220"/>
      <c r="BB68" s="220"/>
      <c r="BC68" s="220"/>
      <c r="BD68" s="220"/>
      <c r="BE68" s="220"/>
      <c r="BF68" s="220"/>
      <c r="BG68" s="220"/>
      <c r="BH68" s="220"/>
      <c r="BI68" s="220"/>
      <c r="BJ68" s="220"/>
      <c r="BK68" s="220"/>
      <c r="BL68" s="220"/>
      <c r="BM68" s="220"/>
      <c r="BN68" s="220"/>
      <c r="BO68" s="242"/>
      <c r="BP68" s="242"/>
      <c r="BQ68" s="242"/>
    </row>
    <row r="69" spans="1:69" ht="12.75" customHeight="1" x14ac:dyDescent="0.25">
      <c r="A69" s="229"/>
      <c r="B69" s="229"/>
      <c r="C69" s="220"/>
      <c r="D69" s="220"/>
      <c r="E69" s="242"/>
      <c r="F69" s="254"/>
      <c r="G69" s="254"/>
      <c r="H69" s="254"/>
      <c r="I69" s="254"/>
      <c r="J69" s="254"/>
      <c r="K69" s="220"/>
      <c r="L69" s="254"/>
      <c r="M69" s="254"/>
      <c r="N69" s="255"/>
      <c r="O69" s="255"/>
      <c r="P69" s="219"/>
      <c r="Q69" s="220"/>
      <c r="R69" s="244"/>
      <c r="S69" s="220"/>
      <c r="T69" s="220"/>
      <c r="U69" s="220"/>
      <c r="V69" s="244"/>
      <c r="W69" s="244"/>
      <c r="X69" s="220"/>
      <c r="Y69" s="220"/>
      <c r="Z69" s="220"/>
      <c r="AA69" s="244"/>
      <c r="AB69" s="244"/>
      <c r="AC69" s="244"/>
      <c r="AD69" s="244"/>
      <c r="AE69" s="220"/>
      <c r="AF69" s="220"/>
      <c r="AG69" s="220"/>
      <c r="AH69" s="220"/>
      <c r="AI69" s="220"/>
      <c r="AJ69" s="244"/>
      <c r="AK69" s="254"/>
      <c r="AL69" s="250"/>
      <c r="AM69" s="244"/>
      <c r="AN69" s="244"/>
      <c r="AO69" s="220"/>
      <c r="AP69" s="244"/>
      <c r="AQ69" s="220"/>
      <c r="AR69" s="220"/>
      <c r="AS69" s="220"/>
      <c r="AT69" s="220"/>
      <c r="AU69" s="220"/>
      <c r="AV69" s="220"/>
      <c r="AW69" s="220"/>
      <c r="AX69" s="220"/>
      <c r="AY69" s="220"/>
      <c r="AZ69" s="220"/>
      <c r="BA69" s="220"/>
      <c r="BB69" s="220"/>
      <c r="BC69" s="220"/>
      <c r="BD69" s="220"/>
      <c r="BE69" s="220"/>
      <c r="BF69" s="220"/>
      <c r="BG69" s="220"/>
      <c r="BH69" s="220"/>
      <c r="BI69" s="220"/>
      <c r="BJ69" s="220"/>
      <c r="BK69" s="220"/>
      <c r="BL69" s="220"/>
      <c r="BM69" s="220"/>
      <c r="BN69" s="220"/>
      <c r="BO69" s="242"/>
      <c r="BP69" s="242"/>
      <c r="BQ69" s="242"/>
    </row>
    <row r="70" spans="1:69" ht="12.75" customHeight="1" x14ac:dyDescent="0.25">
      <c r="A70" s="229"/>
      <c r="B70" s="229"/>
      <c r="C70" s="220"/>
      <c r="D70" s="220"/>
      <c r="E70" s="242"/>
      <c r="F70" s="254"/>
      <c r="G70" s="254"/>
      <c r="H70" s="254"/>
      <c r="I70" s="254"/>
      <c r="J70" s="254"/>
      <c r="K70" s="220"/>
      <c r="L70" s="254"/>
      <c r="M70" s="254"/>
      <c r="N70" s="255"/>
      <c r="O70" s="255"/>
      <c r="P70" s="219"/>
      <c r="Q70" s="220"/>
      <c r="R70" s="244"/>
      <c r="S70" s="220"/>
      <c r="T70" s="220"/>
      <c r="U70" s="220"/>
      <c r="V70" s="244"/>
      <c r="W70" s="244"/>
      <c r="X70" s="220"/>
      <c r="Y70" s="220"/>
      <c r="Z70" s="220"/>
      <c r="AA70" s="244"/>
      <c r="AB70" s="244"/>
      <c r="AC70" s="244"/>
      <c r="AD70" s="244"/>
      <c r="AE70" s="220"/>
      <c r="AF70" s="220"/>
      <c r="AG70" s="220"/>
      <c r="AH70" s="220"/>
      <c r="AI70" s="220"/>
      <c r="AJ70" s="244"/>
      <c r="AK70" s="254"/>
      <c r="AL70" s="250"/>
      <c r="AM70" s="244"/>
      <c r="AN70" s="244"/>
      <c r="AO70" s="220"/>
      <c r="AP70" s="244"/>
      <c r="AQ70" s="220"/>
      <c r="AR70" s="220"/>
      <c r="AS70" s="220"/>
      <c r="AT70" s="220"/>
      <c r="AU70" s="220"/>
      <c r="AV70" s="220"/>
      <c r="AW70" s="220"/>
      <c r="AX70" s="220"/>
      <c r="AY70" s="220"/>
      <c r="AZ70" s="220"/>
      <c r="BA70" s="220"/>
      <c r="BB70" s="220"/>
      <c r="BC70" s="220"/>
      <c r="BD70" s="220"/>
      <c r="BE70" s="220"/>
      <c r="BF70" s="220"/>
      <c r="BG70" s="220"/>
      <c r="BH70" s="220"/>
      <c r="BI70" s="220"/>
      <c r="BJ70" s="220"/>
      <c r="BK70" s="220"/>
      <c r="BL70" s="220"/>
      <c r="BM70" s="220"/>
      <c r="BN70" s="220"/>
      <c r="BO70" s="242"/>
      <c r="BP70" s="242"/>
      <c r="BQ70" s="242"/>
    </row>
    <row r="71" spans="1:69" ht="12.75" customHeight="1" x14ac:dyDescent="0.25">
      <c r="A71" s="229"/>
      <c r="B71" s="229"/>
      <c r="C71" s="220"/>
      <c r="D71" s="220"/>
      <c r="E71" s="242"/>
      <c r="F71" s="254"/>
      <c r="G71" s="254"/>
      <c r="H71" s="254"/>
      <c r="I71" s="254"/>
      <c r="J71" s="254"/>
      <c r="K71" s="220"/>
      <c r="L71" s="254"/>
      <c r="M71" s="254"/>
      <c r="N71" s="255"/>
      <c r="O71" s="255"/>
      <c r="P71" s="219"/>
      <c r="Q71" s="220"/>
      <c r="R71" s="244"/>
      <c r="S71" s="220"/>
      <c r="T71" s="220"/>
      <c r="U71" s="220"/>
      <c r="V71" s="244"/>
      <c r="W71" s="244"/>
      <c r="X71" s="220"/>
      <c r="Y71" s="220"/>
      <c r="Z71" s="220"/>
      <c r="AA71" s="244"/>
      <c r="AB71" s="244"/>
      <c r="AC71" s="244"/>
      <c r="AD71" s="244"/>
      <c r="AE71" s="220"/>
      <c r="AF71" s="220"/>
      <c r="AG71" s="220"/>
      <c r="AH71" s="220"/>
      <c r="AI71" s="220"/>
      <c r="AJ71" s="244"/>
      <c r="AK71" s="254"/>
      <c r="AL71" s="250"/>
      <c r="AM71" s="244"/>
      <c r="AN71" s="244"/>
      <c r="AO71" s="220"/>
      <c r="AP71" s="244"/>
      <c r="AQ71" s="220"/>
      <c r="AR71" s="220"/>
      <c r="AS71" s="220"/>
      <c r="AT71" s="220"/>
      <c r="AU71" s="220"/>
      <c r="AV71" s="220"/>
      <c r="AW71" s="220"/>
      <c r="AX71" s="220"/>
      <c r="AY71" s="220"/>
      <c r="AZ71" s="220"/>
      <c r="BA71" s="220"/>
      <c r="BB71" s="220"/>
      <c r="BC71" s="220"/>
      <c r="BD71" s="220"/>
      <c r="BE71" s="220"/>
      <c r="BF71" s="220"/>
      <c r="BG71" s="220"/>
      <c r="BH71" s="220"/>
      <c r="BI71" s="220"/>
      <c r="BJ71" s="220"/>
      <c r="BK71" s="220"/>
      <c r="BL71" s="220"/>
      <c r="BM71" s="220"/>
      <c r="BN71" s="220"/>
      <c r="BO71" s="242"/>
      <c r="BP71" s="242"/>
      <c r="BQ71" s="242"/>
    </row>
    <row r="72" spans="1:69" ht="12.75" customHeight="1" x14ac:dyDescent="0.25">
      <c r="A72" s="229"/>
      <c r="B72" s="229"/>
      <c r="C72" s="220"/>
      <c r="D72" s="220"/>
      <c r="E72" s="242"/>
      <c r="F72" s="254"/>
      <c r="G72" s="254"/>
      <c r="H72" s="254"/>
      <c r="I72" s="254"/>
      <c r="J72" s="254"/>
      <c r="K72" s="220"/>
      <c r="L72" s="254"/>
      <c r="M72" s="254"/>
      <c r="N72" s="255"/>
      <c r="O72" s="255"/>
      <c r="P72" s="219"/>
      <c r="Q72" s="220"/>
      <c r="R72" s="244"/>
      <c r="S72" s="220"/>
      <c r="T72" s="220"/>
      <c r="U72" s="220"/>
      <c r="V72" s="244"/>
      <c r="W72" s="244"/>
      <c r="X72" s="220"/>
      <c r="Y72" s="220"/>
      <c r="Z72" s="220"/>
      <c r="AA72" s="244"/>
      <c r="AB72" s="244"/>
      <c r="AC72" s="244"/>
      <c r="AD72" s="244"/>
      <c r="AE72" s="220"/>
      <c r="AF72" s="220"/>
      <c r="AG72" s="220"/>
      <c r="AH72" s="220"/>
      <c r="AI72" s="220"/>
      <c r="AJ72" s="244"/>
      <c r="AK72" s="254"/>
      <c r="AL72" s="250"/>
      <c r="AM72" s="244"/>
      <c r="AN72" s="244"/>
      <c r="AO72" s="220"/>
      <c r="AP72" s="244"/>
      <c r="AQ72" s="220"/>
      <c r="AR72" s="220"/>
      <c r="AS72" s="220"/>
      <c r="AT72" s="220"/>
      <c r="AU72" s="220"/>
      <c r="AV72" s="220"/>
      <c r="AW72" s="220"/>
      <c r="AX72" s="220"/>
      <c r="AY72" s="220"/>
      <c r="AZ72" s="220"/>
      <c r="BA72" s="220"/>
      <c r="BB72" s="220"/>
      <c r="BC72" s="220"/>
      <c r="BD72" s="220"/>
      <c r="BE72" s="220"/>
      <c r="BF72" s="220"/>
      <c r="BG72" s="220"/>
      <c r="BH72" s="220"/>
      <c r="BI72" s="220"/>
      <c r="BJ72" s="220"/>
      <c r="BK72" s="220"/>
      <c r="BL72" s="220"/>
      <c r="BM72" s="220"/>
      <c r="BN72" s="220"/>
      <c r="BO72" s="242"/>
      <c r="BP72" s="242"/>
      <c r="BQ72" s="242"/>
    </row>
    <row r="73" spans="1:69" ht="12.75" customHeight="1" x14ac:dyDescent="0.25">
      <c r="A73" s="229"/>
      <c r="B73" s="229"/>
      <c r="C73" s="220"/>
      <c r="D73" s="220"/>
      <c r="E73" s="242"/>
      <c r="F73" s="254"/>
      <c r="G73" s="254"/>
      <c r="H73" s="254"/>
      <c r="I73" s="254"/>
      <c r="J73" s="254"/>
      <c r="K73" s="220"/>
      <c r="L73" s="254"/>
      <c r="M73" s="254"/>
      <c r="N73" s="255"/>
      <c r="O73" s="255"/>
      <c r="P73" s="219"/>
      <c r="Q73" s="220"/>
      <c r="R73" s="244"/>
      <c r="S73" s="220"/>
      <c r="T73" s="220"/>
      <c r="U73" s="220"/>
      <c r="V73" s="244"/>
      <c r="W73" s="244"/>
      <c r="X73" s="220"/>
      <c r="Y73" s="220"/>
      <c r="Z73" s="220"/>
      <c r="AA73" s="244"/>
      <c r="AB73" s="244"/>
      <c r="AC73" s="244"/>
      <c r="AD73" s="244"/>
      <c r="AE73" s="220"/>
      <c r="AF73" s="220"/>
      <c r="AG73" s="220"/>
      <c r="AH73" s="220"/>
      <c r="AI73" s="220"/>
      <c r="AJ73" s="244"/>
      <c r="AK73" s="254"/>
      <c r="AL73" s="250"/>
      <c r="AM73" s="244"/>
      <c r="AN73" s="244"/>
      <c r="AO73" s="220"/>
      <c r="AP73" s="244"/>
      <c r="AQ73" s="220"/>
      <c r="AR73" s="220"/>
      <c r="AS73" s="220"/>
      <c r="AT73" s="220"/>
      <c r="AU73" s="220"/>
      <c r="AV73" s="220"/>
      <c r="AW73" s="220"/>
      <c r="AX73" s="220"/>
      <c r="AY73" s="220"/>
      <c r="AZ73" s="220"/>
      <c r="BA73" s="220"/>
      <c r="BB73" s="220"/>
      <c r="BC73" s="220"/>
      <c r="BD73" s="220"/>
      <c r="BE73" s="220"/>
      <c r="BF73" s="220"/>
      <c r="BG73" s="220"/>
      <c r="BH73" s="220"/>
      <c r="BI73" s="220"/>
      <c r="BJ73" s="220"/>
      <c r="BK73" s="220"/>
      <c r="BL73" s="220"/>
      <c r="BM73" s="220"/>
      <c r="BN73" s="220"/>
      <c r="BO73" s="242"/>
      <c r="BP73" s="242"/>
      <c r="BQ73" s="242"/>
    </row>
    <row r="74" spans="1:69" ht="12.75" customHeight="1" x14ac:dyDescent="0.25">
      <c r="A74" s="229"/>
      <c r="B74" s="229"/>
      <c r="C74" s="220"/>
      <c r="D74" s="220"/>
      <c r="E74" s="242"/>
      <c r="F74" s="254"/>
      <c r="G74" s="254"/>
      <c r="H74" s="254"/>
      <c r="I74" s="254"/>
      <c r="J74" s="254"/>
      <c r="K74" s="220"/>
      <c r="L74" s="254"/>
      <c r="M74" s="254"/>
      <c r="N74" s="255"/>
      <c r="O74" s="255"/>
      <c r="P74" s="219"/>
      <c r="Q74" s="220"/>
      <c r="R74" s="244"/>
      <c r="S74" s="220"/>
      <c r="T74" s="220"/>
      <c r="U74" s="220"/>
      <c r="V74" s="244"/>
      <c r="W74" s="244"/>
      <c r="X74" s="220"/>
      <c r="Y74" s="220"/>
      <c r="Z74" s="220"/>
      <c r="AA74" s="244"/>
      <c r="AB74" s="244"/>
      <c r="AC74" s="244"/>
      <c r="AD74" s="244"/>
      <c r="AE74" s="220"/>
      <c r="AF74" s="220"/>
      <c r="AG74" s="220"/>
      <c r="AH74" s="220"/>
      <c r="AI74" s="220"/>
      <c r="AJ74" s="244"/>
      <c r="AK74" s="254"/>
      <c r="AL74" s="250"/>
      <c r="AM74" s="244"/>
      <c r="AN74" s="244"/>
      <c r="AO74" s="220"/>
      <c r="AP74" s="244"/>
      <c r="AQ74" s="220"/>
      <c r="AR74" s="220"/>
      <c r="AS74" s="220"/>
      <c r="AT74" s="220"/>
      <c r="AU74" s="220"/>
      <c r="AV74" s="220"/>
      <c r="AW74" s="220"/>
      <c r="AX74" s="220"/>
      <c r="AY74" s="220"/>
      <c r="AZ74" s="220"/>
      <c r="BA74" s="220"/>
      <c r="BB74" s="220"/>
      <c r="BC74" s="220"/>
      <c r="BD74" s="220"/>
      <c r="BE74" s="220"/>
      <c r="BF74" s="220"/>
      <c r="BG74" s="220"/>
      <c r="BH74" s="220"/>
      <c r="BI74" s="220"/>
      <c r="BJ74" s="220"/>
      <c r="BK74" s="220"/>
      <c r="BL74" s="220"/>
      <c r="BM74" s="220"/>
      <c r="BN74" s="220"/>
      <c r="BO74" s="242"/>
      <c r="BP74" s="242"/>
      <c r="BQ74" s="242"/>
    </row>
    <row r="75" spans="1:69" ht="12.75" customHeight="1" x14ac:dyDescent="0.25">
      <c r="A75" s="229"/>
      <c r="B75" s="229"/>
      <c r="C75" s="220"/>
      <c r="D75" s="220"/>
      <c r="E75" s="242"/>
      <c r="F75" s="254"/>
      <c r="G75" s="254"/>
      <c r="H75" s="254"/>
      <c r="I75" s="254"/>
      <c r="J75" s="254"/>
      <c r="K75" s="220"/>
      <c r="L75" s="254"/>
      <c r="M75" s="254"/>
      <c r="N75" s="255"/>
      <c r="O75" s="255"/>
      <c r="P75" s="219"/>
      <c r="Q75" s="220"/>
      <c r="R75" s="244"/>
      <c r="S75" s="220"/>
      <c r="T75" s="220"/>
      <c r="U75" s="220"/>
      <c r="V75" s="244"/>
      <c r="W75" s="244"/>
      <c r="X75" s="220"/>
      <c r="Y75" s="220"/>
      <c r="Z75" s="220"/>
      <c r="AA75" s="244"/>
      <c r="AB75" s="244"/>
      <c r="AC75" s="244"/>
      <c r="AD75" s="244"/>
      <c r="AE75" s="220"/>
      <c r="AF75" s="220"/>
      <c r="AG75" s="220"/>
      <c r="AH75" s="220"/>
      <c r="AI75" s="220"/>
      <c r="AJ75" s="244"/>
      <c r="AK75" s="254"/>
      <c r="AL75" s="250"/>
      <c r="AM75" s="244"/>
      <c r="AN75" s="244"/>
      <c r="AO75" s="220"/>
      <c r="AP75" s="244"/>
      <c r="AQ75" s="220"/>
      <c r="AR75" s="220"/>
      <c r="AS75" s="220"/>
      <c r="AT75" s="220"/>
      <c r="AU75" s="220"/>
      <c r="AV75" s="220"/>
      <c r="AW75" s="220"/>
      <c r="AX75" s="220"/>
      <c r="AY75" s="220"/>
      <c r="AZ75" s="220"/>
      <c r="BA75" s="220"/>
      <c r="BB75" s="220"/>
      <c r="BC75" s="220"/>
      <c r="BD75" s="220"/>
      <c r="BE75" s="220"/>
      <c r="BF75" s="220"/>
      <c r="BG75" s="220"/>
      <c r="BH75" s="220"/>
      <c r="BI75" s="220"/>
      <c r="BJ75" s="220"/>
      <c r="BK75" s="220"/>
      <c r="BL75" s="220"/>
      <c r="BM75" s="220"/>
      <c r="BN75" s="220"/>
      <c r="BO75" s="242"/>
      <c r="BP75" s="242"/>
      <c r="BQ75" s="242"/>
    </row>
    <row r="76" spans="1:69" ht="12.75" customHeight="1" x14ac:dyDescent="0.25">
      <c r="A76" s="229"/>
      <c r="B76" s="229"/>
      <c r="C76" s="220"/>
      <c r="D76" s="220"/>
      <c r="E76" s="242"/>
      <c r="F76" s="254"/>
      <c r="G76" s="254"/>
      <c r="H76" s="254"/>
      <c r="I76" s="254"/>
      <c r="J76" s="254"/>
      <c r="K76" s="220"/>
      <c r="L76" s="254"/>
      <c r="M76" s="254"/>
      <c r="N76" s="255"/>
      <c r="O76" s="255"/>
      <c r="P76" s="219"/>
      <c r="Q76" s="220"/>
      <c r="R76" s="244"/>
      <c r="S76" s="220"/>
      <c r="T76" s="220"/>
      <c r="U76" s="220"/>
      <c r="V76" s="244"/>
      <c r="W76" s="244"/>
      <c r="X76" s="220"/>
      <c r="Y76" s="220"/>
      <c r="Z76" s="220"/>
      <c r="AA76" s="244"/>
      <c r="AB76" s="244"/>
      <c r="AC76" s="244"/>
      <c r="AD76" s="244"/>
      <c r="AE76" s="220"/>
      <c r="AF76" s="220"/>
      <c r="AG76" s="220"/>
      <c r="AH76" s="220"/>
      <c r="AI76" s="220"/>
      <c r="AJ76" s="244"/>
      <c r="AK76" s="254"/>
      <c r="AL76" s="250"/>
      <c r="AM76" s="244"/>
      <c r="AN76" s="244"/>
      <c r="AO76" s="220"/>
      <c r="AP76" s="244"/>
      <c r="AQ76" s="220"/>
      <c r="AR76" s="220"/>
      <c r="AS76" s="220"/>
      <c r="AT76" s="220"/>
      <c r="AU76" s="220"/>
      <c r="AV76" s="220"/>
      <c r="AW76" s="220"/>
      <c r="AX76" s="220"/>
      <c r="AY76" s="220"/>
      <c r="AZ76" s="220"/>
      <c r="BA76" s="220"/>
      <c r="BB76" s="220"/>
      <c r="BC76" s="220"/>
      <c r="BD76" s="220"/>
      <c r="BE76" s="220"/>
      <c r="BF76" s="220"/>
      <c r="BG76" s="220"/>
      <c r="BH76" s="220"/>
      <c r="BI76" s="220"/>
      <c r="BJ76" s="220"/>
      <c r="BK76" s="220"/>
      <c r="BL76" s="220"/>
      <c r="BM76" s="220"/>
      <c r="BN76" s="220"/>
      <c r="BO76" s="242"/>
      <c r="BP76" s="242"/>
      <c r="BQ76" s="242"/>
    </row>
    <row r="77" spans="1:69" ht="12.75" customHeight="1" x14ac:dyDescent="0.25">
      <c r="A77" s="229"/>
      <c r="B77" s="229"/>
      <c r="C77" s="220"/>
      <c r="D77" s="220"/>
      <c r="E77" s="242"/>
      <c r="F77" s="254"/>
      <c r="G77" s="254"/>
      <c r="H77" s="254"/>
      <c r="I77" s="254"/>
      <c r="J77" s="254"/>
      <c r="K77" s="220"/>
      <c r="L77" s="254"/>
      <c r="M77" s="254"/>
      <c r="N77" s="255"/>
      <c r="O77" s="255"/>
      <c r="P77" s="219"/>
      <c r="Q77" s="220"/>
      <c r="R77" s="244"/>
      <c r="S77" s="220"/>
      <c r="T77" s="220"/>
      <c r="U77" s="220"/>
      <c r="V77" s="244"/>
      <c r="W77" s="244"/>
      <c r="X77" s="220"/>
      <c r="Y77" s="220"/>
      <c r="Z77" s="220"/>
      <c r="AA77" s="244"/>
      <c r="AB77" s="244"/>
      <c r="AC77" s="244"/>
      <c r="AD77" s="244"/>
      <c r="AE77" s="220"/>
      <c r="AF77" s="220"/>
      <c r="AG77" s="220"/>
      <c r="AH77" s="220"/>
      <c r="AI77" s="220"/>
      <c r="AJ77" s="244"/>
      <c r="AK77" s="254"/>
      <c r="AL77" s="250"/>
      <c r="AM77" s="244"/>
      <c r="AN77" s="244"/>
      <c r="AO77" s="220"/>
      <c r="AP77" s="244"/>
      <c r="AQ77" s="220"/>
      <c r="AR77" s="220"/>
      <c r="AS77" s="220"/>
      <c r="AT77" s="220"/>
      <c r="AU77" s="220"/>
      <c r="AV77" s="220"/>
      <c r="AW77" s="220"/>
      <c r="AX77" s="220"/>
      <c r="AY77" s="220"/>
      <c r="AZ77" s="220"/>
      <c r="BA77" s="220"/>
      <c r="BB77" s="220"/>
      <c r="BC77" s="220"/>
      <c r="BD77" s="220"/>
      <c r="BE77" s="220"/>
      <c r="BF77" s="220"/>
      <c r="BG77" s="220"/>
      <c r="BH77" s="220"/>
      <c r="BI77" s="220"/>
      <c r="BJ77" s="220"/>
      <c r="BK77" s="220"/>
      <c r="BL77" s="220"/>
      <c r="BM77" s="220"/>
      <c r="BN77" s="220"/>
      <c r="BO77" s="242"/>
      <c r="BP77" s="242"/>
      <c r="BQ77" s="242"/>
    </row>
    <row r="78" spans="1:69" ht="12.75" customHeight="1" x14ac:dyDescent="0.25">
      <c r="A78" s="229"/>
      <c r="B78" s="229"/>
      <c r="C78" s="220"/>
      <c r="D78" s="220"/>
      <c r="E78" s="242"/>
      <c r="F78" s="254"/>
      <c r="G78" s="254"/>
      <c r="H78" s="254"/>
      <c r="I78" s="254"/>
      <c r="J78" s="254"/>
      <c r="K78" s="220"/>
      <c r="L78" s="254"/>
      <c r="M78" s="254"/>
      <c r="N78" s="255"/>
      <c r="O78" s="255"/>
      <c r="P78" s="219"/>
      <c r="Q78" s="220"/>
      <c r="R78" s="244"/>
      <c r="S78" s="220"/>
      <c r="T78" s="220"/>
      <c r="U78" s="220"/>
      <c r="V78" s="244"/>
      <c r="W78" s="244"/>
      <c r="X78" s="220"/>
      <c r="Y78" s="220"/>
      <c r="Z78" s="220"/>
      <c r="AA78" s="244"/>
      <c r="AB78" s="244"/>
      <c r="AC78" s="244"/>
      <c r="AD78" s="244"/>
      <c r="AE78" s="220"/>
      <c r="AF78" s="220"/>
      <c r="AG78" s="220"/>
      <c r="AH78" s="220"/>
      <c r="AI78" s="220"/>
      <c r="AJ78" s="244"/>
      <c r="AK78" s="254"/>
      <c r="AL78" s="250"/>
      <c r="AM78" s="244"/>
      <c r="AN78" s="244"/>
      <c r="AO78" s="220"/>
      <c r="AP78" s="244"/>
      <c r="AQ78" s="220"/>
      <c r="AR78" s="220"/>
      <c r="AS78" s="220"/>
      <c r="AT78" s="220"/>
      <c r="AU78" s="220"/>
      <c r="AV78" s="220"/>
      <c r="AW78" s="220"/>
      <c r="AX78" s="220"/>
      <c r="AY78" s="220"/>
      <c r="AZ78" s="220"/>
      <c r="BA78" s="220"/>
      <c r="BB78" s="220"/>
      <c r="BC78" s="220"/>
      <c r="BD78" s="220"/>
      <c r="BE78" s="220"/>
      <c r="BF78" s="220"/>
      <c r="BG78" s="220"/>
      <c r="BH78" s="220"/>
      <c r="BI78" s="220"/>
      <c r="BJ78" s="220"/>
      <c r="BK78" s="220"/>
      <c r="BL78" s="220"/>
      <c r="BM78" s="220"/>
      <c r="BN78" s="220"/>
      <c r="BO78" s="242"/>
      <c r="BP78" s="242"/>
      <c r="BQ78" s="242"/>
    </row>
    <row r="79" spans="1:69" ht="12.75" customHeight="1" x14ac:dyDescent="0.25">
      <c r="A79" s="229"/>
      <c r="B79" s="229"/>
      <c r="C79" s="220"/>
      <c r="D79" s="220"/>
      <c r="E79" s="242"/>
      <c r="F79" s="254"/>
      <c r="G79" s="254"/>
      <c r="H79" s="254"/>
      <c r="I79" s="254"/>
      <c r="J79" s="254"/>
      <c r="K79" s="220"/>
      <c r="L79" s="254"/>
      <c r="M79" s="254"/>
      <c r="N79" s="255"/>
      <c r="O79" s="255"/>
      <c r="P79" s="219"/>
      <c r="Q79" s="220"/>
      <c r="R79" s="244"/>
      <c r="S79" s="220"/>
      <c r="T79" s="220"/>
      <c r="U79" s="220"/>
      <c r="V79" s="244"/>
      <c r="W79" s="244"/>
      <c r="X79" s="220"/>
      <c r="Y79" s="220"/>
      <c r="Z79" s="220"/>
      <c r="AA79" s="244"/>
      <c r="AB79" s="244"/>
      <c r="AC79" s="244"/>
      <c r="AD79" s="244"/>
      <c r="AE79" s="220"/>
      <c r="AF79" s="220"/>
      <c r="AG79" s="220"/>
      <c r="AH79" s="220"/>
      <c r="AI79" s="220"/>
      <c r="AJ79" s="244"/>
      <c r="AK79" s="254"/>
      <c r="AL79" s="250"/>
      <c r="AM79" s="244"/>
      <c r="AN79" s="244"/>
      <c r="AO79" s="220"/>
      <c r="AP79" s="244"/>
      <c r="AQ79" s="220"/>
      <c r="AR79" s="220"/>
      <c r="AS79" s="220"/>
      <c r="AT79" s="220"/>
      <c r="AU79" s="220"/>
      <c r="AV79" s="220"/>
      <c r="AW79" s="220"/>
      <c r="AX79" s="220"/>
      <c r="AY79" s="220"/>
      <c r="AZ79" s="220"/>
      <c r="BA79" s="220"/>
      <c r="BB79" s="220"/>
      <c r="BC79" s="220"/>
      <c r="BD79" s="220"/>
      <c r="BE79" s="220"/>
      <c r="BF79" s="220"/>
      <c r="BG79" s="220"/>
      <c r="BH79" s="220"/>
      <c r="BI79" s="220"/>
      <c r="BJ79" s="220"/>
      <c r="BK79" s="220"/>
      <c r="BL79" s="220"/>
      <c r="BM79" s="220"/>
      <c r="BN79" s="220"/>
      <c r="BO79" s="242"/>
      <c r="BP79" s="242"/>
      <c r="BQ79" s="242"/>
    </row>
    <row r="80" spans="1:69" ht="12.75" customHeight="1" x14ac:dyDescent="0.25">
      <c r="A80" s="229"/>
      <c r="B80" s="229"/>
      <c r="C80" s="220"/>
      <c r="D80" s="220"/>
      <c r="E80" s="242"/>
      <c r="F80" s="254"/>
      <c r="G80" s="254"/>
      <c r="H80" s="254"/>
      <c r="I80" s="254"/>
      <c r="J80" s="254"/>
      <c r="K80" s="220"/>
      <c r="L80" s="254"/>
      <c r="M80" s="254"/>
      <c r="N80" s="255"/>
      <c r="O80" s="255"/>
      <c r="P80" s="219"/>
      <c r="Q80" s="220"/>
      <c r="R80" s="244"/>
      <c r="S80" s="220"/>
      <c r="T80" s="220"/>
      <c r="U80" s="220"/>
      <c r="V80" s="244"/>
      <c r="W80" s="244"/>
      <c r="X80" s="220"/>
      <c r="Y80" s="220"/>
      <c r="Z80" s="220"/>
      <c r="AA80" s="244"/>
      <c r="AB80" s="244"/>
      <c r="AC80" s="244"/>
      <c r="AD80" s="244"/>
      <c r="AE80" s="220"/>
      <c r="AF80" s="220"/>
      <c r="AG80" s="220"/>
      <c r="AH80" s="220"/>
      <c r="AI80" s="220"/>
      <c r="AJ80" s="244"/>
      <c r="AK80" s="254"/>
      <c r="AL80" s="250"/>
      <c r="AM80" s="244"/>
      <c r="AN80" s="244"/>
      <c r="AO80" s="220"/>
      <c r="AP80" s="244"/>
      <c r="AQ80" s="220"/>
      <c r="AR80" s="220"/>
      <c r="AS80" s="220"/>
      <c r="AT80" s="220"/>
      <c r="AU80" s="220"/>
      <c r="AV80" s="220"/>
      <c r="AW80" s="220"/>
      <c r="AX80" s="220"/>
      <c r="AY80" s="220"/>
      <c r="AZ80" s="220"/>
      <c r="BA80" s="220"/>
      <c r="BB80" s="220"/>
      <c r="BC80" s="220"/>
      <c r="BD80" s="220"/>
      <c r="BE80" s="220"/>
      <c r="BF80" s="220"/>
      <c r="BG80" s="220"/>
      <c r="BH80" s="220"/>
      <c r="BI80" s="220"/>
      <c r="BJ80" s="220"/>
      <c r="BK80" s="220"/>
      <c r="BL80" s="220"/>
      <c r="BM80" s="220"/>
      <c r="BN80" s="220"/>
      <c r="BO80" s="242"/>
      <c r="BP80" s="242"/>
      <c r="BQ80" s="242"/>
    </row>
    <row r="81" spans="1:69" ht="12.75" customHeight="1" x14ac:dyDescent="0.25">
      <c r="A81" s="229"/>
      <c r="B81" s="229"/>
      <c r="C81" s="220"/>
      <c r="D81" s="220"/>
      <c r="E81" s="242"/>
      <c r="F81" s="254"/>
      <c r="G81" s="254"/>
      <c r="H81" s="254"/>
      <c r="I81" s="254"/>
      <c r="J81" s="254"/>
      <c r="K81" s="220"/>
      <c r="L81" s="254"/>
      <c r="M81" s="254"/>
      <c r="N81" s="255"/>
      <c r="O81" s="255"/>
      <c r="P81" s="219"/>
      <c r="Q81" s="220"/>
      <c r="R81" s="244"/>
      <c r="S81" s="220"/>
      <c r="T81" s="220"/>
      <c r="U81" s="220"/>
      <c r="V81" s="244"/>
      <c r="W81" s="244"/>
      <c r="X81" s="220"/>
      <c r="Y81" s="220"/>
      <c r="Z81" s="220"/>
      <c r="AA81" s="244"/>
      <c r="AB81" s="244"/>
      <c r="AC81" s="244"/>
      <c r="AD81" s="244"/>
      <c r="AE81" s="220"/>
      <c r="AF81" s="220"/>
      <c r="AG81" s="220"/>
      <c r="AH81" s="220"/>
      <c r="AI81" s="220"/>
      <c r="AJ81" s="244"/>
      <c r="AK81" s="254"/>
      <c r="AL81" s="250"/>
      <c r="AM81" s="244"/>
      <c r="AN81" s="244"/>
      <c r="AO81" s="220"/>
      <c r="AP81" s="244"/>
      <c r="AQ81" s="220"/>
      <c r="AR81" s="220"/>
      <c r="AS81" s="220"/>
      <c r="AT81" s="220"/>
      <c r="AU81" s="220"/>
      <c r="AV81" s="220"/>
      <c r="AW81" s="220"/>
      <c r="AX81" s="220"/>
      <c r="AY81" s="220"/>
      <c r="AZ81" s="220"/>
      <c r="BA81" s="220"/>
      <c r="BB81" s="220"/>
      <c r="BC81" s="220"/>
      <c r="BD81" s="220"/>
      <c r="BE81" s="220"/>
      <c r="BF81" s="220"/>
      <c r="BG81" s="220"/>
      <c r="BH81" s="220"/>
      <c r="BI81" s="220"/>
      <c r="BJ81" s="220"/>
      <c r="BK81" s="220"/>
      <c r="BL81" s="220"/>
      <c r="BM81" s="220"/>
      <c r="BN81" s="220"/>
      <c r="BO81" s="242"/>
      <c r="BP81" s="242"/>
      <c r="BQ81" s="242"/>
    </row>
    <row r="82" spans="1:69" ht="12.75" customHeight="1" x14ac:dyDescent="0.25">
      <c r="A82" s="229"/>
      <c r="B82" s="229"/>
      <c r="C82" s="220"/>
      <c r="D82" s="220"/>
      <c r="E82" s="242"/>
      <c r="F82" s="254"/>
      <c r="G82" s="254"/>
      <c r="H82" s="254"/>
      <c r="I82" s="254"/>
      <c r="J82" s="254"/>
      <c r="K82" s="220"/>
      <c r="L82" s="254"/>
      <c r="M82" s="254"/>
      <c r="N82" s="255"/>
      <c r="O82" s="255"/>
      <c r="P82" s="219"/>
      <c r="Q82" s="220"/>
      <c r="R82" s="244"/>
      <c r="S82" s="220"/>
      <c r="T82" s="220"/>
      <c r="U82" s="220"/>
      <c r="V82" s="244"/>
      <c r="W82" s="244"/>
      <c r="X82" s="220"/>
      <c r="Y82" s="220"/>
      <c r="Z82" s="220"/>
      <c r="AA82" s="244"/>
      <c r="AB82" s="244"/>
      <c r="AC82" s="244"/>
      <c r="AD82" s="244"/>
      <c r="AE82" s="220"/>
      <c r="AF82" s="220"/>
      <c r="AG82" s="220"/>
      <c r="AH82" s="220"/>
      <c r="AI82" s="220"/>
      <c r="AJ82" s="244"/>
      <c r="AK82" s="254"/>
      <c r="AL82" s="250"/>
      <c r="AM82" s="244"/>
      <c r="AN82" s="244"/>
      <c r="AO82" s="220"/>
      <c r="AP82" s="244"/>
      <c r="AQ82" s="220"/>
      <c r="AR82" s="220"/>
      <c r="AS82" s="220"/>
      <c r="AT82" s="220"/>
      <c r="AU82" s="220"/>
      <c r="AV82" s="220"/>
      <c r="AW82" s="220"/>
      <c r="AX82" s="220"/>
      <c r="AY82" s="220"/>
      <c r="AZ82" s="220"/>
      <c r="BA82" s="220"/>
      <c r="BB82" s="220"/>
      <c r="BC82" s="220"/>
      <c r="BD82" s="220"/>
      <c r="BE82" s="220"/>
      <c r="BF82" s="220"/>
      <c r="BG82" s="220"/>
      <c r="BH82" s="220"/>
      <c r="BI82" s="220"/>
      <c r="BJ82" s="220"/>
      <c r="BK82" s="220"/>
      <c r="BL82" s="220"/>
      <c r="BM82" s="220"/>
      <c r="BN82" s="220"/>
      <c r="BO82" s="242"/>
      <c r="BP82" s="242"/>
      <c r="BQ82" s="242"/>
    </row>
    <row r="83" spans="1:69" ht="12.75" customHeight="1" x14ac:dyDescent="0.25">
      <c r="A83" s="229"/>
      <c r="B83" s="229"/>
      <c r="C83" s="220"/>
      <c r="D83" s="220"/>
      <c r="E83" s="242"/>
      <c r="F83" s="254"/>
      <c r="G83" s="254"/>
      <c r="H83" s="254"/>
      <c r="I83" s="254"/>
      <c r="J83" s="254"/>
      <c r="K83" s="220"/>
      <c r="L83" s="254"/>
      <c r="M83" s="254"/>
      <c r="N83" s="255"/>
      <c r="O83" s="255"/>
      <c r="P83" s="219"/>
      <c r="Q83" s="220"/>
      <c r="R83" s="244"/>
      <c r="S83" s="220"/>
      <c r="T83" s="220"/>
      <c r="U83" s="220"/>
      <c r="V83" s="244"/>
      <c r="W83" s="244"/>
      <c r="X83" s="220"/>
      <c r="Y83" s="220"/>
      <c r="Z83" s="220"/>
      <c r="AA83" s="244"/>
      <c r="AB83" s="244"/>
      <c r="AC83" s="244"/>
      <c r="AD83" s="244"/>
      <c r="AE83" s="220"/>
      <c r="AF83" s="220"/>
      <c r="AG83" s="220"/>
      <c r="AH83" s="220"/>
      <c r="AI83" s="220"/>
      <c r="AJ83" s="244"/>
      <c r="AK83" s="254"/>
      <c r="AL83" s="250"/>
      <c r="AM83" s="244"/>
      <c r="AN83" s="244"/>
      <c r="AO83" s="220"/>
      <c r="AP83" s="244"/>
      <c r="AQ83" s="220"/>
      <c r="AR83" s="220"/>
      <c r="AS83" s="220"/>
      <c r="AT83" s="220"/>
      <c r="AU83" s="220"/>
      <c r="AV83" s="220"/>
      <c r="AW83" s="220"/>
      <c r="AX83" s="220"/>
      <c r="AY83" s="220"/>
      <c r="AZ83" s="220"/>
      <c r="BA83" s="220"/>
      <c r="BB83" s="220"/>
      <c r="BC83" s="220"/>
      <c r="BD83" s="220"/>
      <c r="BE83" s="220"/>
      <c r="BF83" s="220"/>
      <c r="BG83" s="220"/>
      <c r="BH83" s="220"/>
      <c r="BI83" s="220"/>
      <c r="BJ83" s="220"/>
      <c r="BK83" s="220"/>
      <c r="BL83" s="220"/>
      <c r="BM83" s="220"/>
      <c r="BN83" s="220"/>
      <c r="BO83" s="242"/>
      <c r="BP83" s="242"/>
      <c r="BQ83" s="242"/>
    </row>
    <row r="84" spans="1:69" ht="12.75" customHeight="1" x14ac:dyDescent="0.25">
      <c r="A84" s="229"/>
      <c r="B84" s="229"/>
      <c r="C84" s="220"/>
      <c r="D84" s="220"/>
      <c r="E84" s="242"/>
      <c r="F84" s="254"/>
      <c r="G84" s="254"/>
      <c r="H84" s="254"/>
      <c r="I84" s="254"/>
      <c r="J84" s="254"/>
      <c r="K84" s="220"/>
      <c r="L84" s="254"/>
      <c r="M84" s="254"/>
      <c r="N84" s="255"/>
      <c r="O84" s="255"/>
      <c r="P84" s="219"/>
      <c r="Q84" s="220"/>
      <c r="R84" s="244"/>
      <c r="S84" s="220"/>
      <c r="T84" s="220"/>
      <c r="U84" s="220"/>
      <c r="V84" s="244"/>
      <c r="W84" s="244"/>
      <c r="X84" s="220"/>
      <c r="Y84" s="220"/>
      <c r="Z84" s="220"/>
      <c r="AA84" s="244"/>
      <c r="AB84" s="244"/>
      <c r="AC84" s="244"/>
      <c r="AD84" s="244"/>
      <c r="AE84" s="220"/>
      <c r="AF84" s="220"/>
      <c r="AG84" s="220"/>
      <c r="AH84" s="220"/>
      <c r="AI84" s="220"/>
      <c r="AJ84" s="244"/>
      <c r="AK84" s="254"/>
      <c r="AL84" s="250"/>
      <c r="AM84" s="244"/>
      <c r="AN84" s="244"/>
      <c r="AO84" s="220"/>
      <c r="AP84" s="244"/>
      <c r="AQ84" s="220"/>
      <c r="AR84" s="220"/>
      <c r="AS84" s="220"/>
      <c r="AT84" s="220"/>
      <c r="AU84" s="220"/>
      <c r="AV84" s="220"/>
      <c r="AW84" s="220"/>
      <c r="AX84" s="220"/>
      <c r="AY84" s="220"/>
      <c r="AZ84" s="220"/>
      <c r="BA84" s="220"/>
      <c r="BB84" s="220"/>
      <c r="BC84" s="220"/>
      <c r="BD84" s="220"/>
      <c r="BE84" s="220"/>
      <c r="BF84" s="220"/>
      <c r="BG84" s="220"/>
      <c r="BH84" s="220"/>
      <c r="BI84" s="220"/>
      <c r="BJ84" s="220"/>
      <c r="BK84" s="220"/>
      <c r="BL84" s="220"/>
      <c r="BM84" s="220"/>
      <c r="BN84" s="220"/>
      <c r="BO84" s="242"/>
      <c r="BP84" s="242"/>
      <c r="BQ84" s="242"/>
    </row>
    <row r="85" spans="1:69" ht="12.75" customHeight="1" x14ac:dyDescent="0.25">
      <c r="A85" s="229"/>
      <c r="B85" s="229"/>
      <c r="C85" s="220"/>
      <c r="D85" s="220"/>
      <c r="E85" s="242"/>
      <c r="F85" s="254"/>
      <c r="G85" s="254"/>
      <c r="H85" s="254"/>
      <c r="I85" s="254"/>
      <c r="J85" s="254"/>
      <c r="K85" s="220"/>
      <c r="L85" s="254"/>
      <c r="M85" s="254"/>
      <c r="N85" s="255"/>
      <c r="O85" s="255"/>
      <c r="P85" s="219"/>
      <c r="Q85" s="220"/>
      <c r="R85" s="244"/>
      <c r="S85" s="220"/>
      <c r="T85" s="220"/>
      <c r="U85" s="220"/>
      <c r="V85" s="244"/>
      <c r="W85" s="244"/>
      <c r="X85" s="220"/>
      <c r="Y85" s="220"/>
      <c r="Z85" s="220"/>
      <c r="AA85" s="244"/>
      <c r="AB85" s="244"/>
      <c r="AC85" s="244"/>
      <c r="AD85" s="244"/>
      <c r="AE85" s="220"/>
      <c r="AF85" s="220"/>
      <c r="AG85" s="220"/>
      <c r="AH85" s="220"/>
      <c r="AI85" s="220"/>
      <c r="AJ85" s="244"/>
      <c r="AK85" s="254"/>
      <c r="AL85" s="250"/>
      <c r="AM85" s="244"/>
      <c r="AN85" s="244"/>
      <c r="AO85" s="220"/>
      <c r="AP85" s="244"/>
      <c r="AQ85" s="220"/>
      <c r="AR85" s="220"/>
      <c r="AS85" s="220"/>
      <c r="AT85" s="220"/>
      <c r="AU85" s="220"/>
      <c r="AV85" s="220"/>
      <c r="AW85" s="220"/>
      <c r="AX85" s="220"/>
      <c r="AY85" s="220"/>
      <c r="AZ85" s="220"/>
      <c r="BA85" s="220"/>
      <c r="BB85" s="220"/>
      <c r="BC85" s="220"/>
      <c r="BD85" s="220"/>
      <c r="BE85" s="220"/>
      <c r="BF85" s="220"/>
      <c r="BG85" s="220"/>
      <c r="BH85" s="220"/>
      <c r="BI85" s="220"/>
      <c r="BJ85" s="220"/>
      <c r="BK85" s="220"/>
      <c r="BL85" s="220"/>
      <c r="BM85" s="220"/>
      <c r="BN85" s="220"/>
      <c r="BO85" s="242"/>
      <c r="BP85" s="242"/>
      <c r="BQ85" s="242"/>
    </row>
    <row r="86" spans="1:69" ht="12.75" customHeight="1" x14ac:dyDescent="0.25">
      <c r="A86" s="229"/>
      <c r="B86" s="229"/>
      <c r="C86" s="220"/>
      <c r="D86" s="220"/>
      <c r="E86" s="242"/>
      <c r="F86" s="254"/>
      <c r="G86" s="254"/>
      <c r="H86" s="254"/>
      <c r="I86" s="254"/>
      <c r="J86" s="254"/>
      <c r="K86" s="220"/>
      <c r="L86" s="254"/>
      <c r="M86" s="254"/>
      <c r="N86" s="255"/>
      <c r="O86" s="255"/>
      <c r="P86" s="219"/>
      <c r="Q86" s="220"/>
      <c r="R86" s="244"/>
      <c r="S86" s="220"/>
      <c r="T86" s="220"/>
      <c r="U86" s="220"/>
      <c r="V86" s="244"/>
      <c r="W86" s="244"/>
      <c r="X86" s="220"/>
      <c r="Y86" s="220"/>
      <c r="Z86" s="220"/>
      <c r="AA86" s="244"/>
      <c r="AB86" s="244"/>
      <c r="AC86" s="244"/>
      <c r="AD86" s="244"/>
      <c r="AE86" s="220"/>
      <c r="AF86" s="220"/>
      <c r="AG86" s="220"/>
      <c r="AH86" s="220"/>
      <c r="AI86" s="220"/>
      <c r="AJ86" s="244"/>
      <c r="AK86" s="254"/>
      <c r="AL86" s="250"/>
      <c r="AM86" s="244"/>
      <c r="AN86" s="244"/>
      <c r="AO86" s="220"/>
      <c r="AP86" s="244"/>
      <c r="AQ86" s="220"/>
      <c r="AR86" s="220"/>
      <c r="AS86" s="220"/>
      <c r="AT86" s="220"/>
      <c r="AU86" s="220"/>
      <c r="AV86" s="220"/>
      <c r="AW86" s="220"/>
      <c r="AX86" s="220"/>
      <c r="AY86" s="220"/>
      <c r="AZ86" s="220"/>
      <c r="BA86" s="220"/>
      <c r="BB86" s="220"/>
      <c r="BC86" s="220"/>
      <c r="BD86" s="220"/>
      <c r="BE86" s="220"/>
      <c r="BF86" s="220"/>
      <c r="BG86" s="220"/>
      <c r="BH86" s="220"/>
      <c r="BI86" s="220"/>
      <c r="BJ86" s="220"/>
      <c r="BK86" s="220"/>
      <c r="BL86" s="220"/>
      <c r="BM86" s="220"/>
      <c r="BN86" s="220"/>
      <c r="BO86" s="242"/>
      <c r="BP86" s="242"/>
      <c r="BQ86" s="242"/>
    </row>
    <row r="87" spans="1:69" ht="12.75" customHeight="1" x14ac:dyDescent="0.25">
      <c r="A87" s="229"/>
      <c r="B87" s="229"/>
      <c r="C87" s="220"/>
      <c r="D87" s="220"/>
      <c r="E87" s="242"/>
      <c r="F87" s="254"/>
      <c r="G87" s="254"/>
      <c r="H87" s="254"/>
      <c r="I87" s="254"/>
      <c r="J87" s="254"/>
      <c r="K87" s="220"/>
      <c r="L87" s="254"/>
      <c r="M87" s="254"/>
      <c r="N87" s="255"/>
      <c r="O87" s="255"/>
      <c r="P87" s="219"/>
      <c r="Q87" s="220"/>
      <c r="R87" s="244"/>
      <c r="S87" s="220"/>
      <c r="T87" s="220"/>
      <c r="U87" s="220"/>
      <c r="V87" s="244"/>
      <c r="W87" s="244"/>
      <c r="X87" s="220"/>
      <c r="Y87" s="220"/>
      <c r="Z87" s="220"/>
      <c r="AA87" s="244"/>
      <c r="AB87" s="244"/>
      <c r="AC87" s="244"/>
      <c r="AD87" s="244"/>
      <c r="AE87" s="220"/>
      <c r="AF87" s="220"/>
      <c r="AG87" s="220"/>
      <c r="AH87" s="220"/>
      <c r="AI87" s="220"/>
      <c r="AJ87" s="244"/>
      <c r="AK87" s="254"/>
      <c r="AL87" s="250"/>
      <c r="AM87" s="244"/>
      <c r="AN87" s="244"/>
      <c r="AO87" s="220"/>
      <c r="AP87" s="244"/>
      <c r="AQ87" s="220"/>
      <c r="AR87" s="220"/>
      <c r="AS87" s="220"/>
      <c r="AT87" s="220"/>
      <c r="AU87" s="220"/>
      <c r="AV87" s="220"/>
      <c r="AW87" s="220"/>
      <c r="AX87" s="220"/>
      <c r="AY87" s="220"/>
      <c r="AZ87" s="220"/>
      <c r="BA87" s="220"/>
      <c r="BB87" s="220"/>
      <c r="BC87" s="220"/>
      <c r="BD87" s="220"/>
      <c r="BE87" s="220"/>
      <c r="BF87" s="220"/>
      <c r="BG87" s="220"/>
      <c r="BH87" s="220"/>
      <c r="BI87" s="220"/>
      <c r="BJ87" s="220"/>
      <c r="BK87" s="220"/>
      <c r="BL87" s="220"/>
      <c r="BM87" s="220"/>
      <c r="BN87" s="220"/>
      <c r="BO87" s="242"/>
      <c r="BP87" s="242"/>
      <c r="BQ87" s="242"/>
    </row>
    <row r="88" spans="1:69" ht="12.75" customHeight="1" x14ac:dyDescent="0.25">
      <c r="A88" s="229"/>
      <c r="B88" s="229"/>
      <c r="C88" s="220"/>
      <c r="D88" s="220"/>
      <c r="E88" s="242"/>
      <c r="F88" s="254"/>
      <c r="G88" s="254"/>
      <c r="H88" s="254"/>
      <c r="I88" s="254"/>
      <c r="J88" s="254"/>
      <c r="K88" s="220"/>
      <c r="L88" s="254"/>
      <c r="M88" s="254"/>
      <c r="N88" s="255"/>
      <c r="O88" s="255"/>
      <c r="P88" s="219"/>
      <c r="Q88" s="220"/>
      <c r="R88" s="244"/>
      <c r="S88" s="220"/>
      <c r="T88" s="220"/>
      <c r="U88" s="220"/>
      <c r="V88" s="244"/>
      <c r="W88" s="244"/>
      <c r="X88" s="220"/>
      <c r="Y88" s="220"/>
      <c r="Z88" s="220"/>
      <c r="AA88" s="244"/>
      <c r="AB88" s="244"/>
      <c r="AC88" s="244"/>
      <c r="AD88" s="244"/>
      <c r="AE88" s="220"/>
      <c r="AF88" s="220"/>
      <c r="AG88" s="220"/>
      <c r="AH88" s="220"/>
      <c r="AI88" s="220"/>
      <c r="AJ88" s="244"/>
      <c r="AK88" s="254"/>
      <c r="AL88" s="250"/>
      <c r="AM88" s="244"/>
      <c r="AN88" s="244"/>
      <c r="AO88" s="220"/>
      <c r="AP88" s="244"/>
      <c r="AQ88" s="220"/>
      <c r="AR88" s="220"/>
      <c r="AS88" s="220"/>
      <c r="AT88" s="220"/>
      <c r="AU88" s="220"/>
      <c r="AV88" s="220"/>
      <c r="AW88" s="220"/>
      <c r="AX88" s="220"/>
      <c r="AY88" s="220"/>
      <c r="AZ88" s="220"/>
      <c r="BA88" s="220"/>
      <c r="BB88" s="220"/>
      <c r="BC88" s="220"/>
      <c r="BD88" s="220"/>
      <c r="BE88" s="220"/>
      <c r="BF88" s="220"/>
      <c r="BG88" s="220"/>
      <c r="BH88" s="220"/>
      <c r="BI88" s="220"/>
      <c r="BJ88" s="220"/>
      <c r="BK88" s="220"/>
      <c r="BL88" s="220"/>
      <c r="BM88" s="220"/>
      <c r="BN88" s="220"/>
      <c r="BO88" s="242"/>
      <c r="BP88" s="242"/>
      <c r="BQ88" s="242"/>
    </row>
    <row r="89" spans="1:69" ht="12.75" customHeight="1" x14ac:dyDescent="0.25">
      <c r="A89" s="229"/>
      <c r="B89" s="229"/>
      <c r="C89" s="220"/>
      <c r="D89" s="220"/>
      <c r="E89" s="242"/>
      <c r="F89" s="254"/>
      <c r="G89" s="254"/>
      <c r="H89" s="254"/>
      <c r="I89" s="254"/>
      <c r="J89" s="254"/>
      <c r="K89" s="220"/>
      <c r="L89" s="254"/>
      <c r="M89" s="254"/>
      <c r="N89" s="255"/>
      <c r="O89" s="255"/>
      <c r="P89" s="219"/>
      <c r="Q89" s="220"/>
      <c r="R89" s="244"/>
      <c r="S89" s="220"/>
      <c r="T89" s="220"/>
      <c r="U89" s="220"/>
      <c r="V89" s="244"/>
      <c r="W89" s="244"/>
      <c r="X89" s="220"/>
      <c r="Y89" s="220"/>
      <c r="Z89" s="220"/>
      <c r="AA89" s="244"/>
      <c r="AB89" s="244"/>
      <c r="AC89" s="244"/>
      <c r="AD89" s="244"/>
      <c r="AE89" s="220"/>
      <c r="AF89" s="220"/>
      <c r="AG89" s="220"/>
      <c r="AH89" s="220"/>
      <c r="AI89" s="220"/>
      <c r="AJ89" s="244"/>
      <c r="AK89" s="254"/>
      <c r="AL89" s="250"/>
      <c r="AM89" s="244"/>
      <c r="AN89" s="244"/>
      <c r="AO89" s="220"/>
      <c r="AP89" s="244"/>
      <c r="AQ89" s="220"/>
      <c r="AR89" s="220"/>
      <c r="AS89" s="220"/>
      <c r="AT89" s="220"/>
      <c r="AU89" s="220"/>
      <c r="AV89" s="220"/>
      <c r="AW89" s="220"/>
      <c r="AX89" s="220"/>
      <c r="AY89" s="220"/>
      <c r="AZ89" s="220"/>
      <c r="BA89" s="220"/>
      <c r="BB89" s="220"/>
      <c r="BC89" s="220"/>
      <c r="BD89" s="220"/>
      <c r="BE89" s="220"/>
      <c r="BF89" s="220"/>
      <c r="BG89" s="220"/>
      <c r="BH89" s="220"/>
      <c r="BI89" s="220"/>
      <c r="BJ89" s="220"/>
      <c r="BK89" s="220"/>
      <c r="BL89" s="220"/>
      <c r="BM89" s="220"/>
      <c r="BN89" s="220"/>
      <c r="BO89" s="242"/>
      <c r="BP89" s="242"/>
      <c r="BQ89" s="242"/>
    </row>
    <row r="90" spans="1:69" ht="12.75" customHeight="1" x14ac:dyDescent="0.25">
      <c r="A90" s="229"/>
      <c r="B90" s="229"/>
      <c r="C90" s="220"/>
      <c r="D90" s="220"/>
      <c r="E90" s="242"/>
      <c r="F90" s="254"/>
      <c r="G90" s="254"/>
      <c r="H90" s="254"/>
      <c r="I90" s="254"/>
      <c r="J90" s="254"/>
      <c r="K90" s="220"/>
      <c r="L90" s="254"/>
      <c r="M90" s="254"/>
      <c r="N90" s="255"/>
      <c r="O90" s="255"/>
      <c r="P90" s="219"/>
      <c r="Q90" s="220"/>
      <c r="R90" s="244"/>
      <c r="S90" s="220"/>
      <c r="T90" s="220"/>
      <c r="U90" s="220"/>
      <c r="V90" s="244"/>
      <c r="W90" s="244"/>
      <c r="X90" s="220"/>
      <c r="Y90" s="220"/>
      <c r="Z90" s="220"/>
      <c r="AA90" s="244"/>
      <c r="AB90" s="244"/>
      <c r="AC90" s="244"/>
      <c r="AD90" s="244"/>
      <c r="AE90" s="220"/>
      <c r="AF90" s="220"/>
      <c r="AG90" s="220"/>
      <c r="AH90" s="220"/>
      <c r="AI90" s="220"/>
      <c r="AJ90" s="244"/>
      <c r="AK90" s="254"/>
      <c r="AL90" s="250"/>
      <c r="AM90" s="244"/>
      <c r="AN90" s="244"/>
      <c r="AO90" s="220"/>
      <c r="AP90" s="244"/>
      <c r="AQ90" s="220"/>
      <c r="AR90" s="220"/>
      <c r="AS90" s="220"/>
      <c r="AT90" s="220"/>
      <c r="AU90" s="220"/>
      <c r="AV90" s="220"/>
      <c r="AW90" s="220"/>
      <c r="AX90" s="220"/>
      <c r="AY90" s="220"/>
      <c r="AZ90" s="220"/>
      <c r="BA90" s="220"/>
      <c r="BB90" s="220"/>
      <c r="BC90" s="220"/>
      <c r="BD90" s="220"/>
      <c r="BE90" s="220"/>
      <c r="BF90" s="220"/>
      <c r="BG90" s="220"/>
      <c r="BH90" s="220"/>
      <c r="BI90" s="220"/>
      <c r="BJ90" s="220"/>
      <c r="BK90" s="220"/>
      <c r="BL90" s="220"/>
      <c r="BM90" s="220"/>
      <c r="BN90" s="220"/>
      <c r="BO90" s="242"/>
      <c r="BP90" s="242"/>
      <c r="BQ90" s="242"/>
    </row>
    <row r="91" spans="1:69" ht="12.75" customHeight="1" x14ac:dyDescent="0.25">
      <c r="A91" s="229"/>
      <c r="B91" s="229"/>
      <c r="C91" s="220"/>
      <c r="D91" s="220"/>
      <c r="E91" s="242"/>
      <c r="F91" s="254"/>
      <c r="G91" s="254"/>
      <c r="H91" s="254"/>
      <c r="I91" s="254"/>
      <c r="J91" s="254"/>
      <c r="K91" s="220"/>
      <c r="L91" s="254"/>
      <c r="M91" s="254"/>
      <c r="N91" s="255"/>
      <c r="O91" s="255"/>
      <c r="P91" s="219"/>
      <c r="Q91" s="220"/>
      <c r="R91" s="244"/>
      <c r="S91" s="220"/>
      <c r="T91" s="220"/>
      <c r="U91" s="220"/>
      <c r="V91" s="244"/>
      <c r="W91" s="244"/>
      <c r="X91" s="220"/>
      <c r="Y91" s="220"/>
      <c r="Z91" s="220"/>
      <c r="AA91" s="244"/>
      <c r="AB91" s="244"/>
      <c r="AC91" s="244"/>
      <c r="AD91" s="244"/>
      <c r="AE91" s="220"/>
      <c r="AF91" s="220"/>
      <c r="AG91" s="220"/>
      <c r="AH91" s="220"/>
      <c r="AI91" s="220"/>
      <c r="AJ91" s="244"/>
      <c r="AK91" s="254"/>
      <c r="AL91" s="250"/>
      <c r="AM91" s="244"/>
      <c r="AN91" s="244"/>
      <c r="AO91" s="220"/>
      <c r="AP91" s="244"/>
      <c r="AQ91" s="220"/>
      <c r="AR91" s="220"/>
      <c r="AS91" s="220"/>
      <c r="AT91" s="220"/>
      <c r="AU91" s="220"/>
      <c r="AV91" s="220"/>
      <c r="AW91" s="220"/>
      <c r="AX91" s="220"/>
      <c r="AY91" s="220"/>
      <c r="AZ91" s="220"/>
      <c r="BA91" s="220"/>
      <c r="BB91" s="220"/>
      <c r="BC91" s="220"/>
      <c r="BD91" s="220"/>
      <c r="BE91" s="220"/>
      <c r="BF91" s="220"/>
      <c r="BG91" s="220"/>
      <c r="BH91" s="220"/>
      <c r="BI91" s="220"/>
      <c r="BJ91" s="220"/>
      <c r="BK91" s="220"/>
      <c r="BL91" s="220"/>
      <c r="BM91" s="220"/>
      <c r="BN91" s="220"/>
      <c r="BO91" s="242"/>
      <c r="BP91" s="242"/>
      <c r="BQ91" s="242"/>
    </row>
    <row r="92" spans="1:69" ht="12.75" customHeight="1" x14ac:dyDescent="0.25">
      <c r="A92" s="229"/>
      <c r="B92" s="229"/>
      <c r="C92" s="220"/>
      <c r="D92" s="220"/>
      <c r="E92" s="242"/>
      <c r="F92" s="254"/>
      <c r="G92" s="254"/>
      <c r="H92" s="254"/>
      <c r="I92" s="254"/>
      <c r="J92" s="254"/>
      <c r="K92" s="220"/>
      <c r="L92" s="254"/>
      <c r="M92" s="254"/>
      <c r="N92" s="255"/>
      <c r="O92" s="255"/>
      <c r="P92" s="219"/>
      <c r="Q92" s="220"/>
      <c r="R92" s="244"/>
      <c r="S92" s="220"/>
      <c r="T92" s="220"/>
      <c r="U92" s="220"/>
      <c r="V92" s="244"/>
      <c r="W92" s="244"/>
      <c r="X92" s="220"/>
      <c r="Y92" s="220"/>
      <c r="Z92" s="220"/>
      <c r="AA92" s="244"/>
      <c r="AB92" s="244"/>
      <c r="AC92" s="244"/>
      <c r="AD92" s="244"/>
      <c r="AE92" s="220"/>
      <c r="AF92" s="220"/>
      <c r="AG92" s="220"/>
      <c r="AH92" s="220"/>
      <c r="AI92" s="220"/>
      <c r="AJ92" s="244"/>
      <c r="AK92" s="254"/>
      <c r="AL92" s="250"/>
      <c r="AM92" s="244"/>
      <c r="AN92" s="244"/>
      <c r="AO92" s="220"/>
      <c r="AP92" s="244"/>
      <c r="AQ92" s="220"/>
      <c r="AR92" s="220"/>
      <c r="AS92" s="220"/>
      <c r="AT92" s="220"/>
      <c r="AU92" s="220"/>
      <c r="AV92" s="220"/>
      <c r="AW92" s="220"/>
      <c r="AX92" s="220"/>
      <c r="AY92" s="220"/>
      <c r="AZ92" s="220"/>
      <c r="BA92" s="220"/>
      <c r="BB92" s="220"/>
      <c r="BC92" s="220"/>
      <c r="BD92" s="220"/>
      <c r="BE92" s="220"/>
      <c r="BF92" s="220"/>
      <c r="BG92" s="220"/>
      <c r="BH92" s="220"/>
      <c r="BI92" s="220"/>
      <c r="BJ92" s="220"/>
      <c r="BK92" s="220"/>
      <c r="BL92" s="220"/>
      <c r="BM92" s="220"/>
      <c r="BN92" s="220"/>
      <c r="BO92" s="242"/>
      <c r="BP92" s="242"/>
      <c r="BQ92" s="242"/>
    </row>
    <row r="93" spans="1:69" ht="12.75" customHeight="1" x14ac:dyDescent="0.25">
      <c r="A93" s="229"/>
      <c r="B93" s="229"/>
      <c r="C93" s="220"/>
      <c r="D93" s="220"/>
      <c r="E93" s="242"/>
      <c r="F93" s="254"/>
      <c r="G93" s="254"/>
      <c r="H93" s="254"/>
      <c r="I93" s="254"/>
      <c r="J93" s="254"/>
      <c r="K93" s="220"/>
      <c r="L93" s="254"/>
      <c r="M93" s="254"/>
      <c r="N93" s="255"/>
      <c r="O93" s="255"/>
      <c r="P93" s="219"/>
      <c r="Q93" s="220"/>
      <c r="R93" s="244"/>
      <c r="S93" s="220"/>
      <c r="T93" s="220"/>
      <c r="U93" s="220"/>
      <c r="V93" s="244"/>
      <c r="W93" s="244"/>
      <c r="X93" s="220"/>
      <c r="Y93" s="220"/>
      <c r="Z93" s="220"/>
      <c r="AA93" s="244"/>
      <c r="AB93" s="244"/>
      <c r="AC93" s="244"/>
      <c r="AD93" s="244"/>
      <c r="AE93" s="220"/>
      <c r="AF93" s="220"/>
      <c r="AG93" s="220"/>
      <c r="AH93" s="220"/>
      <c r="AI93" s="220"/>
      <c r="AJ93" s="244"/>
      <c r="AK93" s="254"/>
      <c r="AL93" s="250"/>
      <c r="AM93" s="244"/>
      <c r="AN93" s="244"/>
      <c r="AO93" s="220"/>
      <c r="AP93" s="244"/>
      <c r="AQ93" s="220"/>
      <c r="AR93" s="220"/>
      <c r="AS93" s="220"/>
      <c r="AT93" s="220"/>
      <c r="AU93" s="220"/>
      <c r="AV93" s="220"/>
      <c r="AW93" s="220"/>
      <c r="AX93" s="220"/>
      <c r="AY93" s="220"/>
      <c r="AZ93" s="220"/>
      <c r="BA93" s="220"/>
      <c r="BB93" s="220"/>
      <c r="BC93" s="220"/>
      <c r="BD93" s="220"/>
      <c r="BE93" s="220"/>
      <c r="BF93" s="220"/>
      <c r="BG93" s="220"/>
      <c r="BH93" s="220"/>
      <c r="BI93" s="220"/>
      <c r="BJ93" s="220"/>
      <c r="BK93" s="220"/>
      <c r="BL93" s="220"/>
      <c r="BM93" s="220"/>
      <c r="BN93" s="220"/>
      <c r="BO93" s="242"/>
      <c r="BP93" s="242"/>
      <c r="BQ93" s="242"/>
    </row>
    <row r="94" spans="1:69" ht="12.75" customHeight="1" x14ac:dyDescent="0.25">
      <c r="A94" s="229"/>
      <c r="B94" s="229"/>
      <c r="C94" s="220"/>
      <c r="D94" s="220"/>
      <c r="E94" s="242"/>
      <c r="F94" s="254"/>
      <c r="G94" s="254"/>
      <c r="H94" s="254"/>
      <c r="I94" s="254"/>
      <c r="J94" s="254"/>
      <c r="K94" s="220"/>
      <c r="L94" s="254"/>
      <c r="M94" s="254"/>
      <c r="N94" s="255"/>
      <c r="O94" s="255"/>
      <c r="P94" s="219"/>
      <c r="Q94" s="220"/>
      <c r="R94" s="244"/>
      <c r="S94" s="220"/>
      <c r="T94" s="220"/>
      <c r="U94" s="220"/>
      <c r="V94" s="244"/>
      <c r="W94" s="244"/>
      <c r="X94" s="220"/>
      <c r="Y94" s="220"/>
      <c r="Z94" s="220"/>
      <c r="AA94" s="244"/>
      <c r="AB94" s="244"/>
      <c r="AC94" s="244"/>
      <c r="AD94" s="244"/>
      <c r="AE94" s="220"/>
      <c r="AF94" s="220"/>
      <c r="AG94" s="220"/>
      <c r="AH94" s="220"/>
      <c r="AI94" s="220"/>
      <c r="AJ94" s="244"/>
      <c r="AK94" s="254"/>
      <c r="AL94" s="250"/>
      <c r="AM94" s="244"/>
      <c r="AN94" s="244"/>
      <c r="AO94" s="220"/>
      <c r="AP94" s="244"/>
      <c r="AQ94" s="220"/>
      <c r="AR94" s="220"/>
      <c r="AS94" s="220"/>
      <c r="AT94" s="220"/>
      <c r="AU94" s="220"/>
      <c r="AV94" s="220"/>
      <c r="AW94" s="220"/>
      <c r="AX94" s="220"/>
      <c r="AY94" s="220"/>
      <c r="AZ94" s="220"/>
      <c r="BA94" s="220"/>
      <c r="BB94" s="220"/>
      <c r="BC94" s="220"/>
      <c r="BD94" s="220"/>
      <c r="BE94" s="220"/>
      <c r="BF94" s="220"/>
      <c r="BG94" s="220"/>
      <c r="BH94" s="220"/>
      <c r="BI94" s="220"/>
      <c r="BJ94" s="220"/>
      <c r="BK94" s="220"/>
      <c r="BL94" s="220"/>
      <c r="BM94" s="220"/>
      <c r="BN94" s="220"/>
      <c r="BO94" s="242"/>
      <c r="BP94" s="242"/>
      <c r="BQ94" s="242"/>
    </row>
    <row r="95" spans="1:69" ht="12.75" customHeight="1" x14ac:dyDescent="0.25">
      <c r="A95" s="229"/>
      <c r="B95" s="229"/>
      <c r="C95" s="220"/>
      <c r="D95" s="220"/>
      <c r="E95" s="242"/>
      <c r="F95" s="254"/>
      <c r="G95" s="254"/>
      <c r="H95" s="254"/>
      <c r="I95" s="254"/>
      <c r="J95" s="254"/>
      <c r="K95" s="220"/>
      <c r="L95" s="254"/>
      <c r="M95" s="254"/>
      <c r="N95" s="255"/>
      <c r="O95" s="255"/>
      <c r="P95" s="219"/>
      <c r="Q95" s="220"/>
      <c r="R95" s="244"/>
      <c r="S95" s="220"/>
      <c r="T95" s="220"/>
      <c r="U95" s="220"/>
      <c r="V95" s="244"/>
      <c r="W95" s="244"/>
      <c r="X95" s="220"/>
      <c r="Y95" s="220"/>
      <c r="Z95" s="220"/>
      <c r="AA95" s="244"/>
      <c r="AB95" s="244"/>
      <c r="AC95" s="244"/>
      <c r="AD95" s="244"/>
      <c r="AE95" s="220"/>
      <c r="AF95" s="220"/>
      <c r="AG95" s="220"/>
      <c r="AH95" s="220"/>
      <c r="AI95" s="220"/>
      <c r="AJ95" s="244"/>
      <c r="AK95" s="254"/>
      <c r="AL95" s="250"/>
      <c r="AM95" s="244"/>
      <c r="AN95" s="244"/>
      <c r="AO95" s="220"/>
      <c r="AP95" s="244"/>
      <c r="AQ95" s="220"/>
      <c r="AR95" s="220"/>
      <c r="AS95" s="220"/>
      <c r="AT95" s="220"/>
      <c r="AU95" s="220"/>
      <c r="AV95" s="220"/>
      <c r="AW95" s="220"/>
      <c r="AX95" s="220"/>
      <c r="AY95" s="220"/>
      <c r="AZ95" s="220"/>
      <c r="BA95" s="220"/>
      <c r="BB95" s="220"/>
      <c r="BC95" s="220"/>
      <c r="BD95" s="220"/>
      <c r="BE95" s="220"/>
      <c r="BF95" s="220"/>
      <c r="BG95" s="220"/>
      <c r="BH95" s="220"/>
      <c r="BI95" s="220"/>
      <c r="BJ95" s="220"/>
      <c r="BK95" s="220"/>
      <c r="BL95" s="220"/>
      <c r="BM95" s="220"/>
      <c r="BN95" s="220"/>
      <c r="BO95" s="242"/>
      <c r="BP95" s="242"/>
      <c r="BQ95" s="242"/>
    </row>
    <row r="96" spans="1:69" ht="12.75" customHeight="1" x14ac:dyDescent="0.25">
      <c r="A96" s="229"/>
      <c r="B96" s="229"/>
      <c r="C96" s="220"/>
      <c r="D96" s="220"/>
      <c r="E96" s="242"/>
      <c r="F96" s="254"/>
      <c r="G96" s="254"/>
      <c r="H96" s="254"/>
      <c r="I96" s="254"/>
      <c r="J96" s="254"/>
      <c r="K96" s="220"/>
      <c r="L96" s="254"/>
      <c r="M96" s="254"/>
      <c r="N96" s="255"/>
      <c r="O96" s="255"/>
      <c r="P96" s="219"/>
      <c r="Q96" s="220"/>
      <c r="R96" s="244"/>
      <c r="S96" s="220"/>
      <c r="T96" s="220"/>
      <c r="U96" s="220"/>
      <c r="V96" s="244"/>
      <c r="W96" s="244"/>
      <c r="X96" s="220"/>
      <c r="Y96" s="220"/>
      <c r="Z96" s="220"/>
      <c r="AA96" s="244"/>
      <c r="AB96" s="244"/>
      <c r="AC96" s="244"/>
      <c r="AD96" s="244"/>
      <c r="AE96" s="220"/>
      <c r="AF96" s="220"/>
      <c r="AG96" s="220"/>
      <c r="AH96" s="220"/>
      <c r="AI96" s="220"/>
      <c r="AJ96" s="244"/>
      <c r="AK96" s="254"/>
      <c r="AL96" s="250"/>
      <c r="AM96" s="244"/>
      <c r="AN96" s="244"/>
      <c r="AO96" s="220"/>
      <c r="AP96" s="244"/>
      <c r="AQ96" s="220"/>
      <c r="AR96" s="220"/>
      <c r="AS96" s="220"/>
      <c r="AT96" s="220"/>
      <c r="AU96" s="220"/>
      <c r="AV96" s="220"/>
      <c r="AW96" s="220"/>
      <c r="AX96" s="220"/>
      <c r="AY96" s="220"/>
      <c r="AZ96" s="220"/>
      <c r="BA96" s="220"/>
      <c r="BB96" s="220"/>
      <c r="BC96" s="220"/>
      <c r="BD96" s="220"/>
      <c r="BE96" s="220"/>
      <c r="BF96" s="220"/>
      <c r="BG96" s="220"/>
      <c r="BH96" s="220"/>
      <c r="BI96" s="220"/>
      <c r="BJ96" s="220"/>
      <c r="BK96" s="220"/>
      <c r="BL96" s="220"/>
      <c r="BM96" s="220"/>
      <c r="BN96" s="220"/>
      <c r="BO96" s="242"/>
      <c r="BP96" s="242"/>
      <c r="BQ96" s="242"/>
    </row>
    <row r="97" spans="1:69" ht="12.75" customHeight="1" x14ac:dyDescent="0.25">
      <c r="A97" s="229"/>
      <c r="B97" s="229"/>
      <c r="C97" s="220"/>
      <c r="D97" s="220"/>
      <c r="E97" s="242"/>
      <c r="F97" s="254"/>
      <c r="G97" s="254"/>
      <c r="H97" s="254"/>
      <c r="I97" s="254"/>
      <c r="J97" s="254"/>
      <c r="K97" s="220"/>
      <c r="L97" s="254"/>
      <c r="M97" s="254"/>
      <c r="N97" s="255"/>
      <c r="O97" s="255"/>
      <c r="P97" s="219"/>
      <c r="Q97" s="220"/>
      <c r="R97" s="244"/>
      <c r="S97" s="220"/>
      <c r="T97" s="220"/>
      <c r="U97" s="220"/>
      <c r="V97" s="244"/>
      <c r="W97" s="244"/>
      <c r="X97" s="220"/>
      <c r="Y97" s="220"/>
      <c r="Z97" s="220"/>
      <c r="AA97" s="244"/>
      <c r="AB97" s="244"/>
      <c r="AC97" s="244"/>
      <c r="AD97" s="244"/>
      <c r="AE97" s="220"/>
      <c r="AF97" s="220"/>
      <c r="AG97" s="220"/>
      <c r="AH97" s="220"/>
      <c r="AI97" s="220"/>
      <c r="AJ97" s="244"/>
      <c r="AK97" s="254"/>
      <c r="AL97" s="250"/>
      <c r="AM97" s="244"/>
      <c r="AN97" s="244"/>
      <c r="AO97" s="220"/>
      <c r="AP97" s="244"/>
      <c r="AQ97" s="220"/>
      <c r="AR97" s="220"/>
      <c r="AS97" s="220"/>
      <c r="AT97" s="220"/>
      <c r="AU97" s="220"/>
      <c r="AV97" s="220"/>
      <c r="AW97" s="220"/>
      <c r="AX97" s="220"/>
      <c r="AY97" s="220"/>
      <c r="AZ97" s="220"/>
      <c r="BA97" s="220"/>
      <c r="BB97" s="220"/>
      <c r="BC97" s="220"/>
      <c r="BD97" s="220"/>
      <c r="BE97" s="220"/>
      <c r="BF97" s="220"/>
      <c r="BG97" s="220"/>
      <c r="BH97" s="220"/>
      <c r="BI97" s="220"/>
      <c r="BJ97" s="220"/>
      <c r="BK97" s="220"/>
      <c r="BL97" s="220"/>
      <c r="BM97" s="220"/>
      <c r="BN97" s="220"/>
      <c r="BO97" s="242"/>
      <c r="BP97" s="242"/>
      <c r="BQ97" s="242"/>
    </row>
    <row r="98" spans="1:69" ht="12.75" customHeight="1" x14ac:dyDescent="0.25">
      <c r="A98" s="229"/>
      <c r="B98" s="229"/>
      <c r="C98" s="220"/>
      <c r="D98" s="220"/>
      <c r="E98" s="242"/>
      <c r="F98" s="254"/>
      <c r="G98" s="254"/>
      <c r="H98" s="254"/>
      <c r="I98" s="254"/>
      <c r="J98" s="254"/>
      <c r="K98" s="220"/>
      <c r="L98" s="254"/>
      <c r="M98" s="254"/>
      <c r="N98" s="255"/>
      <c r="O98" s="255"/>
      <c r="P98" s="219"/>
      <c r="Q98" s="220"/>
      <c r="R98" s="244"/>
      <c r="S98" s="220"/>
      <c r="T98" s="220"/>
      <c r="U98" s="220"/>
      <c r="V98" s="244"/>
      <c r="W98" s="244"/>
      <c r="X98" s="220"/>
      <c r="Y98" s="220"/>
      <c r="Z98" s="220"/>
      <c r="AA98" s="244"/>
      <c r="AB98" s="244"/>
      <c r="AC98" s="244"/>
      <c r="AD98" s="244"/>
      <c r="AE98" s="220"/>
      <c r="AF98" s="220"/>
      <c r="AG98" s="220"/>
      <c r="AH98" s="220"/>
      <c r="AI98" s="220"/>
      <c r="AJ98" s="244"/>
      <c r="AK98" s="254"/>
      <c r="AL98" s="250"/>
      <c r="AM98" s="244"/>
      <c r="AN98" s="244"/>
      <c r="AO98" s="220"/>
      <c r="AP98" s="244"/>
      <c r="AQ98" s="220"/>
      <c r="AR98" s="220"/>
      <c r="AS98" s="220"/>
      <c r="AT98" s="220"/>
      <c r="AU98" s="220"/>
      <c r="AV98" s="220"/>
      <c r="AW98" s="220"/>
      <c r="AX98" s="220"/>
      <c r="AY98" s="220"/>
      <c r="AZ98" s="220"/>
      <c r="BA98" s="220"/>
      <c r="BB98" s="220"/>
      <c r="BC98" s="220"/>
      <c r="BD98" s="220"/>
      <c r="BE98" s="220"/>
      <c r="BF98" s="220"/>
      <c r="BG98" s="220"/>
      <c r="BH98" s="220"/>
      <c r="BI98" s="220"/>
      <c r="BJ98" s="220"/>
      <c r="BK98" s="220"/>
      <c r="BL98" s="220"/>
      <c r="BM98" s="220"/>
      <c r="BN98" s="220"/>
      <c r="BO98" s="242"/>
      <c r="BP98" s="242"/>
      <c r="BQ98" s="242"/>
    </row>
    <row r="99" spans="1:69" ht="12.75" customHeight="1" x14ac:dyDescent="0.25">
      <c r="A99" s="229"/>
      <c r="B99" s="229"/>
      <c r="C99" s="220"/>
      <c r="D99" s="220"/>
      <c r="E99" s="242"/>
      <c r="F99" s="254"/>
      <c r="G99" s="254"/>
      <c r="H99" s="254"/>
      <c r="I99" s="254"/>
      <c r="J99" s="254"/>
      <c r="K99" s="220"/>
      <c r="L99" s="254"/>
      <c r="M99" s="254"/>
      <c r="N99" s="255"/>
      <c r="O99" s="255"/>
      <c r="P99" s="219"/>
      <c r="Q99" s="220"/>
      <c r="R99" s="244"/>
      <c r="S99" s="220"/>
      <c r="T99" s="220"/>
      <c r="U99" s="220"/>
      <c r="V99" s="244"/>
      <c r="W99" s="244"/>
      <c r="X99" s="220"/>
      <c r="Y99" s="220"/>
      <c r="Z99" s="220"/>
      <c r="AA99" s="244"/>
      <c r="AB99" s="244"/>
      <c r="AC99" s="244"/>
      <c r="AD99" s="244"/>
      <c r="AE99" s="220"/>
      <c r="AF99" s="220"/>
      <c r="AG99" s="220"/>
      <c r="AH99" s="220"/>
      <c r="AI99" s="220"/>
      <c r="AJ99" s="244"/>
      <c r="AK99" s="254"/>
      <c r="AL99" s="250"/>
      <c r="AM99" s="244"/>
      <c r="AN99" s="244"/>
      <c r="AO99" s="220"/>
      <c r="AP99" s="244"/>
      <c r="AQ99" s="220"/>
      <c r="AR99" s="220"/>
      <c r="AS99" s="220"/>
      <c r="AT99" s="220"/>
      <c r="AU99" s="220"/>
      <c r="AV99" s="220"/>
      <c r="AW99" s="220"/>
      <c r="AX99" s="220"/>
      <c r="AY99" s="220"/>
      <c r="AZ99" s="220"/>
      <c r="BA99" s="220"/>
      <c r="BB99" s="220"/>
      <c r="BC99" s="220"/>
      <c r="BD99" s="220"/>
      <c r="BE99" s="220"/>
      <c r="BF99" s="220"/>
      <c r="BG99" s="220"/>
      <c r="BH99" s="220"/>
      <c r="BI99" s="220"/>
      <c r="BJ99" s="220"/>
      <c r="BK99" s="220"/>
      <c r="BL99" s="220"/>
      <c r="BM99" s="220"/>
      <c r="BN99" s="220"/>
      <c r="BO99" s="242"/>
      <c r="BP99" s="242"/>
      <c r="BQ99" s="242"/>
    </row>
    <row r="100" spans="1:69" ht="12.75" customHeight="1" x14ac:dyDescent="0.25">
      <c r="A100" s="229"/>
      <c r="B100" s="229"/>
      <c r="C100" s="220"/>
      <c r="D100" s="220"/>
      <c r="E100" s="242"/>
      <c r="F100" s="254"/>
      <c r="G100" s="254"/>
      <c r="H100" s="254"/>
      <c r="I100" s="254"/>
      <c r="J100" s="254"/>
      <c r="K100" s="220"/>
      <c r="L100" s="254"/>
      <c r="M100" s="254"/>
      <c r="N100" s="255"/>
      <c r="O100" s="255"/>
      <c r="P100" s="219"/>
      <c r="Q100" s="220"/>
      <c r="R100" s="244"/>
      <c r="S100" s="220"/>
      <c r="T100" s="220"/>
      <c r="U100" s="220"/>
      <c r="V100" s="244"/>
      <c r="W100" s="244"/>
      <c r="X100" s="220"/>
      <c r="Y100" s="220"/>
      <c r="Z100" s="220"/>
      <c r="AA100" s="244"/>
      <c r="AB100" s="244"/>
      <c r="AC100" s="244"/>
      <c r="AD100" s="244"/>
      <c r="AE100" s="220"/>
      <c r="AF100" s="220"/>
      <c r="AG100" s="220"/>
      <c r="AH100" s="220"/>
      <c r="AI100" s="220"/>
      <c r="AJ100" s="244"/>
      <c r="AK100" s="254"/>
      <c r="AL100" s="250"/>
      <c r="AM100" s="244"/>
      <c r="AN100" s="244"/>
      <c r="AO100" s="220"/>
      <c r="AP100" s="244"/>
      <c r="AQ100" s="220"/>
      <c r="AR100" s="220"/>
      <c r="AS100" s="220"/>
      <c r="AT100" s="220"/>
      <c r="AU100" s="220"/>
      <c r="AV100" s="220"/>
      <c r="AW100" s="220"/>
      <c r="AX100" s="220"/>
      <c r="AY100" s="220"/>
      <c r="AZ100" s="220"/>
      <c r="BA100" s="220"/>
      <c r="BB100" s="220"/>
      <c r="BC100" s="220"/>
      <c r="BD100" s="220"/>
      <c r="BE100" s="220"/>
      <c r="BF100" s="220"/>
      <c r="BG100" s="220"/>
      <c r="BH100" s="220"/>
      <c r="BI100" s="220"/>
      <c r="BJ100" s="220"/>
      <c r="BK100" s="220"/>
      <c r="BL100" s="220"/>
      <c r="BM100" s="220"/>
      <c r="BN100" s="220"/>
      <c r="BO100" s="242"/>
      <c r="BP100" s="242"/>
      <c r="BQ100" s="242"/>
    </row>
    <row r="101" spans="1:69" ht="12.75" customHeight="1" x14ac:dyDescent="0.25">
      <c r="A101" s="229"/>
      <c r="B101" s="229"/>
      <c r="C101" s="220"/>
      <c r="D101" s="220"/>
      <c r="E101" s="242"/>
      <c r="F101" s="254"/>
      <c r="G101" s="254"/>
      <c r="H101" s="254"/>
      <c r="I101" s="254"/>
      <c r="J101" s="254"/>
      <c r="K101" s="220"/>
      <c r="L101" s="254"/>
      <c r="M101" s="254"/>
      <c r="N101" s="255"/>
      <c r="O101" s="255"/>
      <c r="P101" s="219"/>
      <c r="Q101" s="220"/>
      <c r="R101" s="244"/>
      <c r="S101" s="220"/>
      <c r="T101" s="220"/>
      <c r="U101" s="220"/>
      <c r="V101" s="244"/>
      <c r="W101" s="244"/>
      <c r="X101" s="220"/>
      <c r="Y101" s="220"/>
      <c r="Z101" s="220"/>
      <c r="AA101" s="244"/>
      <c r="AB101" s="244"/>
      <c r="AC101" s="244"/>
      <c r="AD101" s="244"/>
      <c r="AE101" s="220"/>
      <c r="AF101" s="220"/>
      <c r="AG101" s="220"/>
      <c r="AH101" s="220"/>
      <c r="AI101" s="220"/>
      <c r="AJ101" s="244"/>
      <c r="AK101" s="254"/>
      <c r="AL101" s="250"/>
      <c r="AM101" s="244"/>
      <c r="AN101" s="244"/>
      <c r="AO101" s="220"/>
      <c r="AP101" s="244"/>
      <c r="AQ101" s="220"/>
      <c r="AR101" s="220"/>
      <c r="AS101" s="220"/>
      <c r="AT101" s="220"/>
      <c r="AU101" s="220"/>
      <c r="AV101" s="220"/>
      <c r="AW101" s="220"/>
      <c r="AX101" s="220"/>
      <c r="AY101" s="220"/>
      <c r="AZ101" s="220"/>
      <c r="BA101" s="220"/>
      <c r="BB101" s="220"/>
      <c r="BC101" s="220"/>
      <c r="BD101" s="220"/>
      <c r="BE101" s="220"/>
      <c r="BF101" s="220"/>
      <c r="BG101" s="220"/>
      <c r="BH101" s="220"/>
      <c r="BI101" s="220"/>
      <c r="BJ101" s="220"/>
      <c r="BK101" s="220"/>
      <c r="BL101" s="220"/>
      <c r="BM101" s="220"/>
      <c r="BN101" s="220"/>
      <c r="BO101" s="242"/>
      <c r="BP101" s="242"/>
      <c r="BQ101" s="242"/>
    </row>
    <row r="102" spans="1:69" ht="12.75" customHeight="1" x14ac:dyDescent="0.25">
      <c r="A102" s="229"/>
      <c r="B102" s="229"/>
      <c r="C102" s="220"/>
      <c r="D102" s="220"/>
      <c r="E102" s="242"/>
      <c r="F102" s="254"/>
      <c r="G102" s="254"/>
      <c r="H102" s="254"/>
      <c r="I102" s="254"/>
      <c r="J102" s="254"/>
      <c r="K102" s="220"/>
      <c r="L102" s="254"/>
      <c r="M102" s="254"/>
      <c r="N102" s="255"/>
      <c r="O102" s="255"/>
      <c r="P102" s="219"/>
      <c r="Q102" s="220"/>
      <c r="R102" s="244"/>
      <c r="S102" s="220"/>
      <c r="T102" s="220"/>
      <c r="U102" s="220"/>
      <c r="V102" s="244"/>
      <c r="W102" s="244"/>
      <c r="X102" s="220"/>
      <c r="Y102" s="220"/>
      <c r="Z102" s="220"/>
      <c r="AA102" s="244"/>
      <c r="AB102" s="244"/>
      <c r="AC102" s="244"/>
      <c r="AD102" s="244"/>
      <c r="AE102" s="220"/>
      <c r="AF102" s="220"/>
      <c r="AG102" s="220"/>
      <c r="AH102" s="220"/>
      <c r="AI102" s="220"/>
      <c r="AJ102" s="244"/>
      <c r="AK102" s="254"/>
      <c r="AL102" s="250"/>
      <c r="AM102" s="244"/>
      <c r="AN102" s="244"/>
      <c r="AO102" s="220"/>
      <c r="AP102" s="244"/>
      <c r="AQ102" s="220"/>
      <c r="AR102" s="220"/>
      <c r="AS102" s="220"/>
      <c r="AT102" s="220"/>
      <c r="AU102" s="220"/>
      <c r="AV102" s="220"/>
      <c r="AW102" s="220"/>
      <c r="AX102" s="220"/>
      <c r="AY102" s="220"/>
      <c r="AZ102" s="220"/>
      <c r="BA102" s="220"/>
      <c r="BB102" s="220"/>
      <c r="BC102" s="220"/>
      <c r="BD102" s="220"/>
      <c r="BE102" s="220"/>
      <c r="BF102" s="220"/>
      <c r="BG102" s="220"/>
      <c r="BH102" s="220"/>
      <c r="BI102" s="220"/>
      <c r="BJ102" s="220"/>
      <c r="BK102" s="220"/>
      <c r="BL102" s="220"/>
      <c r="BM102" s="220"/>
      <c r="BN102" s="220"/>
      <c r="BO102" s="242"/>
      <c r="BP102" s="242"/>
      <c r="BQ102" s="242"/>
    </row>
    <row r="103" spans="1:69" ht="12.75" customHeight="1" x14ac:dyDescent="0.25">
      <c r="A103" s="229"/>
      <c r="B103" s="229"/>
      <c r="C103" s="220"/>
      <c r="D103" s="220"/>
      <c r="E103" s="242"/>
      <c r="F103" s="254"/>
      <c r="G103" s="254"/>
      <c r="H103" s="254"/>
      <c r="I103" s="254"/>
      <c r="J103" s="254"/>
      <c r="K103" s="220"/>
      <c r="L103" s="254"/>
      <c r="M103" s="254"/>
      <c r="N103" s="255"/>
      <c r="O103" s="255"/>
      <c r="P103" s="219"/>
      <c r="Q103" s="220"/>
      <c r="R103" s="244"/>
      <c r="S103" s="220"/>
      <c r="T103" s="220"/>
      <c r="U103" s="220"/>
      <c r="V103" s="244"/>
      <c r="W103" s="244"/>
      <c r="X103" s="220"/>
      <c r="Y103" s="220"/>
      <c r="Z103" s="220"/>
      <c r="AA103" s="244"/>
      <c r="AB103" s="244"/>
      <c r="AC103" s="244"/>
      <c r="AD103" s="244"/>
      <c r="AE103" s="220"/>
      <c r="AF103" s="220"/>
      <c r="AG103" s="220"/>
      <c r="AH103" s="220"/>
      <c r="AI103" s="220"/>
      <c r="AJ103" s="244"/>
      <c r="AK103" s="254"/>
      <c r="AL103" s="250"/>
      <c r="AM103" s="244"/>
      <c r="AN103" s="244"/>
      <c r="AO103" s="220"/>
      <c r="AP103" s="244"/>
      <c r="AQ103" s="220"/>
      <c r="AR103" s="220"/>
      <c r="AS103" s="220"/>
      <c r="AT103" s="220"/>
      <c r="AU103" s="220"/>
      <c r="AV103" s="220"/>
      <c r="AW103" s="220"/>
      <c r="AX103" s="220"/>
      <c r="AY103" s="220"/>
      <c r="AZ103" s="220"/>
      <c r="BA103" s="220"/>
      <c r="BB103" s="220"/>
      <c r="BC103" s="220"/>
      <c r="BD103" s="220"/>
      <c r="BE103" s="220"/>
      <c r="BF103" s="220"/>
      <c r="BG103" s="220"/>
      <c r="BH103" s="220"/>
      <c r="BI103" s="220"/>
      <c r="BJ103" s="220"/>
      <c r="BK103" s="220"/>
      <c r="BL103" s="220"/>
      <c r="BM103" s="220"/>
      <c r="BN103" s="220"/>
      <c r="BO103" s="242"/>
      <c r="BP103" s="242"/>
      <c r="BQ103" s="242"/>
    </row>
    <row r="104" spans="1:69" ht="12.75" customHeight="1" x14ac:dyDescent="0.25">
      <c r="A104" s="229"/>
      <c r="B104" s="229"/>
      <c r="C104" s="220"/>
      <c r="D104" s="220"/>
      <c r="E104" s="242"/>
      <c r="F104" s="254"/>
      <c r="G104" s="254"/>
      <c r="H104" s="254"/>
      <c r="I104" s="254"/>
      <c r="J104" s="254"/>
      <c r="K104" s="220"/>
      <c r="L104" s="254"/>
      <c r="M104" s="254"/>
      <c r="N104" s="255"/>
      <c r="O104" s="255"/>
      <c r="P104" s="219"/>
      <c r="Q104" s="220"/>
      <c r="R104" s="244"/>
      <c r="S104" s="220"/>
      <c r="T104" s="220"/>
      <c r="U104" s="220"/>
      <c r="V104" s="244"/>
      <c r="W104" s="244"/>
      <c r="X104" s="220"/>
      <c r="Y104" s="220"/>
      <c r="Z104" s="220"/>
      <c r="AA104" s="244"/>
      <c r="AB104" s="244"/>
      <c r="AC104" s="244"/>
      <c r="AD104" s="244"/>
      <c r="AE104" s="220"/>
      <c r="AF104" s="220"/>
      <c r="AG104" s="220"/>
      <c r="AH104" s="220"/>
      <c r="AI104" s="220"/>
      <c r="AJ104" s="244"/>
      <c r="AK104" s="254"/>
      <c r="AL104" s="250"/>
      <c r="AM104" s="244"/>
      <c r="AN104" s="244"/>
      <c r="AO104" s="220"/>
      <c r="AP104" s="244"/>
      <c r="AQ104" s="220"/>
      <c r="AR104" s="220"/>
      <c r="AS104" s="220"/>
      <c r="AT104" s="220"/>
      <c r="AU104" s="220"/>
      <c r="AV104" s="220"/>
      <c r="AW104" s="220"/>
      <c r="AX104" s="220"/>
      <c r="AY104" s="220"/>
      <c r="AZ104" s="220"/>
      <c r="BA104" s="220"/>
      <c r="BB104" s="220"/>
      <c r="BC104" s="220"/>
      <c r="BD104" s="220"/>
      <c r="BE104" s="220"/>
      <c r="BF104" s="220"/>
      <c r="BG104" s="220"/>
      <c r="BH104" s="220"/>
      <c r="BI104" s="220"/>
      <c r="BJ104" s="220"/>
      <c r="BK104" s="220"/>
      <c r="BL104" s="220"/>
      <c r="BM104" s="220"/>
      <c r="BN104" s="220"/>
      <c r="BO104" s="242"/>
      <c r="BP104" s="242"/>
      <c r="BQ104" s="242"/>
    </row>
    <row r="105" spans="1:69" ht="12.75" customHeight="1" x14ac:dyDescent="0.25">
      <c r="A105" s="229"/>
      <c r="B105" s="229"/>
      <c r="C105" s="220"/>
      <c r="D105" s="220"/>
      <c r="E105" s="242"/>
      <c r="F105" s="254"/>
      <c r="G105" s="254"/>
      <c r="H105" s="254"/>
      <c r="I105" s="254"/>
      <c r="J105" s="254"/>
      <c r="K105" s="220"/>
      <c r="L105" s="254"/>
      <c r="M105" s="254"/>
      <c r="N105" s="255"/>
      <c r="O105" s="255"/>
      <c r="P105" s="219"/>
      <c r="Q105" s="220"/>
      <c r="R105" s="244"/>
      <c r="S105" s="220"/>
      <c r="T105" s="220"/>
      <c r="U105" s="220"/>
      <c r="V105" s="244"/>
      <c r="W105" s="244"/>
      <c r="X105" s="220"/>
      <c r="Y105" s="220"/>
      <c r="Z105" s="220"/>
      <c r="AA105" s="244"/>
      <c r="AB105" s="244"/>
      <c r="AC105" s="244"/>
      <c r="AD105" s="244"/>
      <c r="AE105" s="220"/>
      <c r="AF105" s="220"/>
      <c r="AG105" s="220"/>
      <c r="AH105" s="220"/>
      <c r="AI105" s="220"/>
      <c r="AJ105" s="244"/>
      <c r="AK105" s="254"/>
      <c r="AL105" s="250"/>
      <c r="AM105" s="244"/>
      <c r="AN105" s="244"/>
      <c r="AO105" s="220"/>
      <c r="AP105" s="244"/>
      <c r="AQ105" s="220"/>
      <c r="AR105" s="220"/>
      <c r="AS105" s="220"/>
      <c r="AT105" s="220"/>
      <c r="AU105" s="220"/>
      <c r="AV105" s="220"/>
      <c r="AW105" s="220"/>
      <c r="AX105" s="220"/>
      <c r="AY105" s="220"/>
      <c r="AZ105" s="220"/>
      <c r="BA105" s="220"/>
      <c r="BB105" s="220"/>
      <c r="BC105" s="220"/>
      <c r="BD105" s="220"/>
      <c r="BE105" s="220"/>
      <c r="BF105" s="220"/>
      <c r="BG105" s="220"/>
      <c r="BH105" s="220"/>
      <c r="BI105" s="220"/>
      <c r="BJ105" s="220"/>
      <c r="BK105" s="220"/>
      <c r="BL105" s="220"/>
      <c r="BM105" s="220"/>
      <c r="BN105" s="220"/>
      <c r="BO105" s="242"/>
      <c r="BP105" s="242"/>
      <c r="BQ105" s="242"/>
    </row>
    <row r="106" spans="1:69" ht="12.75" customHeight="1" x14ac:dyDescent="0.25">
      <c r="A106" s="229"/>
      <c r="B106" s="229"/>
      <c r="C106" s="220"/>
      <c r="D106" s="220"/>
      <c r="E106" s="242"/>
      <c r="F106" s="254"/>
      <c r="G106" s="254"/>
      <c r="H106" s="254"/>
      <c r="I106" s="254"/>
      <c r="J106" s="254"/>
      <c r="K106" s="220"/>
      <c r="L106" s="254"/>
      <c r="M106" s="254"/>
      <c r="N106" s="255"/>
      <c r="O106" s="255"/>
      <c r="P106" s="219"/>
      <c r="Q106" s="220"/>
      <c r="R106" s="244"/>
      <c r="S106" s="220"/>
      <c r="T106" s="220"/>
      <c r="U106" s="220"/>
      <c r="V106" s="244"/>
      <c r="W106" s="244"/>
      <c r="X106" s="220"/>
      <c r="Y106" s="220"/>
      <c r="Z106" s="220"/>
      <c r="AA106" s="244"/>
      <c r="AB106" s="244"/>
      <c r="AC106" s="244"/>
      <c r="AD106" s="244"/>
      <c r="AE106" s="220"/>
      <c r="AF106" s="220"/>
      <c r="AG106" s="220"/>
      <c r="AH106" s="220"/>
      <c r="AI106" s="220"/>
      <c r="AJ106" s="244"/>
      <c r="AK106" s="254"/>
      <c r="AL106" s="250"/>
      <c r="AM106" s="244"/>
      <c r="AN106" s="244"/>
      <c r="AO106" s="220"/>
      <c r="AP106" s="244"/>
      <c r="AQ106" s="220"/>
      <c r="AR106" s="220"/>
      <c r="AS106" s="220"/>
      <c r="AT106" s="220"/>
      <c r="AU106" s="220"/>
      <c r="AV106" s="220"/>
      <c r="AW106" s="220"/>
      <c r="AX106" s="220"/>
      <c r="AY106" s="220"/>
      <c r="AZ106" s="220"/>
      <c r="BA106" s="220"/>
      <c r="BB106" s="220"/>
      <c r="BC106" s="220"/>
      <c r="BD106" s="220"/>
      <c r="BE106" s="220"/>
      <c r="BF106" s="220"/>
      <c r="BG106" s="220"/>
      <c r="BH106" s="220"/>
      <c r="BI106" s="220"/>
      <c r="BJ106" s="220"/>
      <c r="BK106" s="220"/>
      <c r="BL106" s="220"/>
      <c r="BM106" s="220"/>
      <c r="BN106" s="220"/>
      <c r="BO106" s="242"/>
      <c r="BP106" s="242"/>
      <c r="BQ106" s="242"/>
    </row>
    <row r="107" spans="1:69" ht="12.75" customHeight="1" x14ac:dyDescent="0.25">
      <c r="A107" s="229"/>
      <c r="B107" s="229"/>
      <c r="C107" s="220"/>
      <c r="D107" s="220"/>
      <c r="E107" s="242"/>
      <c r="F107" s="254"/>
      <c r="G107" s="254"/>
      <c r="H107" s="254"/>
      <c r="I107" s="254"/>
      <c r="J107" s="254"/>
      <c r="K107" s="220"/>
      <c r="L107" s="254"/>
      <c r="M107" s="254"/>
      <c r="N107" s="255"/>
      <c r="O107" s="255"/>
      <c r="P107" s="219"/>
      <c r="Q107" s="220"/>
      <c r="R107" s="244"/>
      <c r="S107" s="220"/>
      <c r="T107" s="220"/>
      <c r="U107" s="220"/>
      <c r="V107" s="244"/>
      <c r="W107" s="244"/>
      <c r="X107" s="220"/>
      <c r="Y107" s="220"/>
      <c r="Z107" s="220"/>
      <c r="AA107" s="244"/>
      <c r="AB107" s="244"/>
      <c r="AC107" s="244"/>
      <c r="AD107" s="244"/>
      <c r="AE107" s="220"/>
      <c r="AF107" s="220"/>
      <c r="AG107" s="220"/>
      <c r="AH107" s="220"/>
      <c r="AI107" s="220"/>
      <c r="AJ107" s="244"/>
      <c r="AK107" s="254"/>
      <c r="AL107" s="250"/>
      <c r="AM107" s="244"/>
      <c r="AN107" s="244"/>
      <c r="AO107" s="220"/>
      <c r="AP107" s="244"/>
      <c r="AQ107" s="220"/>
      <c r="AR107" s="220"/>
      <c r="AS107" s="220"/>
      <c r="AT107" s="220"/>
      <c r="AU107" s="220"/>
      <c r="AV107" s="220"/>
      <c r="AW107" s="220"/>
      <c r="AX107" s="220"/>
      <c r="AY107" s="220"/>
      <c r="AZ107" s="220"/>
      <c r="BA107" s="220"/>
      <c r="BB107" s="220"/>
      <c r="BC107" s="220"/>
      <c r="BD107" s="220"/>
      <c r="BE107" s="220"/>
      <c r="BF107" s="220"/>
      <c r="BG107" s="220"/>
      <c r="BH107" s="220"/>
      <c r="BI107" s="220"/>
      <c r="BJ107" s="220"/>
      <c r="BK107" s="220"/>
      <c r="BL107" s="220"/>
      <c r="BM107" s="220"/>
      <c r="BN107" s="220"/>
      <c r="BO107" s="242"/>
      <c r="BP107" s="242"/>
      <c r="BQ107" s="242"/>
    </row>
    <row r="108" spans="1:69" ht="12.75" customHeight="1" x14ac:dyDescent="0.25">
      <c r="A108" s="229"/>
      <c r="B108" s="229"/>
      <c r="C108" s="220"/>
      <c r="D108" s="220"/>
      <c r="E108" s="242"/>
      <c r="F108" s="254"/>
      <c r="G108" s="254"/>
      <c r="H108" s="254"/>
      <c r="I108" s="254"/>
      <c r="J108" s="254"/>
      <c r="K108" s="220"/>
      <c r="L108" s="254"/>
      <c r="M108" s="254"/>
      <c r="N108" s="255"/>
      <c r="O108" s="255"/>
      <c r="P108" s="219"/>
      <c r="Q108" s="220"/>
      <c r="R108" s="244"/>
      <c r="S108" s="220"/>
      <c r="T108" s="220"/>
      <c r="U108" s="220"/>
      <c r="V108" s="244"/>
      <c r="W108" s="244"/>
      <c r="X108" s="220"/>
      <c r="Y108" s="220"/>
      <c r="Z108" s="220"/>
      <c r="AA108" s="244"/>
      <c r="AB108" s="244"/>
      <c r="AC108" s="244"/>
      <c r="AD108" s="244"/>
      <c r="AE108" s="220"/>
      <c r="AF108" s="220"/>
      <c r="AG108" s="220"/>
      <c r="AH108" s="220"/>
      <c r="AI108" s="220"/>
      <c r="AJ108" s="244"/>
      <c r="AK108" s="254"/>
      <c r="AL108" s="250"/>
      <c r="AM108" s="244"/>
      <c r="AN108" s="244"/>
      <c r="AO108" s="220"/>
      <c r="AP108" s="244"/>
      <c r="AQ108" s="220"/>
      <c r="AR108" s="220"/>
      <c r="AS108" s="220"/>
      <c r="AT108" s="220"/>
      <c r="AU108" s="220"/>
      <c r="AV108" s="220"/>
      <c r="AW108" s="220"/>
      <c r="AX108" s="220"/>
      <c r="AY108" s="220"/>
      <c r="AZ108" s="220"/>
      <c r="BA108" s="220"/>
      <c r="BB108" s="220"/>
      <c r="BC108" s="220"/>
      <c r="BD108" s="220"/>
      <c r="BE108" s="220"/>
      <c r="BF108" s="220"/>
      <c r="BG108" s="220"/>
      <c r="BH108" s="220"/>
      <c r="BI108" s="220"/>
      <c r="BJ108" s="220"/>
      <c r="BK108" s="220"/>
      <c r="BL108" s="220"/>
      <c r="BM108" s="220"/>
      <c r="BN108" s="220"/>
      <c r="BO108" s="242"/>
      <c r="BP108" s="242"/>
      <c r="BQ108" s="242"/>
    </row>
    <row r="109" spans="1:69" ht="12.75" customHeight="1" x14ac:dyDescent="0.25">
      <c r="A109" s="229"/>
      <c r="B109" s="229"/>
      <c r="C109" s="220"/>
      <c r="D109" s="220"/>
      <c r="E109" s="242"/>
      <c r="F109" s="254"/>
      <c r="G109" s="254"/>
      <c r="H109" s="254"/>
      <c r="I109" s="254"/>
      <c r="J109" s="254"/>
      <c r="K109" s="220"/>
      <c r="L109" s="254"/>
      <c r="M109" s="254"/>
      <c r="N109" s="255"/>
      <c r="O109" s="255"/>
      <c r="P109" s="219"/>
      <c r="Q109" s="220"/>
      <c r="R109" s="244"/>
      <c r="S109" s="220"/>
      <c r="T109" s="220"/>
      <c r="U109" s="220"/>
      <c r="V109" s="244"/>
      <c r="W109" s="244"/>
      <c r="X109" s="220"/>
      <c r="Y109" s="220"/>
      <c r="Z109" s="220"/>
      <c r="AA109" s="244"/>
      <c r="AB109" s="244"/>
      <c r="AC109" s="244"/>
      <c r="AD109" s="244"/>
      <c r="AE109" s="220"/>
      <c r="AF109" s="220"/>
      <c r="AG109" s="220"/>
      <c r="AH109" s="220"/>
      <c r="AI109" s="220"/>
      <c r="AJ109" s="244"/>
      <c r="AK109" s="254"/>
      <c r="AL109" s="250"/>
      <c r="AM109" s="244"/>
      <c r="AN109" s="244"/>
      <c r="AO109" s="220"/>
      <c r="AP109" s="244"/>
      <c r="AQ109" s="220"/>
      <c r="AR109" s="220"/>
      <c r="AS109" s="220"/>
      <c r="AT109" s="220"/>
      <c r="AU109" s="220"/>
      <c r="AV109" s="220"/>
      <c r="AW109" s="220"/>
      <c r="AX109" s="220"/>
      <c r="AY109" s="220"/>
      <c r="AZ109" s="220"/>
      <c r="BA109" s="220"/>
      <c r="BB109" s="220"/>
      <c r="BC109" s="220"/>
      <c r="BD109" s="220"/>
      <c r="BE109" s="220"/>
      <c r="BF109" s="220"/>
      <c r="BG109" s="220"/>
      <c r="BH109" s="220"/>
      <c r="BI109" s="220"/>
      <c r="BJ109" s="220"/>
      <c r="BK109" s="220"/>
      <c r="BL109" s="220"/>
      <c r="BM109" s="220"/>
      <c r="BN109" s="220"/>
      <c r="BO109" s="242"/>
      <c r="BP109" s="242"/>
      <c r="BQ109" s="242"/>
    </row>
    <row r="110" spans="1:69" ht="12.75" customHeight="1" x14ac:dyDescent="0.25">
      <c r="A110" s="229"/>
      <c r="B110" s="229"/>
      <c r="C110" s="220"/>
      <c r="D110" s="220"/>
      <c r="E110" s="242"/>
      <c r="F110" s="254"/>
      <c r="G110" s="254"/>
      <c r="H110" s="254"/>
      <c r="I110" s="254"/>
      <c r="J110" s="254"/>
      <c r="K110" s="220"/>
      <c r="L110" s="254"/>
      <c r="M110" s="254"/>
      <c r="N110" s="255"/>
      <c r="O110" s="255"/>
      <c r="P110" s="219"/>
      <c r="Q110" s="220"/>
      <c r="R110" s="244"/>
      <c r="S110" s="220"/>
      <c r="T110" s="220"/>
      <c r="U110" s="220"/>
      <c r="V110" s="244"/>
      <c r="W110" s="244"/>
      <c r="X110" s="220"/>
      <c r="Y110" s="220"/>
      <c r="Z110" s="220"/>
      <c r="AA110" s="244"/>
      <c r="AB110" s="244"/>
      <c r="AC110" s="244"/>
      <c r="AD110" s="244"/>
      <c r="AE110" s="220"/>
      <c r="AF110" s="220"/>
      <c r="AG110" s="220"/>
      <c r="AH110" s="220"/>
      <c r="AI110" s="220"/>
      <c r="AJ110" s="244"/>
      <c r="AK110" s="254"/>
      <c r="AL110" s="250"/>
      <c r="AM110" s="244"/>
      <c r="AN110" s="244"/>
      <c r="AO110" s="220"/>
      <c r="AP110" s="244"/>
      <c r="AQ110" s="220"/>
      <c r="AR110" s="220"/>
      <c r="AS110" s="220"/>
      <c r="AT110" s="220"/>
      <c r="AU110" s="220"/>
      <c r="AV110" s="220"/>
      <c r="AW110" s="220"/>
      <c r="AX110" s="220"/>
      <c r="AY110" s="220"/>
      <c r="AZ110" s="220"/>
      <c r="BA110" s="220"/>
      <c r="BB110" s="220"/>
      <c r="BC110" s="220"/>
      <c r="BD110" s="220"/>
      <c r="BE110" s="220"/>
      <c r="BF110" s="220"/>
      <c r="BG110" s="220"/>
      <c r="BH110" s="220"/>
      <c r="BI110" s="220"/>
      <c r="BJ110" s="220"/>
      <c r="BK110" s="220"/>
      <c r="BL110" s="220"/>
      <c r="BM110" s="220"/>
      <c r="BN110" s="220"/>
      <c r="BO110" s="242"/>
      <c r="BP110" s="242"/>
      <c r="BQ110" s="242"/>
    </row>
    <row r="111" spans="1:69" ht="12.75" customHeight="1" x14ac:dyDescent="0.25">
      <c r="A111" s="229"/>
      <c r="B111" s="229"/>
      <c r="C111" s="220"/>
      <c r="D111" s="220"/>
      <c r="E111" s="242"/>
      <c r="F111" s="254"/>
      <c r="G111" s="254"/>
      <c r="H111" s="254"/>
      <c r="I111" s="254"/>
      <c r="J111" s="254"/>
      <c r="K111" s="220"/>
      <c r="L111" s="254"/>
      <c r="M111" s="254"/>
      <c r="N111" s="255"/>
      <c r="O111" s="255"/>
      <c r="P111" s="219"/>
      <c r="Q111" s="220"/>
      <c r="R111" s="244"/>
      <c r="S111" s="220"/>
      <c r="T111" s="220"/>
      <c r="U111" s="220"/>
      <c r="V111" s="244"/>
      <c r="W111" s="244"/>
      <c r="X111" s="220"/>
      <c r="Y111" s="220"/>
      <c r="Z111" s="220"/>
      <c r="AA111" s="244"/>
      <c r="AB111" s="244"/>
      <c r="AC111" s="244"/>
      <c r="AD111" s="244"/>
      <c r="AE111" s="220"/>
      <c r="AF111" s="220"/>
      <c r="AG111" s="220"/>
      <c r="AH111" s="220"/>
      <c r="AI111" s="220"/>
      <c r="AJ111" s="244"/>
      <c r="AK111" s="254"/>
      <c r="AL111" s="250"/>
      <c r="AM111" s="244"/>
      <c r="AN111" s="244"/>
      <c r="AO111" s="220"/>
      <c r="AP111" s="244"/>
      <c r="AQ111" s="220"/>
      <c r="AR111" s="220"/>
      <c r="AS111" s="220"/>
      <c r="AT111" s="220"/>
      <c r="AU111" s="220"/>
      <c r="AV111" s="220"/>
      <c r="AW111" s="220"/>
      <c r="AX111" s="220"/>
      <c r="AY111" s="220"/>
      <c r="AZ111" s="220"/>
      <c r="BA111" s="220"/>
      <c r="BB111" s="220"/>
      <c r="BC111" s="220"/>
      <c r="BD111" s="220"/>
      <c r="BE111" s="220"/>
      <c r="BF111" s="220"/>
      <c r="BG111" s="220"/>
      <c r="BH111" s="220"/>
      <c r="BI111" s="220"/>
      <c r="BJ111" s="220"/>
      <c r="BK111" s="220"/>
      <c r="BL111" s="220"/>
      <c r="BM111" s="220"/>
      <c r="BN111" s="220"/>
      <c r="BO111" s="242"/>
      <c r="BP111" s="242"/>
      <c r="BQ111" s="242"/>
    </row>
    <row r="112" spans="1:69" ht="12.75" customHeight="1" x14ac:dyDescent="0.25">
      <c r="A112" s="229"/>
      <c r="B112" s="229"/>
      <c r="C112" s="220"/>
      <c r="D112" s="220"/>
      <c r="E112" s="242"/>
      <c r="F112" s="254"/>
      <c r="G112" s="254"/>
      <c r="H112" s="254"/>
      <c r="I112" s="254"/>
      <c r="J112" s="254"/>
      <c r="K112" s="220"/>
      <c r="L112" s="254"/>
      <c r="M112" s="254"/>
      <c r="N112" s="255"/>
      <c r="O112" s="255"/>
      <c r="P112" s="219"/>
      <c r="Q112" s="220"/>
      <c r="R112" s="244"/>
      <c r="S112" s="220"/>
      <c r="T112" s="220"/>
      <c r="U112" s="220"/>
      <c r="V112" s="244"/>
      <c r="W112" s="244"/>
      <c r="X112" s="220"/>
      <c r="Y112" s="220"/>
      <c r="Z112" s="220"/>
      <c r="AA112" s="244"/>
      <c r="AB112" s="244"/>
      <c r="AC112" s="244"/>
      <c r="AD112" s="244"/>
      <c r="AE112" s="220"/>
      <c r="AF112" s="220"/>
      <c r="AG112" s="220"/>
      <c r="AH112" s="220"/>
      <c r="AI112" s="220"/>
      <c r="AJ112" s="244"/>
      <c r="AK112" s="254"/>
      <c r="AL112" s="250"/>
      <c r="AM112" s="244"/>
      <c r="AN112" s="244"/>
      <c r="AO112" s="220"/>
      <c r="AP112" s="244"/>
      <c r="AQ112" s="220"/>
      <c r="AR112" s="220"/>
      <c r="AS112" s="220"/>
      <c r="AT112" s="220"/>
      <c r="AU112" s="220"/>
      <c r="AV112" s="220"/>
      <c r="AW112" s="220"/>
      <c r="AX112" s="220"/>
      <c r="AY112" s="220"/>
      <c r="AZ112" s="220"/>
      <c r="BA112" s="220"/>
      <c r="BB112" s="220"/>
      <c r="BC112" s="220"/>
      <c r="BD112" s="220"/>
      <c r="BE112" s="220"/>
      <c r="BF112" s="220"/>
      <c r="BG112" s="220"/>
      <c r="BH112" s="220"/>
      <c r="BI112" s="220"/>
      <c r="BJ112" s="220"/>
      <c r="BK112" s="220"/>
      <c r="BL112" s="220"/>
      <c r="BM112" s="220"/>
      <c r="BN112" s="220"/>
      <c r="BO112" s="242"/>
      <c r="BP112" s="242"/>
      <c r="BQ112" s="242"/>
    </row>
    <row r="113" spans="1:69" ht="12.75" customHeight="1" x14ac:dyDescent="0.25">
      <c r="A113" s="229"/>
      <c r="B113" s="229"/>
      <c r="C113" s="220"/>
      <c r="D113" s="220"/>
      <c r="E113" s="242"/>
      <c r="F113" s="254"/>
      <c r="G113" s="254"/>
      <c r="H113" s="254"/>
      <c r="I113" s="254"/>
      <c r="J113" s="254"/>
      <c r="K113" s="220"/>
      <c r="L113" s="254"/>
      <c r="M113" s="254"/>
      <c r="N113" s="255"/>
      <c r="O113" s="255"/>
      <c r="P113" s="219"/>
      <c r="Q113" s="220"/>
      <c r="R113" s="244"/>
      <c r="S113" s="220"/>
      <c r="T113" s="220"/>
      <c r="U113" s="220"/>
      <c r="V113" s="244"/>
      <c r="W113" s="244"/>
      <c r="X113" s="220"/>
      <c r="Y113" s="220"/>
      <c r="Z113" s="220"/>
      <c r="AA113" s="244"/>
      <c r="AB113" s="244"/>
      <c r="AC113" s="244"/>
      <c r="AD113" s="244"/>
      <c r="AE113" s="220"/>
      <c r="AF113" s="220"/>
      <c r="AG113" s="220"/>
      <c r="AH113" s="220"/>
      <c r="AI113" s="220"/>
      <c r="AJ113" s="244"/>
      <c r="AK113" s="254"/>
      <c r="AL113" s="250"/>
      <c r="AM113" s="244"/>
      <c r="AN113" s="244"/>
      <c r="AO113" s="220"/>
      <c r="AP113" s="244"/>
      <c r="AQ113" s="220"/>
      <c r="AR113" s="220"/>
      <c r="AS113" s="220"/>
      <c r="AT113" s="220"/>
      <c r="AU113" s="220"/>
      <c r="AV113" s="220"/>
      <c r="AW113" s="220"/>
      <c r="AX113" s="220"/>
      <c r="AY113" s="220"/>
      <c r="AZ113" s="220"/>
      <c r="BA113" s="220"/>
      <c r="BB113" s="220"/>
      <c r="BC113" s="220"/>
      <c r="BD113" s="220"/>
      <c r="BE113" s="220"/>
      <c r="BF113" s="220"/>
      <c r="BG113" s="220"/>
      <c r="BH113" s="220"/>
      <c r="BI113" s="220"/>
      <c r="BJ113" s="220"/>
      <c r="BK113" s="220"/>
      <c r="BL113" s="220"/>
      <c r="BM113" s="220"/>
      <c r="BN113" s="220"/>
      <c r="BO113" s="242"/>
      <c r="BP113" s="242"/>
      <c r="BQ113" s="242"/>
    </row>
    <row r="114" spans="1:69" ht="12.75" customHeight="1" x14ac:dyDescent="0.25">
      <c r="A114" s="229"/>
      <c r="B114" s="229"/>
      <c r="C114" s="220"/>
      <c r="D114" s="220"/>
      <c r="E114" s="242"/>
      <c r="F114" s="254"/>
      <c r="G114" s="254"/>
      <c r="H114" s="254"/>
      <c r="I114" s="254"/>
      <c r="J114" s="254"/>
      <c r="K114" s="220"/>
      <c r="L114" s="254"/>
      <c r="M114" s="254"/>
      <c r="N114" s="255"/>
      <c r="O114" s="255"/>
      <c r="P114" s="219"/>
      <c r="Q114" s="220"/>
      <c r="R114" s="244"/>
      <c r="S114" s="220"/>
      <c r="T114" s="220"/>
      <c r="U114" s="220"/>
      <c r="V114" s="244"/>
      <c r="W114" s="244"/>
      <c r="X114" s="220"/>
      <c r="Y114" s="220"/>
      <c r="Z114" s="220"/>
      <c r="AA114" s="244"/>
      <c r="AB114" s="244"/>
      <c r="AC114" s="244"/>
      <c r="AD114" s="244"/>
      <c r="AE114" s="220"/>
      <c r="AF114" s="220"/>
      <c r="AG114" s="220"/>
      <c r="AH114" s="220"/>
      <c r="AI114" s="220"/>
      <c r="AJ114" s="244"/>
      <c r="AK114" s="254"/>
      <c r="AL114" s="250"/>
      <c r="AM114" s="244"/>
      <c r="AN114" s="244"/>
      <c r="AO114" s="220"/>
      <c r="AP114" s="244"/>
      <c r="AQ114" s="220"/>
      <c r="AR114" s="220"/>
      <c r="AS114" s="220"/>
      <c r="AT114" s="220"/>
      <c r="AU114" s="220"/>
      <c r="AV114" s="220"/>
      <c r="AW114" s="220"/>
      <c r="AX114" s="220"/>
      <c r="AY114" s="220"/>
      <c r="AZ114" s="220"/>
      <c r="BA114" s="220"/>
      <c r="BB114" s="220"/>
      <c r="BC114" s="220"/>
      <c r="BD114" s="220"/>
      <c r="BE114" s="220"/>
      <c r="BF114" s="220"/>
      <c r="BG114" s="220"/>
      <c r="BH114" s="220"/>
      <c r="BI114" s="220"/>
      <c r="BJ114" s="220"/>
      <c r="BK114" s="220"/>
      <c r="BL114" s="220"/>
      <c r="BM114" s="220"/>
      <c r="BN114" s="220"/>
      <c r="BO114" s="242"/>
      <c r="BP114" s="242"/>
      <c r="BQ114" s="242"/>
    </row>
    <row r="115" spans="1:69" ht="12.75" customHeight="1" x14ac:dyDescent="0.25">
      <c r="A115" s="229"/>
      <c r="B115" s="229"/>
      <c r="C115" s="220"/>
      <c r="D115" s="220"/>
      <c r="E115" s="242"/>
      <c r="F115" s="254"/>
      <c r="G115" s="254"/>
      <c r="H115" s="254"/>
      <c r="I115" s="254"/>
      <c r="J115" s="254"/>
      <c r="K115" s="220"/>
      <c r="L115" s="254"/>
      <c r="M115" s="254"/>
      <c r="N115" s="255"/>
      <c r="O115" s="255"/>
      <c r="P115" s="219"/>
      <c r="Q115" s="220"/>
      <c r="R115" s="244"/>
      <c r="S115" s="220"/>
      <c r="T115" s="220"/>
      <c r="U115" s="220"/>
      <c r="V115" s="244"/>
      <c r="W115" s="244"/>
      <c r="X115" s="220"/>
      <c r="Y115" s="220"/>
      <c r="Z115" s="220"/>
      <c r="AA115" s="244"/>
      <c r="AB115" s="244"/>
      <c r="AC115" s="244"/>
      <c r="AD115" s="244"/>
      <c r="AE115" s="220"/>
      <c r="AF115" s="220"/>
      <c r="AG115" s="220"/>
      <c r="AH115" s="220"/>
      <c r="AI115" s="220"/>
      <c r="AJ115" s="244"/>
      <c r="AK115" s="254"/>
      <c r="AL115" s="250"/>
      <c r="AM115" s="244"/>
      <c r="AN115" s="244"/>
      <c r="AO115" s="220"/>
      <c r="AP115" s="244"/>
      <c r="AQ115" s="220"/>
      <c r="AR115" s="220"/>
      <c r="AS115" s="220"/>
      <c r="AT115" s="220"/>
      <c r="AU115" s="220"/>
      <c r="AV115" s="220"/>
      <c r="AW115" s="220"/>
      <c r="AX115" s="220"/>
      <c r="AY115" s="220"/>
      <c r="AZ115" s="220"/>
      <c r="BA115" s="220"/>
      <c r="BB115" s="220"/>
      <c r="BC115" s="220"/>
      <c r="BD115" s="220"/>
      <c r="BE115" s="220"/>
      <c r="BF115" s="220"/>
      <c r="BG115" s="220"/>
      <c r="BH115" s="220"/>
      <c r="BI115" s="220"/>
      <c r="BJ115" s="220"/>
      <c r="BK115" s="220"/>
      <c r="BL115" s="220"/>
      <c r="BM115" s="220"/>
      <c r="BN115" s="220"/>
      <c r="BO115" s="242"/>
      <c r="BP115" s="242"/>
      <c r="BQ115" s="242"/>
    </row>
    <row r="116" spans="1:69" ht="12.75" customHeight="1" x14ac:dyDescent="0.25">
      <c r="A116" s="229"/>
      <c r="B116" s="229"/>
      <c r="C116" s="220"/>
      <c r="D116" s="220"/>
      <c r="E116" s="242"/>
      <c r="F116" s="254"/>
      <c r="G116" s="254"/>
      <c r="H116" s="254"/>
      <c r="I116" s="254"/>
      <c r="J116" s="254"/>
      <c r="K116" s="220"/>
      <c r="L116" s="254"/>
      <c r="M116" s="254"/>
      <c r="N116" s="255"/>
      <c r="O116" s="255"/>
      <c r="P116" s="219"/>
      <c r="Q116" s="220"/>
      <c r="R116" s="244"/>
      <c r="S116" s="220"/>
      <c r="T116" s="220"/>
      <c r="U116" s="220"/>
      <c r="V116" s="244"/>
      <c r="W116" s="244"/>
      <c r="X116" s="220"/>
      <c r="Y116" s="220"/>
      <c r="Z116" s="220"/>
      <c r="AA116" s="244"/>
      <c r="AB116" s="244"/>
      <c r="AC116" s="244"/>
      <c r="AD116" s="244"/>
      <c r="AE116" s="220"/>
      <c r="AF116" s="220"/>
      <c r="AG116" s="220"/>
      <c r="AH116" s="220"/>
      <c r="AI116" s="220"/>
      <c r="AJ116" s="244"/>
      <c r="AK116" s="254"/>
      <c r="AL116" s="250"/>
      <c r="AM116" s="244"/>
      <c r="AN116" s="244"/>
      <c r="AO116" s="220"/>
      <c r="AP116" s="244"/>
      <c r="AQ116" s="220"/>
      <c r="AR116" s="220"/>
      <c r="AS116" s="220"/>
      <c r="AT116" s="220"/>
      <c r="AU116" s="220"/>
      <c r="AV116" s="220"/>
      <c r="AW116" s="220"/>
      <c r="AX116" s="220"/>
      <c r="AY116" s="220"/>
      <c r="AZ116" s="220"/>
      <c r="BA116" s="220"/>
      <c r="BB116" s="220"/>
      <c r="BC116" s="220"/>
      <c r="BD116" s="220"/>
      <c r="BE116" s="220"/>
      <c r="BF116" s="220"/>
      <c r="BG116" s="220"/>
      <c r="BH116" s="220"/>
      <c r="BI116" s="220"/>
      <c r="BJ116" s="220"/>
      <c r="BK116" s="220"/>
      <c r="BL116" s="220"/>
      <c r="BM116" s="220"/>
      <c r="BN116" s="220"/>
      <c r="BO116" s="242"/>
      <c r="BP116" s="242"/>
      <c r="BQ116" s="242"/>
    </row>
    <row r="117" spans="1:69" ht="12.75" customHeight="1" x14ac:dyDescent="0.25">
      <c r="A117" s="229"/>
      <c r="B117" s="229"/>
      <c r="C117" s="220"/>
      <c r="D117" s="220"/>
      <c r="E117" s="242"/>
      <c r="F117" s="254"/>
      <c r="G117" s="254"/>
      <c r="H117" s="254"/>
      <c r="I117" s="254"/>
      <c r="J117" s="254"/>
      <c r="K117" s="220"/>
      <c r="L117" s="254"/>
      <c r="M117" s="254"/>
      <c r="N117" s="255"/>
      <c r="O117" s="255"/>
      <c r="P117" s="219"/>
      <c r="Q117" s="220"/>
      <c r="R117" s="244"/>
      <c r="S117" s="220"/>
      <c r="T117" s="220"/>
      <c r="U117" s="220"/>
      <c r="V117" s="244"/>
      <c r="W117" s="244"/>
      <c r="X117" s="220"/>
      <c r="Y117" s="220"/>
      <c r="Z117" s="220"/>
      <c r="AA117" s="244"/>
      <c r="AB117" s="244"/>
      <c r="AC117" s="244"/>
      <c r="AD117" s="244"/>
      <c r="AE117" s="220"/>
      <c r="AF117" s="220"/>
      <c r="AG117" s="220"/>
      <c r="AH117" s="220"/>
      <c r="AI117" s="220"/>
      <c r="AJ117" s="244"/>
      <c r="AK117" s="254"/>
      <c r="AL117" s="250"/>
      <c r="AM117" s="244"/>
      <c r="AN117" s="244"/>
      <c r="AO117" s="220"/>
      <c r="AP117" s="244"/>
      <c r="AQ117" s="220"/>
      <c r="AR117" s="220"/>
      <c r="AS117" s="220"/>
      <c r="AT117" s="220"/>
      <c r="AU117" s="220"/>
      <c r="AV117" s="220"/>
      <c r="AW117" s="220"/>
      <c r="AX117" s="220"/>
      <c r="AY117" s="220"/>
      <c r="AZ117" s="220"/>
      <c r="BA117" s="220"/>
      <c r="BB117" s="220"/>
      <c r="BC117" s="220"/>
      <c r="BD117" s="220"/>
      <c r="BE117" s="220"/>
      <c r="BF117" s="220"/>
      <c r="BG117" s="220"/>
      <c r="BH117" s="220"/>
      <c r="BI117" s="220"/>
      <c r="BJ117" s="220"/>
      <c r="BK117" s="220"/>
      <c r="BL117" s="220"/>
      <c r="BM117" s="220"/>
      <c r="BN117" s="220"/>
      <c r="BO117" s="242"/>
      <c r="BP117" s="242"/>
      <c r="BQ117" s="242"/>
    </row>
    <row r="118" spans="1:69" ht="12.75" customHeight="1" x14ac:dyDescent="0.25">
      <c r="A118" s="229"/>
      <c r="B118" s="229"/>
      <c r="C118" s="220"/>
      <c r="D118" s="220"/>
      <c r="E118" s="242"/>
      <c r="F118" s="254"/>
      <c r="G118" s="254"/>
      <c r="H118" s="254"/>
      <c r="I118" s="254"/>
      <c r="J118" s="254"/>
      <c r="K118" s="220"/>
      <c r="L118" s="254"/>
      <c r="M118" s="254"/>
      <c r="N118" s="255"/>
      <c r="O118" s="255"/>
      <c r="P118" s="219"/>
      <c r="Q118" s="220"/>
      <c r="R118" s="244"/>
      <c r="S118" s="220"/>
      <c r="T118" s="220"/>
      <c r="U118" s="220"/>
      <c r="V118" s="244"/>
      <c r="W118" s="244"/>
      <c r="X118" s="220"/>
      <c r="Y118" s="220"/>
      <c r="Z118" s="220"/>
      <c r="AA118" s="244"/>
      <c r="AB118" s="244"/>
      <c r="AC118" s="244"/>
      <c r="AD118" s="244"/>
      <c r="AE118" s="220"/>
      <c r="AF118" s="220"/>
      <c r="AG118" s="220"/>
      <c r="AH118" s="220"/>
      <c r="AI118" s="220"/>
      <c r="AJ118" s="244"/>
      <c r="AK118" s="254"/>
      <c r="AL118" s="250"/>
      <c r="AM118" s="244"/>
      <c r="AN118" s="244"/>
      <c r="AO118" s="220"/>
      <c r="AP118" s="244"/>
      <c r="AQ118" s="220"/>
      <c r="AR118" s="220"/>
      <c r="AS118" s="220"/>
      <c r="AT118" s="220"/>
      <c r="AU118" s="220"/>
      <c r="AV118" s="220"/>
      <c r="AW118" s="220"/>
      <c r="AX118" s="220"/>
      <c r="AY118" s="220"/>
      <c r="AZ118" s="220"/>
      <c r="BA118" s="220"/>
      <c r="BB118" s="220"/>
      <c r="BC118" s="220"/>
      <c r="BD118" s="220"/>
      <c r="BE118" s="220"/>
      <c r="BF118" s="220"/>
      <c r="BG118" s="220"/>
      <c r="BH118" s="220"/>
      <c r="BI118" s="220"/>
      <c r="BJ118" s="220"/>
      <c r="BK118" s="220"/>
      <c r="BL118" s="220"/>
      <c r="BM118" s="220"/>
      <c r="BN118" s="220"/>
      <c r="BO118" s="242"/>
      <c r="BP118" s="242"/>
      <c r="BQ118" s="242"/>
    </row>
    <row r="119" spans="1:69" ht="12.75" customHeight="1" x14ac:dyDescent="0.25">
      <c r="A119" s="229"/>
      <c r="B119" s="229"/>
      <c r="C119" s="220"/>
      <c r="D119" s="220"/>
      <c r="E119" s="242"/>
      <c r="F119" s="254"/>
      <c r="G119" s="254"/>
      <c r="H119" s="254"/>
      <c r="I119" s="254"/>
      <c r="J119" s="254"/>
      <c r="K119" s="220"/>
      <c r="L119" s="254"/>
      <c r="M119" s="254"/>
      <c r="N119" s="255"/>
      <c r="O119" s="255"/>
      <c r="P119" s="219"/>
      <c r="Q119" s="220"/>
      <c r="R119" s="244"/>
      <c r="S119" s="220"/>
      <c r="T119" s="220"/>
      <c r="U119" s="220"/>
      <c r="V119" s="244"/>
      <c r="W119" s="244"/>
      <c r="X119" s="220"/>
      <c r="Y119" s="220"/>
      <c r="Z119" s="220"/>
      <c r="AA119" s="244"/>
      <c r="AB119" s="244"/>
      <c r="AC119" s="244"/>
      <c r="AD119" s="244"/>
      <c r="AE119" s="220"/>
      <c r="AF119" s="220"/>
      <c r="AG119" s="220"/>
      <c r="AH119" s="220"/>
      <c r="AI119" s="220"/>
      <c r="AJ119" s="244"/>
      <c r="AK119" s="254"/>
      <c r="AL119" s="250"/>
      <c r="AM119" s="244"/>
      <c r="AN119" s="244"/>
      <c r="AO119" s="220"/>
      <c r="AP119" s="244"/>
      <c r="AQ119" s="220"/>
      <c r="AR119" s="220"/>
      <c r="AS119" s="220"/>
      <c r="AT119" s="220"/>
      <c r="AU119" s="220"/>
      <c r="AV119" s="220"/>
      <c r="AW119" s="220"/>
      <c r="AX119" s="220"/>
      <c r="AY119" s="220"/>
      <c r="AZ119" s="220"/>
      <c r="BA119" s="220"/>
      <c r="BB119" s="220"/>
      <c r="BC119" s="220"/>
      <c r="BD119" s="220"/>
      <c r="BE119" s="220"/>
      <c r="BF119" s="220"/>
      <c r="BG119" s="220"/>
      <c r="BH119" s="220"/>
      <c r="BI119" s="220"/>
      <c r="BJ119" s="220"/>
      <c r="BK119" s="220"/>
      <c r="BL119" s="220"/>
      <c r="BM119" s="220"/>
      <c r="BN119" s="220"/>
      <c r="BO119" s="242"/>
      <c r="BP119" s="242"/>
      <c r="BQ119" s="242"/>
    </row>
    <row r="120" spans="1:69" ht="12.75" customHeight="1" x14ac:dyDescent="0.25">
      <c r="A120" s="229"/>
      <c r="B120" s="229"/>
      <c r="C120" s="220"/>
      <c r="D120" s="220"/>
      <c r="E120" s="242"/>
      <c r="F120" s="254"/>
      <c r="G120" s="254"/>
      <c r="H120" s="254"/>
      <c r="I120" s="254"/>
      <c r="J120" s="254"/>
      <c r="K120" s="220"/>
      <c r="L120" s="254"/>
      <c r="M120" s="254"/>
      <c r="N120" s="255"/>
      <c r="O120" s="255"/>
      <c r="P120" s="219"/>
      <c r="Q120" s="220"/>
      <c r="R120" s="244"/>
      <c r="S120" s="220"/>
      <c r="T120" s="220"/>
      <c r="U120" s="220"/>
      <c r="V120" s="244"/>
      <c r="W120" s="244"/>
      <c r="X120" s="220"/>
      <c r="Y120" s="220"/>
      <c r="Z120" s="220"/>
      <c r="AA120" s="244"/>
      <c r="AB120" s="244"/>
      <c r="AC120" s="244"/>
      <c r="AD120" s="244"/>
      <c r="AE120" s="220"/>
      <c r="AF120" s="220"/>
      <c r="AG120" s="220"/>
      <c r="AH120" s="220"/>
      <c r="AI120" s="220"/>
      <c r="AJ120" s="244"/>
      <c r="AK120" s="254"/>
      <c r="AL120" s="250"/>
      <c r="AM120" s="244"/>
      <c r="AN120" s="244"/>
      <c r="AO120" s="220"/>
      <c r="AP120" s="244"/>
      <c r="AQ120" s="220"/>
      <c r="AR120" s="220"/>
      <c r="AS120" s="220"/>
      <c r="AT120" s="220"/>
      <c r="AU120" s="220"/>
      <c r="AV120" s="220"/>
      <c r="AW120" s="220"/>
      <c r="AX120" s="220"/>
      <c r="AY120" s="220"/>
      <c r="AZ120" s="220"/>
      <c r="BA120" s="220"/>
      <c r="BB120" s="220"/>
      <c r="BC120" s="220"/>
      <c r="BD120" s="220"/>
      <c r="BE120" s="220"/>
      <c r="BF120" s="220"/>
      <c r="BG120" s="220"/>
      <c r="BH120" s="220"/>
      <c r="BI120" s="220"/>
      <c r="BJ120" s="220"/>
      <c r="BK120" s="220"/>
      <c r="BL120" s="220"/>
      <c r="BM120" s="220"/>
      <c r="BN120" s="220"/>
      <c r="BO120" s="242"/>
      <c r="BP120" s="242"/>
      <c r="BQ120" s="242"/>
    </row>
    <row r="121" spans="1:69" ht="12.75" customHeight="1" x14ac:dyDescent="0.25">
      <c r="A121" s="229"/>
      <c r="B121" s="229"/>
      <c r="C121" s="220"/>
      <c r="D121" s="220"/>
      <c r="E121" s="242"/>
      <c r="F121" s="254"/>
      <c r="G121" s="254"/>
      <c r="H121" s="254"/>
      <c r="I121" s="254"/>
      <c r="J121" s="254"/>
      <c r="K121" s="220"/>
      <c r="L121" s="254"/>
      <c r="M121" s="254"/>
      <c r="N121" s="255"/>
      <c r="O121" s="255"/>
      <c r="P121" s="219"/>
      <c r="Q121" s="220"/>
      <c r="R121" s="244"/>
      <c r="S121" s="220"/>
      <c r="T121" s="220"/>
      <c r="U121" s="220"/>
      <c r="V121" s="244"/>
      <c r="W121" s="244"/>
      <c r="X121" s="220"/>
      <c r="Y121" s="220"/>
      <c r="Z121" s="220"/>
      <c r="AA121" s="244"/>
      <c r="AB121" s="244"/>
      <c r="AC121" s="244"/>
      <c r="AD121" s="244"/>
      <c r="AE121" s="220"/>
      <c r="AF121" s="220"/>
      <c r="AG121" s="220"/>
      <c r="AH121" s="220"/>
      <c r="AI121" s="220"/>
      <c r="AJ121" s="244"/>
      <c r="AK121" s="254"/>
      <c r="AL121" s="250"/>
      <c r="AM121" s="244"/>
      <c r="AN121" s="244"/>
      <c r="AO121" s="220"/>
      <c r="AP121" s="244"/>
      <c r="AQ121" s="220"/>
      <c r="AR121" s="220"/>
      <c r="AS121" s="220"/>
      <c r="AT121" s="220"/>
      <c r="AU121" s="220"/>
      <c r="AV121" s="220"/>
      <c r="AW121" s="220"/>
      <c r="AX121" s="220"/>
      <c r="AY121" s="220"/>
      <c r="AZ121" s="220"/>
      <c r="BA121" s="220"/>
      <c r="BB121" s="220"/>
      <c r="BC121" s="220"/>
      <c r="BD121" s="220"/>
      <c r="BE121" s="220"/>
      <c r="BF121" s="220"/>
      <c r="BG121" s="220"/>
      <c r="BH121" s="220"/>
      <c r="BI121" s="220"/>
      <c r="BJ121" s="220"/>
      <c r="BK121" s="220"/>
      <c r="BL121" s="220"/>
      <c r="BM121" s="220"/>
      <c r="BN121" s="220"/>
      <c r="BO121" s="242"/>
      <c r="BP121" s="242"/>
      <c r="BQ121" s="242"/>
    </row>
    <row r="122" spans="1:69" ht="12.75" customHeight="1" x14ac:dyDescent="0.25">
      <c r="A122" s="229"/>
      <c r="B122" s="229"/>
      <c r="C122" s="220"/>
      <c r="D122" s="220"/>
      <c r="E122" s="242"/>
      <c r="F122" s="254"/>
      <c r="G122" s="254"/>
      <c r="H122" s="254"/>
      <c r="I122" s="254"/>
      <c r="J122" s="254"/>
      <c r="K122" s="220"/>
      <c r="L122" s="254"/>
      <c r="M122" s="254"/>
      <c r="N122" s="255"/>
      <c r="O122" s="255"/>
      <c r="P122" s="219"/>
      <c r="Q122" s="220"/>
      <c r="R122" s="244"/>
      <c r="S122" s="220"/>
      <c r="T122" s="220"/>
      <c r="U122" s="220"/>
      <c r="V122" s="244"/>
      <c r="W122" s="244"/>
      <c r="X122" s="220"/>
      <c r="Y122" s="220"/>
      <c r="Z122" s="220"/>
      <c r="AA122" s="244"/>
      <c r="AB122" s="244"/>
      <c r="AC122" s="244"/>
      <c r="AD122" s="244"/>
      <c r="AE122" s="220"/>
      <c r="AF122" s="220"/>
      <c r="AG122" s="220"/>
      <c r="AH122" s="220"/>
      <c r="AI122" s="220"/>
      <c r="AJ122" s="244"/>
      <c r="AK122" s="254"/>
      <c r="AL122" s="250"/>
      <c r="AM122" s="244"/>
      <c r="AN122" s="244"/>
      <c r="AO122" s="220"/>
      <c r="AP122" s="244"/>
      <c r="AQ122" s="220"/>
      <c r="AR122" s="220"/>
      <c r="AS122" s="220"/>
      <c r="AT122" s="220"/>
      <c r="AU122" s="220"/>
      <c r="AV122" s="220"/>
      <c r="AW122" s="220"/>
      <c r="AX122" s="220"/>
      <c r="AY122" s="220"/>
      <c r="AZ122" s="220"/>
      <c r="BA122" s="220"/>
      <c r="BB122" s="220"/>
      <c r="BC122" s="220"/>
      <c r="BD122" s="220"/>
      <c r="BE122" s="220"/>
      <c r="BF122" s="220"/>
      <c r="BG122" s="220"/>
      <c r="BH122" s="220"/>
      <c r="BI122" s="220"/>
      <c r="BJ122" s="220"/>
      <c r="BK122" s="220"/>
      <c r="BL122" s="220"/>
      <c r="BM122" s="220"/>
      <c r="BN122" s="220"/>
      <c r="BO122" s="242"/>
      <c r="BP122" s="242"/>
      <c r="BQ122" s="242"/>
    </row>
    <row r="123" spans="1:69" ht="12.75" customHeight="1" x14ac:dyDescent="0.25">
      <c r="A123" s="229"/>
      <c r="B123" s="229"/>
      <c r="C123" s="220"/>
      <c r="D123" s="220"/>
      <c r="E123" s="242"/>
      <c r="F123" s="254"/>
      <c r="G123" s="254"/>
      <c r="H123" s="254"/>
      <c r="I123" s="254"/>
      <c r="J123" s="254"/>
      <c r="K123" s="220"/>
      <c r="L123" s="254"/>
      <c r="M123" s="254"/>
      <c r="N123" s="255"/>
      <c r="O123" s="255"/>
      <c r="P123" s="219"/>
      <c r="Q123" s="220"/>
      <c r="R123" s="244"/>
      <c r="S123" s="220"/>
      <c r="T123" s="220"/>
      <c r="U123" s="220"/>
      <c r="V123" s="244"/>
      <c r="W123" s="244"/>
      <c r="X123" s="220"/>
      <c r="Y123" s="220"/>
      <c r="Z123" s="220"/>
      <c r="AA123" s="244"/>
      <c r="AB123" s="244"/>
      <c r="AC123" s="244"/>
      <c r="AD123" s="244"/>
      <c r="AE123" s="220"/>
      <c r="AF123" s="220"/>
      <c r="AG123" s="220"/>
      <c r="AH123" s="220"/>
      <c r="AI123" s="220"/>
      <c r="AJ123" s="244"/>
      <c r="AK123" s="254"/>
      <c r="AL123" s="250"/>
      <c r="AM123" s="244"/>
      <c r="AN123" s="244"/>
      <c r="AO123" s="220"/>
      <c r="AP123" s="244"/>
      <c r="AQ123" s="220"/>
      <c r="AR123" s="220"/>
      <c r="AS123" s="220"/>
      <c r="AT123" s="220"/>
      <c r="AU123" s="220"/>
      <c r="AV123" s="220"/>
      <c r="AW123" s="220"/>
      <c r="AX123" s="220"/>
      <c r="AY123" s="220"/>
      <c r="AZ123" s="220"/>
      <c r="BA123" s="220"/>
      <c r="BB123" s="220"/>
      <c r="BC123" s="220"/>
      <c r="BD123" s="220"/>
      <c r="BE123" s="220"/>
      <c r="BF123" s="220"/>
      <c r="BG123" s="220"/>
      <c r="BH123" s="220"/>
      <c r="BI123" s="220"/>
      <c r="BJ123" s="220"/>
      <c r="BK123" s="220"/>
      <c r="BL123" s="220"/>
      <c r="BM123" s="220"/>
      <c r="BN123" s="220"/>
      <c r="BO123" s="242"/>
      <c r="BP123" s="242"/>
      <c r="BQ123" s="242"/>
    </row>
    <row r="124" spans="1:69" ht="12.75" customHeight="1" x14ac:dyDescent="0.25">
      <c r="A124" s="229"/>
      <c r="B124" s="229"/>
      <c r="C124" s="220"/>
      <c r="D124" s="220"/>
      <c r="E124" s="242"/>
      <c r="F124" s="254"/>
      <c r="G124" s="254"/>
      <c r="H124" s="254"/>
      <c r="I124" s="254"/>
      <c r="J124" s="254"/>
      <c r="K124" s="220"/>
      <c r="L124" s="254"/>
      <c r="M124" s="254"/>
      <c r="N124" s="255"/>
      <c r="O124" s="255"/>
      <c r="P124" s="219"/>
      <c r="Q124" s="220"/>
      <c r="R124" s="244"/>
      <c r="S124" s="220"/>
      <c r="T124" s="220"/>
      <c r="U124" s="220"/>
      <c r="V124" s="244"/>
      <c r="W124" s="244"/>
      <c r="X124" s="220"/>
      <c r="Y124" s="220"/>
      <c r="Z124" s="220"/>
      <c r="AA124" s="244"/>
      <c r="AB124" s="244"/>
      <c r="AC124" s="244"/>
      <c r="AD124" s="244"/>
      <c r="AE124" s="220"/>
      <c r="AF124" s="220"/>
      <c r="AG124" s="220"/>
      <c r="AH124" s="220"/>
      <c r="AI124" s="220"/>
      <c r="AJ124" s="244"/>
      <c r="AK124" s="254"/>
      <c r="AL124" s="250"/>
      <c r="AM124" s="244"/>
      <c r="AN124" s="244"/>
      <c r="AO124" s="220"/>
      <c r="AP124" s="244"/>
      <c r="AQ124" s="220"/>
      <c r="AR124" s="220"/>
      <c r="AS124" s="220"/>
      <c r="AT124" s="220"/>
      <c r="AU124" s="220"/>
      <c r="AV124" s="220"/>
      <c r="AW124" s="220"/>
      <c r="AX124" s="220"/>
      <c r="AY124" s="220"/>
      <c r="AZ124" s="220"/>
      <c r="BA124" s="220"/>
      <c r="BB124" s="220"/>
      <c r="BC124" s="220"/>
      <c r="BD124" s="220"/>
      <c r="BE124" s="220"/>
      <c r="BF124" s="220"/>
      <c r="BG124" s="220"/>
      <c r="BH124" s="220"/>
      <c r="BI124" s="220"/>
      <c r="BJ124" s="220"/>
      <c r="BK124" s="220"/>
      <c r="BL124" s="220"/>
      <c r="BM124" s="220"/>
      <c r="BN124" s="220"/>
      <c r="BO124" s="242"/>
      <c r="BP124" s="242"/>
      <c r="BQ124" s="242"/>
    </row>
    <row r="125" spans="1:69" ht="12.75" customHeight="1" x14ac:dyDescent="0.25">
      <c r="A125" s="229"/>
      <c r="B125" s="229"/>
      <c r="C125" s="220"/>
      <c r="D125" s="220"/>
      <c r="E125" s="242"/>
      <c r="F125" s="254"/>
      <c r="G125" s="254"/>
      <c r="H125" s="254"/>
      <c r="I125" s="254"/>
      <c r="J125" s="254"/>
      <c r="K125" s="220"/>
      <c r="L125" s="254"/>
      <c r="M125" s="254"/>
      <c r="N125" s="255"/>
      <c r="O125" s="255"/>
      <c r="P125" s="219"/>
      <c r="Q125" s="220"/>
      <c r="R125" s="244"/>
      <c r="S125" s="220"/>
      <c r="T125" s="220"/>
      <c r="U125" s="220"/>
      <c r="V125" s="244"/>
      <c r="W125" s="244"/>
      <c r="X125" s="220"/>
      <c r="Y125" s="220"/>
      <c r="Z125" s="220"/>
      <c r="AA125" s="244"/>
      <c r="AB125" s="244"/>
      <c r="AC125" s="244"/>
      <c r="AD125" s="244"/>
      <c r="AE125" s="220"/>
      <c r="AF125" s="220"/>
      <c r="AG125" s="220"/>
      <c r="AH125" s="220"/>
      <c r="AI125" s="220"/>
      <c r="AJ125" s="244"/>
      <c r="AK125" s="254"/>
      <c r="AL125" s="250"/>
      <c r="AM125" s="244"/>
      <c r="AN125" s="244"/>
      <c r="AO125" s="220"/>
      <c r="AP125" s="244"/>
      <c r="AQ125" s="220"/>
      <c r="AR125" s="220"/>
      <c r="AS125" s="220"/>
      <c r="AT125" s="220"/>
      <c r="AU125" s="220"/>
      <c r="AV125" s="220"/>
      <c r="AW125" s="220"/>
      <c r="AX125" s="220"/>
      <c r="AY125" s="220"/>
      <c r="AZ125" s="220"/>
      <c r="BA125" s="220"/>
      <c r="BB125" s="220"/>
      <c r="BC125" s="220"/>
      <c r="BD125" s="220"/>
      <c r="BE125" s="220"/>
      <c r="BF125" s="220"/>
      <c r="BG125" s="220"/>
      <c r="BH125" s="220"/>
      <c r="BI125" s="220"/>
      <c r="BJ125" s="220"/>
      <c r="BK125" s="220"/>
      <c r="BL125" s="220"/>
      <c r="BM125" s="220"/>
      <c r="BN125" s="220"/>
      <c r="BO125" s="242"/>
      <c r="BP125" s="242"/>
      <c r="BQ125" s="242"/>
    </row>
    <row r="126" spans="1:69" ht="12.75" customHeight="1" x14ac:dyDescent="0.25">
      <c r="A126" s="229"/>
      <c r="B126" s="229"/>
      <c r="C126" s="220"/>
      <c r="D126" s="220"/>
      <c r="E126" s="242"/>
      <c r="F126" s="254"/>
      <c r="G126" s="254"/>
      <c r="H126" s="254"/>
      <c r="I126" s="254"/>
      <c r="J126" s="254"/>
      <c r="K126" s="220"/>
      <c r="L126" s="254"/>
      <c r="M126" s="254"/>
      <c r="N126" s="255"/>
      <c r="O126" s="255"/>
      <c r="P126" s="219"/>
      <c r="Q126" s="220"/>
      <c r="R126" s="244"/>
      <c r="S126" s="220"/>
      <c r="T126" s="220"/>
      <c r="U126" s="220"/>
      <c r="V126" s="244"/>
      <c r="W126" s="244"/>
      <c r="X126" s="220"/>
      <c r="Y126" s="220"/>
      <c r="Z126" s="220"/>
      <c r="AA126" s="244"/>
      <c r="AB126" s="244"/>
      <c r="AC126" s="244"/>
      <c r="AD126" s="244"/>
      <c r="AE126" s="220"/>
      <c r="AF126" s="220"/>
      <c r="AG126" s="220"/>
      <c r="AH126" s="220"/>
      <c r="AI126" s="220"/>
      <c r="AJ126" s="244"/>
      <c r="AK126" s="254"/>
      <c r="AL126" s="250"/>
      <c r="AM126" s="244"/>
      <c r="AN126" s="244"/>
      <c r="AO126" s="220"/>
      <c r="AP126" s="244"/>
      <c r="AQ126" s="220"/>
      <c r="AR126" s="220"/>
      <c r="AS126" s="220"/>
      <c r="AT126" s="220"/>
      <c r="AU126" s="220"/>
      <c r="AV126" s="220"/>
      <c r="AW126" s="220"/>
      <c r="AX126" s="220"/>
      <c r="AY126" s="220"/>
      <c r="AZ126" s="220"/>
      <c r="BA126" s="220"/>
      <c r="BB126" s="220"/>
      <c r="BC126" s="220"/>
      <c r="BD126" s="220"/>
      <c r="BE126" s="220"/>
      <c r="BF126" s="220"/>
      <c r="BG126" s="220"/>
      <c r="BH126" s="220"/>
      <c r="BI126" s="220"/>
      <c r="BJ126" s="220"/>
      <c r="BK126" s="220"/>
      <c r="BL126" s="220"/>
      <c r="BM126" s="220"/>
      <c r="BN126" s="220"/>
      <c r="BO126" s="242"/>
      <c r="BP126" s="242"/>
      <c r="BQ126" s="242"/>
    </row>
    <row r="127" spans="1:69" ht="12.75" customHeight="1" x14ac:dyDescent="0.25">
      <c r="A127" s="229"/>
      <c r="B127" s="229"/>
      <c r="C127" s="220"/>
      <c r="D127" s="220"/>
      <c r="E127" s="242"/>
      <c r="F127" s="254"/>
      <c r="G127" s="254"/>
      <c r="H127" s="254"/>
      <c r="I127" s="254"/>
      <c r="J127" s="254"/>
      <c r="K127" s="220"/>
      <c r="L127" s="254"/>
      <c r="M127" s="254"/>
      <c r="N127" s="255"/>
      <c r="O127" s="255"/>
      <c r="P127" s="219"/>
      <c r="Q127" s="220"/>
      <c r="R127" s="244"/>
      <c r="S127" s="220"/>
      <c r="T127" s="220"/>
      <c r="U127" s="220"/>
      <c r="V127" s="244"/>
      <c r="W127" s="244"/>
      <c r="X127" s="220"/>
      <c r="Y127" s="220"/>
      <c r="Z127" s="220"/>
      <c r="AA127" s="244"/>
      <c r="AB127" s="244"/>
      <c r="AC127" s="244"/>
      <c r="AD127" s="244"/>
      <c r="AE127" s="220"/>
      <c r="AF127" s="220"/>
      <c r="AG127" s="220"/>
      <c r="AH127" s="220"/>
      <c r="AI127" s="220"/>
      <c r="AJ127" s="244"/>
      <c r="AK127" s="254"/>
      <c r="AL127" s="250"/>
      <c r="AM127" s="244"/>
      <c r="AN127" s="244"/>
      <c r="AO127" s="220"/>
      <c r="AP127" s="244"/>
      <c r="AQ127" s="220"/>
      <c r="AR127" s="220"/>
      <c r="AS127" s="220"/>
      <c r="AT127" s="220"/>
      <c r="AU127" s="220"/>
      <c r="AV127" s="220"/>
      <c r="AW127" s="220"/>
      <c r="AX127" s="220"/>
      <c r="AY127" s="220"/>
      <c r="AZ127" s="220"/>
      <c r="BA127" s="220"/>
      <c r="BB127" s="220"/>
      <c r="BC127" s="220"/>
      <c r="BD127" s="220"/>
      <c r="BE127" s="220"/>
      <c r="BF127" s="220"/>
      <c r="BG127" s="220"/>
      <c r="BH127" s="220"/>
      <c r="BI127" s="220"/>
      <c r="BJ127" s="220"/>
      <c r="BK127" s="220"/>
      <c r="BL127" s="220"/>
      <c r="BM127" s="220"/>
      <c r="BN127" s="220"/>
      <c r="BO127" s="242"/>
      <c r="BP127" s="242"/>
      <c r="BQ127" s="242"/>
    </row>
    <row r="128" spans="1:69" ht="12.75" customHeight="1" x14ac:dyDescent="0.25">
      <c r="A128" s="229"/>
      <c r="B128" s="229"/>
      <c r="C128" s="220"/>
      <c r="D128" s="220"/>
      <c r="E128" s="242"/>
      <c r="F128" s="254"/>
      <c r="G128" s="254"/>
      <c r="H128" s="254"/>
      <c r="I128" s="254"/>
      <c r="J128" s="254"/>
      <c r="K128" s="220"/>
      <c r="L128" s="254"/>
      <c r="M128" s="254"/>
      <c r="N128" s="255"/>
      <c r="O128" s="255"/>
      <c r="P128" s="219"/>
      <c r="Q128" s="220"/>
      <c r="R128" s="244"/>
      <c r="S128" s="220"/>
      <c r="T128" s="220"/>
      <c r="U128" s="220"/>
      <c r="V128" s="244"/>
      <c r="W128" s="244"/>
      <c r="X128" s="220"/>
      <c r="Y128" s="220"/>
      <c r="Z128" s="220"/>
      <c r="AA128" s="244"/>
      <c r="AB128" s="244"/>
      <c r="AC128" s="244"/>
      <c r="AD128" s="244"/>
      <c r="AE128" s="220"/>
      <c r="AF128" s="220"/>
      <c r="AG128" s="220"/>
      <c r="AH128" s="220"/>
      <c r="AI128" s="220"/>
      <c r="AJ128" s="244"/>
      <c r="AK128" s="254"/>
      <c r="AL128" s="250"/>
      <c r="AM128" s="244"/>
      <c r="AN128" s="244"/>
      <c r="AO128" s="220"/>
      <c r="AP128" s="244"/>
      <c r="AQ128" s="220"/>
      <c r="AR128" s="220"/>
      <c r="AS128" s="220"/>
      <c r="AT128" s="220"/>
      <c r="AU128" s="220"/>
      <c r="AV128" s="220"/>
      <c r="AW128" s="220"/>
      <c r="AX128" s="220"/>
      <c r="AY128" s="220"/>
      <c r="AZ128" s="220"/>
      <c r="BA128" s="220"/>
      <c r="BB128" s="220"/>
      <c r="BC128" s="220"/>
      <c r="BD128" s="220"/>
      <c r="BE128" s="220"/>
      <c r="BF128" s="220"/>
      <c r="BG128" s="220"/>
      <c r="BH128" s="220"/>
      <c r="BI128" s="220"/>
      <c r="BJ128" s="220"/>
      <c r="BK128" s="220"/>
      <c r="BL128" s="220"/>
      <c r="BM128" s="220"/>
      <c r="BN128" s="220"/>
      <c r="BO128" s="242"/>
      <c r="BP128" s="242"/>
      <c r="BQ128" s="242"/>
    </row>
    <row r="129" spans="1:69" ht="12.75" customHeight="1" x14ac:dyDescent="0.25">
      <c r="A129" s="229"/>
      <c r="B129" s="229"/>
      <c r="C129" s="220"/>
      <c r="D129" s="220"/>
      <c r="E129" s="242"/>
      <c r="F129" s="254"/>
      <c r="G129" s="254"/>
      <c r="H129" s="254"/>
      <c r="I129" s="254"/>
      <c r="J129" s="254"/>
      <c r="K129" s="220"/>
      <c r="L129" s="254"/>
      <c r="M129" s="254"/>
      <c r="N129" s="255"/>
      <c r="O129" s="255"/>
      <c r="P129" s="219"/>
      <c r="Q129" s="220"/>
      <c r="R129" s="244"/>
      <c r="S129" s="220"/>
      <c r="T129" s="220"/>
      <c r="U129" s="220"/>
      <c r="V129" s="244"/>
      <c r="W129" s="244"/>
      <c r="X129" s="220"/>
      <c r="Y129" s="220"/>
      <c r="Z129" s="220"/>
      <c r="AA129" s="244"/>
      <c r="AB129" s="244"/>
      <c r="AC129" s="244"/>
      <c r="AD129" s="244"/>
      <c r="AE129" s="220"/>
      <c r="AF129" s="220"/>
      <c r="AG129" s="220"/>
      <c r="AH129" s="220"/>
      <c r="AI129" s="220"/>
      <c r="AJ129" s="244"/>
      <c r="AK129" s="254"/>
      <c r="AL129" s="250"/>
      <c r="AM129" s="244"/>
      <c r="AN129" s="244"/>
      <c r="AO129" s="220"/>
      <c r="AP129" s="244"/>
      <c r="AQ129" s="220"/>
      <c r="AR129" s="220"/>
      <c r="AS129" s="220"/>
      <c r="AT129" s="220"/>
      <c r="AU129" s="220"/>
      <c r="AV129" s="220"/>
      <c r="AW129" s="220"/>
      <c r="AX129" s="220"/>
      <c r="AY129" s="220"/>
      <c r="AZ129" s="220"/>
      <c r="BA129" s="220"/>
      <c r="BB129" s="220"/>
      <c r="BC129" s="220"/>
      <c r="BD129" s="220"/>
      <c r="BE129" s="220"/>
      <c r="BF129" s="220"/>
      <c r="BG129" s="220"/>
      <c r="BH129" s="220"/>
      <c r="BI129" s="220"/>
      <c r="BJ129" s="220"/>
      <c r="BK129" s="220"/>
      <c r="BL129" s="220"/>
      <c r="BM129" s="220"/>
      <c r="BN129" s="220"/>
      <c r="BO129" s="242"/>
      <c r="BP129" s="242"/>
      <c r="BQ129" s="242"/>
    </row>
    <row r="130" spans="1:69" ht="12.75" customHeight="1" x14ac:dyDescent="0.25">
      <c r="A130" s="229"/>
      <c r="B130" s="229"/>
      <c r="C130" s="220"/>
      <c r="D130" s="220"/>
      <c r="E130" s="242"/>
      <c r="F130" s="254"/>
      <c r="G130" s="254"/>
      <c r="H130" s="254"/>
      <c r="I130" s="254"/>
      <c r="J130" s="254"/>
      <c r="K130" s="220"/>
      <c r="L130" s="254"/>
      <c r="M130" s="254"/>
      <c r="N130" s="255"/>
      <c r="O130" s="255"/>
      <c r="P130" s="219"/>
      <c r="Q130" s="220"/>
      <c r="R130" s="244"/>
      <c r="S130" s="220"/>
      <c r="T130" s="220"/>
      <c r="U130" s="220"/>
      <c r="V130" s="244"/>
      <c r="W130" s="244"/>
      <c r="X130" s="220"/>
      <c r="Y130" s="220"/>
      <c r="Z130" s="220"/>
      <c r="AA130" s="244"/>
      <c r="AB130" s="244"/>
      <c r="AC130" s="244"/>
      <c r="AD130" s="244"/>
      <c r="AE130" s="220"/>
      <c r="AF130" s="220"/>
      <c r="AG130" s="220"/>
      <c r="AH130" s="220"/>
      <c r="AI130" s="220"/>
      <c r="AJ130" s="244"/>
      <c r="AK130" s="254"/>
      <c r="AL130" s="250"/>
      <c r="AM130" s="244"/>
      <c r="AN130" s="244"/>
      <c r="AO130" s="220"/>
      <c r="AP130" s="244"/>
      <c r="AQ130" s="220"/>
      <c r="AR130" s="220"/>
      <c r="AS130" s="220"/>
      <c r="AT130" s="220"/>
      <c r="AU130" s="220"/>
      <c r="AV130" s="220"/>
      <c r="AW130" s="220"/>
      <c r="AX130" s="220"/>
      <c r="AY130" s="220"/>
      <c r="AZ130" s="220"/>
      <c r="BA130" s="220"/>
      <c r="BB130" s="220"/>
      <c r="BC130" s="220"/>
      <c r="BD130" s="220"/>
      <c r="BE130" s="220"/>
      <c r="BF130" s="220"/>
      <c r="BG130" s="220"/>
      <c r="BH130" s="220"/>
      <c r="BI130" s="220"/>
      <c r="BJ130" s="220"/>
      <c r="BK130" s="220"/>
      <c r="BL130" s="220"/>
      <c r="BM130" s="220"/>
      <c r="BN130" s="220"/>
      <c r="BO130" s="242"/>
      <c r="BP130" s="242"/>
      <c r="BQ130" s="242"/>
    </row>
    <row r="131" spans="1:69" ht="12.75" customHeight="1" x14ac:dyDescent="0.25">
      <c r="A131" s="229"/>
      <c r="B131" s="229"/>
      <c r="C131" s="220"/>
      <c r="D131" s="220"/>
      <c r="E131" s="242"/>
      <c r="F131" s="254"/>
      <c r="G131" s="254"/>
      <c r="H131" s="254"/>
      <c r="I131" s="254"/>
      <c r="J131" s="254"/>
      <c r="K131" s="220"/>
      <c r="L131" s="254"/>
      <c r="M131" s="254"/>
      <c r="N131" s="255"/>
      <c r="O131" s="255"/>
      <c r="P131" s="219"/>
      <c r="Q131" s="220"/>
      <c r="R131" s="244"/>
      <c r="S131" s="220"/>
      <c r="T131" s="220"/>
      <c r="U131" s="220"/>
      <c r="V131" s="244"/>
      <c r="W131" s="244"/>
      <c r="X131" s="220"/>
      <c r="Y131" s="220"/>
      <c r="Z131" s="220"/>
      <c r="AA131" s="244"/>
      <c r="AB131" s="244"/>
      <c r="AC131" s="244"/>
      <c r="AD131" s="244"/>
      <c r="AE131" s="220"/>
      <c r="AF131" s="220"/>
      <c r="AG131" s="220"/>
      <c r="AH131" s="220"/>
      <c r="AI131" s="220"/>
      <c r="AJ131" s="244"/>
      <c r="AK131" s="254"/>
      <c r="AL131" s="250"/>
      <c r="AM131" s="244"/>
      <c r="AN131" s="244"/>
      <c r="AO131" s="220"/>
      <c r="AP131" s="244"/>
      <c r="AQ131" s="220"/>
      <c r="AR131" s="220"/>
      <c r="AS131" s="220"/>
      <c r="AT131" s="220"/>
      <c r="AU131" s="220"/>
      <c r="AV131" s="220"/>
      <c r="AW131" s="220"/>
      <c r="AX131" s="220"/>
      <c r="AY131" s="220"/>
      <c r="AZ131" s="220"/>
      <c r="BA131" s="220"/>
      <c r="BB131" s="220"/>
      <c r="BC131" s="220"/>
      <c r="BD131" s="220"/>
      <c r="BE131" s="220"/>
      <c r="BF131" s="220"/>
      <c r="BG131" s="220"/>
      <c r="BH131" s="220"/>
      <c r="BI131" s="220"/>
      <c r="BJ131" s="220"/>
      <c r="BK131" s="220"/>
      <c r="BL131" s="220"/>
      <c r="BM131" s="220"/>
      <c r="BN131" s="220"/>
      <c r="BO131" s="242"/>
      <c r="BP131" s="242"/>
      <c r="BQ131" s="242"/>
    </row>
    <row r="132" spans="1:69" ht="12.75" customHeight="1" x14ac:dyDescent="0.25">
      <c r="A132" s="229"/>
      <c r="B132" s="229"/>
      <c r="C132" s="220"/>
      <c r="D132" s="220"/>
      <c r="E132" s="242"/>
      <c r="F132" s="254"/>
      <c r="G132" s="254"/>
      <c r="H132" s="254"/>
      <c r="I132" s="254"/>
      <c r="J132" s="254"/>
      <c r="K132" s="220"/>
      <c r="L132" s="254"/>
      <c r="M132" s="254"/>
      <c r="N132" s="255"/>
      <c r="O132" s="255"/>
      <c r="P132" s="219"/>
      <c r="Q132" s="220"/>
      <c r="R132" s="244"/>
      <c r="S132" s="220"/>
      <c r="T132" s="220"/>
      <c r="U132" s="220"/>
      <c r="V132" s="244"/>
      <c r="W132" s="244"/>
      <c r="X132" s="220"/>
      <c r="Y132" s="220"/>
      <c r="Z132" s="220"/>
      <c r="AA132" s="244"/>
      <c r="AB132" s="244"/>
      <c r="AC132" s="244"/>
      <c r="AD132" s="244"/>
      <c r="AE132" s="220"/>
      <c r="AF132" s="220"/>
      <c r="AG132" s="220"/>
      <c r="AH132" s="220"/>
      <c r="AI132" s="220"/>
      <c r="AJ132" s="244"/>
      <c r="AK132" s="254"/>
      <c r="AL132" s="250"/>
      <c r="AM132" s="244"/>
      <c r="AN132" s="244"/>
      <c r="AO132" s="220"/>
      <c r="AP132" s="244"/>
      <c r="AQ132" s="220"/>
      <c r="AR132" s="220"/>
      <c r="AS132" s="220"/>
      <c r="AT132" s="220"/>
      <c r="AU132" s="220"/>
      <c r="AV132" s="220"/>
      <c r="AW132" s="220"/>
      <c r="AX132" s="220"/>
      <c r="AY132" s="220"/>
      <c r="AZ132" s="220"/>
      <c r="BA132" s="220"/>
      <c r="BB132" s="220"/>
      <c r="BC132" s="220"/>
      <c r="BD132" s="220"/>
      <c r="BE132" s="220"/>
      <c r="BF132" s="220"/>
      <c r="BG132" s="220"/>
      <c r="BH132" s="220"/>
      <c r="BI132" s="220"/>
      <c r="BJ132" s="220"/>
      <c r="BK132" s="220"/>
      <c r="BL132" s="220"/>
      <c r="BM132" s="220"/>
      <c r="BN132" s="220"/>
      <c r="BO132" s="242"/>
      <c r="BP132" s="242"/>
      <c r="BQ132" s="242"/>
    </row>
    <row r="133" spans="1:69" ht="12.75" customHeight="1" x14ac:dyDescent="0.25">
      <c r="A133" s="229"/>
      <c r="B133" s="229"/>
      <c r="C133" s="220"/>
      <c r="D133" s="220"/>
      <c r="E133" s="242"/>
      <c r="F133" s="254"/>
      <c r="G133" s="254"/>
      <c r="H133" s="254"/>
      <c r="I133" s="254"/>
      <c r="J133" s="254"/>
      <c r="K133" s="220"/>
      <c r="L133" s="254"/>
      <c r="M133" s="254"/>
      <c r="N133" s="255"/>
      <c r="O133" s="255"/>
      <c r="P133" s="219"/>
      <c r="Q133" s="220"/>
      <c r="R133" s="244"/>
      <c r="S133" s="220"/>
      <c r="T133" s="220"/>
      <c r="U133" s="220"/>
      <c r="V133" s="244"/>
      <c r="W133" s="244"/>
      <c r="X133" s="220"/>
      <c r="Y133" s="220"/>
      <c r="Z133" s="220"/>
      <c r="AA133" s="244"/>
      <c r="AB133" s="244"/>
      <c r="AC133" s="244"/>
      <c r="AD133" s="244"/>
      <c r="AE133" s="220"/>
      <c r="AF133" s="220"/>
      <c r="AG133" s="220"/>
      <c r="AH133" s="220"/>
      <c r="AI133" s="220"/>
      <c r="AJ133" s="244"/>
      <c r="AK133" s="254"/>
      <c r="AL133" s="250"/>
      <c r="AM133" s="244"/>
      <c r="AN133" s="244"/>
      <c r="AO133" s="220"/>
      <c r="AP133" s="244"/>
      <c r="AQ133" s="220"/>
      <c r="AR133" s="220"/>
      <c r="AS133" s="220"/>
      <c r="AT133" s="220"/>
      <c r="AU133" s="220"/>
      <c r="AV133" s="220"/>
      <c r="AW133" s="220"/>
      <c r="AX133" s="220"/>
      <c r="AY133" s="220"/>
      <c r="AZ133" s="220"/>
      <c r="BA133" s="220"/>
      <c r="BB133" s="220"/>
      <c r="BC133" s="220"/>
      <c r="BD133" s="220"/>
      <c r="BE133" s="220"/>
      <c r="BF133" s="220"/>
      <c r="BG133" s="220"/>
      <c r="BH133" s="220"/>
      <c r="BI133" s="220"/>
      <c r="BJ133" s="220"/>
      <c r="BK133" s="220"/>
      <c r="BL133" s="220"/>
      <c r="BM133" s="220"/>
      <c r="BN133" s="220"/>
      <c r="BO133" s="242"/>
      <c r="BP133" s="242"/>
      <c r="BQ133" s="242"/>
    </row>
    <row r="134" spans="1:69" ht="12.75" customHeight="1" x14ac:dyDescent="0.25">
      <c r="A134" s="229"/>
      <c r="B134" s="229"/>
      <c r="C134" s="220"/>
      <c r="D134" s="220"/>
      <c r="E134" s="242"/>
      <c r="F134" s="254"/>
      <c r="G134" s="254"/>
      <c r="H134" s="254"/>
      <c r="I134" s="254"/>
      <c r="J134" s="254"/>
      <c r="K134" s="220"/>
      <c r="L134" s="254"/>
      <c r="M134" s="254"/>
      <c r="N134" s="255"/>
      <c r="O134" s="255"/>
      <c r="P134" s="219"/>
      <c r="Q134" s="220"/>
      <c r="R134" s="244"/>
      <c r="S134" s="220"/>
      <c r="T134" s="220"/>
      <c r="U134" s="220"/>
      <c r="V134" s="244"/>
      <c r="W134" s="244"/>
      <c r="X134" s="220"/>
      <c r="Y134" s="220"/>
      <c r="Z134" s="220"/>
      <c r="AA134" s="244"/>
      <c r="AB134" s="244"/>
      <c r="AC134" s="244"/>
      <c r="AD134" s="244"/>
      <c r="AE134" s="220"/>
      <c r="AF134" s="220"/>
      <c r="AG134" s="220"/>
      <c r="AH134" s="220"/>
      <c r="AI134" s="220"/>
      <c r="AJ134" s="244"/>
      <c r="AK134" s="254"/>
      <c r="AL134" s="250"/>
      <c r="AM134" s="244"/>
      <c r="AN134" s="244"/>
      <c r="AO134" s="220"/>
      <c r="AP134" s="244"/>
      <c r="AQ134" s="220"/>
      <c r="AR134" s="220"/>
      <c r="AS134" s="220"/>
      <c r="AT134" s="220"/>
      <c r="AU134" s="220"/>
      <c r="AV134" s="220"/>
      <c r="AW134" s="220"/>
      <c r="AX134" s="220"/>
      <c r="AY134" s="220"/>
      <c r="AZ134" s="220"/>
      <c r="BA134" s="220"/>
      <c r="BB134" s="220"/>
      <c r="BC134" s="220"/>
      <c r="BD134" s="220"/>
      <c r="BE134" s="220"/>
      <c r="BF134" s="220"/>
      <c r="BG134" s="220"/>
      <c r="BH134" s="220"/>
      <c r="BI134" s="220"/>
      <c r="BJ134" s="220"/>
      <c r="BK134" s="220"/>
      <c r="BL134" s="220"/>
      <c r="BM134" s="220"/>
      <c r="BN134" s="220"/>
      <c r="BO134" s="242"/>
      <c r="BP134" s="242"/>
      <c r="BQ134" s="242"/>
    </row>
    <row r="135" spans="1:69" ht="12.75" customHeight="1" x14ac:dyDescent="0.25">
      <c r="A135" s="229"/>
      <c r="B135" s="229"/>
      <c r="C135" s="220"/>
      <c r="D135" s="220"/>
      <c r="E135" s="242"/>
      <c r="F135" s="254"/>
      <c r="G135" s="254"/>
      <c r="H135" s="254"/>
      <c r="I135" s="254"/>
      <c r="J135" s="254"/>
      <c r="K135" s="220"/>
      <c r="L135" s="254"/>
      <c r="M135" s="254"/>
      <c r="N135" s="255"/>
      <c r="O135" s="255"/>
      <c r="P135" s="219"/>
      <c r="Q135" s="220"/>
      <c r="R135" s="244"/>
      <c r="S135" s="220"/>
      <c r="T135" s="220"/>
      <c r="U135" s="220"/>
      <c r="V135" s="244"/>
      <c r="W135" s="244"/>
      <c r="X135" s="220"/>
      <c r="Y135" s="220"/>
      <c r="Z135" s="220"/>
      <c r="AA135" s="244"/>
      <c r="AB135" s="244"/>
      <c r="AC135" s="244"/>
      <c r="AD135" s="244"/>
      <c r="AE135" s="220"/>
      <c r="AF135" s="220"/>
      <c r="AG135" s="220"/>
      <c r="AH135" s="220"/>
      <c r="AI135" s="220"/>
      <c r="AJ135" s="244"/>
      <c r="AK135" s="254"/>
      <c r="AL135" s="250"/>
      <c r="AM135" s="244"/>
      <c r="AN135" s="244"/>
      <c r="AO135" s="220"/>
      <c r="AP135" s="244"/>
      <c r="AQ135" s="220"/>
      <c r="AR135" s="220"/>
      <c r="AS135" s="220"/>
      <c r="AT135" s="220"/>
      <c r="AU135" s="220"/>
      <c r="AV135" s="220"/>
      <c r="AW135" s="220"/>
      <c r="AX135" s="220"/>
      <c r="AY135" s="220"/>
      <c r="AZ135" s="220"/>
      <c r="BA135" s="220"/>
      <c r="BB135" s="220"/>
      <c r="BC135" s="220"/>
      <c r="BD135" s="220"/>
      <c r="BE135" s="220"/>
      <c r="BF135" s="220"/>
      <c r="BG135" s="220"/>
      <c r="BH135" s="220"/>
      <c r="BI135" s="220"/>
      <c r="BJ135" s="220"/>
      <c r="BK135" s="220"/>
      <c r="BL135" s="220"/>
      <c r="BM135" s="220"/>
      <c r="BN135" s="220"/>
      <c r="BO135" s="242"/>
      <c r="BP135" s="242"/>
      <c r="BQ135" s="242"/>
    </row>
    <row r="136" spans="1:69" ht="12.75" customHeight="1" x14ac:dyDescent="0.25">
      <c r="A136" s="229"/>
      <c r="B136" s="229"/>
      <c r="C136" s="220"/>
      <c r="D136" s="220"/>
      <c r="E136" s="242"/>
      <c r="F136" s="254"/>
      <c r="G136" s="254"/>
      <c r="H136" s="254"/>
      <c r="I136" s="254"/>
      <c r="J136" s="254"/>
      <c r="K136" s="220"/>
      <c r="L136" s="254"/>
      <c r="M136" s="254"/>
      <c r="N136" s="255"/>
      <c r="O136" s="255"/>
      <c r="P136" s="219"/>
      <c r="Q136" s="220"/>
      <c r="R136" s="244"/>
      <c r="S136" s="220"/>
      <c r="T136" s="220"/>
      <c r="U136" s="220"/>
      <c r="V136" s="244"/>
      <c r="W136" s="244"/>
      <c r="X136" s="220"/>
      <c r="Y136" s="220"/>
      <c r="Z136" s="220"/>
      <c r="AA136" s="244"/>
      <c r="AB136" s="244"/>
      <c r="AC136" s="244"/>
      <c r="AD136" s="244"/>
      <c r="AE136" s="220"/>
      <c r="AF136" s="220"/>
      <c r="AG136" s="220"/>
      <c r="AH136" s="220"/>
      <c r="AI136" s="220"/>
      <c r="AJ136" s="244"/>
      <c r="AK136" s="254"/>
      <c r="AL136" s="250"/>
      <c r="AM136" s="244"/>
      <c r="AN136" s="244"/>
      <c r="AO136" s="220"/>
      <c r="AP136" s="244"/>
      <c r="AQ136" s="220"/>
      <c r="AR136" s="220"/>
      <c r="AS136" s="220"/>
      <c r="AT136" s="220"/>
      <c r="AU136" s="220"/>
      <c r="AV136" s="220"/>
      <c r="AW136" s="220"/>
      <c r="AX136" s="220"/>
      <c r="AY136" s="220"/>
      <c r="AZ136" s="220"/>
      <c r="BA136" s="220"/>
      <c r="BB136" s="220"/>
      <c r="BC136" s="220"/>
      <c r="BD136" s="220"/>
      <c r="BE136" s="220"/>
      <c r="BF136" s="220"/>
      <c r="BG136" s="220"/>
      <c r="BH136" s="220"/>
      <c r="BI136" s="220"/>
      <c r="BJ136" s="220"/>
      <c r="BK136" s="220"/>
      <c r="BL136" s="220"/>
      <c r="BM136" s="220"/>
      <c r="BN136" s="220"/>
      <c r="BO136" s="242"/>
      <c r="BP136" s="242"/>
      <c r="BQ136" s="242"/>
    </row>
    <row r="137" spans="1:69" ht="12.75" customHeight="1" x14ac:dyDescent="0.25">
      <c r="A137" s="229"/>
      <c r="B137" s="229"/>
      <c r="C137" s="220"/>
      <c r="D137" s="220"/>
      <c r="E137" s="242"/>
      <c r="F137" s="254"/>
      <c r="G137" s="254"/>
      <c r="H137" s="254"/>
      <c r="I137" s="254"/>
      <c r="J137" s="254"/>
      <c r="K137" s="220"/>
      <c r="L137" s="254"/>
      <c r="M137" s="254"/>
      <c r="N137" s="255"/>
      <c r="O137" s="255"/>
      <c r="P137" s="219"/>
      <c r="Q137" s="220"/>
      <c r="R137" s="244"/>
      <c r="S137" s="220"/>
      <c r="T137" s="220"/>
      <c r="U137" s="220"/>
      <c r="V137" s="244"/>
      <c r="W137" s="244"/>
      <c r="X137" s="220"/>
      <c r="Y137" s="220"/>
      <c r="Z137" s="220"/>
      <c r="AA137" s="244"/>
      <c r="AB137" s="244"/>
      <c r="AC137" s="244"/>
      <c r="AD137" s="244"/>
      <c r="AE137" s="220"/>
      <c r="AF137" s="220"/>
      <c r="AG137" s="220"/>
      <c r="AH137" s="220"/>
      <c r="AI137" s="220"/>
      <c r="AJ137" s="244"/>
      <c r="AK137" s="254"/>
      <c r="AL137" s="250"/>
      <c r="AM137" s="244"/>
      <c r="AN137" s="244"/>
      <c r="AO137" s="220"/>
      <c r="AP137" s="244"/>
      <c r="AQ137" s="220"/>
      <c r="AR137" s="220"/>
      <c r="AS137" s="220"/>
      <c r="AT137" s="220"/>
      <c r="AU137" s="220"/>
      <c r="AV137" s="220"/>
      <c r="AW137" s="220"/>
      <c r="AX137" s="220"/>
      <c r="AY137" s="220"/>
      <c r="AZ137" s="220"/>
      <c r="BA137" s="220"/>
      <c r="BB137" s="220"/>
      <c r="BC137" s="220"/>
      <c r="BD137" s="220"/>
      <c r="BE137" s="220"/>
      <c r="BF137" s="220"/>
      <c r="BG137" s="220"/>
      <c r="BH137" s="220"/>
      <c r="BI137" s="220"/>
      <c r="BJ137" s="220"/>
      <c r="BK137" s="220"/>
      <c r="BL137" s="220"/>
      <c r="BM137" s="220"/>
      <c r="BN137" s="220"/>
      <c r="BO137" s="242"/>
      <c r="BP137" s="242"/>
      <c r="BQ137" s="242"/>
    </row>
    <row r="138" spans="1:69" ht="12.75" customHeight="1" x14ac:dyDescent="0.25">
      <c r="A138" s="229"/>
      <c r="B138" s="229"/>
      <c r="C138" s="220"/>
      <c r="D138" s="220"/>
      <c r="E138" s="242"/>
      <c r="F138" s="254"/>
      <c r="G138" s="254"/>
      <c r="H138" s="254"/>
      <c r="I138" s="254"/>
      <c r="J138" s="254"/>
      <c r="K138" s="220"/>
      <c r="L138" s="254"/>
      <c r="M138" s="254"/>
      <c r="N138" s="255"/>
      <c r="O138" s="255"/>
      <c r="P138" s="219"/>
      <c r="Q138" s="220"/>
      <c r="R138" s="244"/>
      <c r="S138" s="220"/>
      <c r="T138" s="220"/>
      <c r="U138" s="220"/>
      <c r="V138" s="244"/>
      <c r="W138" s="244"/>
      <c r="X138" s="220"/>
      <c r="Y138" s="220"/>
      <c r="Z138" s="220"/>
      <c r="AA138" s="244"/>
      <c r="AB138" s="244"/>
      <c r="AC138" s="244"/>
      <c r="AD138" s="244"/>
      <c r="AE138" s="220"/>
      <c r="AF138" s="220"/>
      <c r="AG138" s="220"/>
      <c r="AH138" s="220"/>
      <c r="AI138" s="220"/>
      <c r="AJ138" s="244"/>
      <c r="AK138" s="254"/>
      <c r="AL138" s="250"/>
      <c r="AM138" s="244"/>
      <c r="AN138" s="244"/>
      <c r="AO138" s="220"/>
      <c r="AP138" s="244"/>
      <c r="AQ138" s="220"/>
      <c r="AR138" s="220"/>
      <c r="AS138" s="220"/>
      <c r="AT138" s="220"/>
      <c r="AU138" s="220"/>
      <c r="AV138" s="220"/>
      <c r="AW138" s="220"/>
      <c r="AX138" s="220"/>
      <c r="AY138" s="220"/>
      <c r="AZ138" s="220"/>
      <c r="BA138" s="220"/>
      <c r="BB138" s="220"/>
      <c r="BC138" s="220"/>
      <c r="BD138" s="220"/>
      <c r="BE138" s="220"/>
      <c r="BF138" s="220"/>
      <c r="BG138" s="220"/>
      <c r="BH138" s="220"/>
      <c r="BI138" s="220"/>
      <c r="BJ138" s="220"/>
      <c r="BK138" s="220"/>
      <c r="BL138" s="220"/>
      <c r="BM138" s="220"/>
      <c r="BN138" s="220"/>
      <c r="BO138" s="242"/>
      <c r="BP138" s="242"/>
      <c r="BQ138" s="242"/>
    </row>
    <row r="139" spans="1:69" ht="12.75" customHeight="1" x14ac:dyDescent="0.25">
      <c r="A139" s="229"/>
      <c r="B139" s="229"/>
      <c r="C139" s="220"/>
      <c r="D139" s="220"/>
      <c r="E139" s="242"/>
      <c r="F139" s="254"/>
      <c r="G139" s="254"/>
      <c r="H139" s="254"/>
      <c r="I139" s="254"/>
      <c r="J139" s="254"/>
      <c r="K139" s="220"/>
      <c r="L139" s="254"/>
      <c r="M139" s="254"/>
      <c r="N139" s="255"/>
      <c r="O139" s="255"/>
      <c r="P139" s="219"/>
      <c r="Q139" s="220"/>
      <c r="R139" s="244"/>
      <c r="S139" s="220"/>
      <c r="T139" s="220"/>
      <c r="U139" s="220"/>
      <c r="V139" s="244"/>
      <c r="W139" s="244"/>
      <c r="X139" s="220"/>
      <c r="Y139" s="220"/>
      <c r="Z139" s="220"/>
      <c r="AA139" s="244"/>
      <c r="AB139" s="244"/>
      <c r="AC139" s="244"/>
      <c r="AD139" s="244"/>
      <c r="AE139" s="220"/>
      <c r="AF139" s="220"/>
      <c r="AG139" s="220"/>
      <c r="AH139" s="220"/>
      <c r="AI139" s="220"/>
      <c r="AJ139" s="244"/>
      <c r="AK139" s="254"/>
      <c r="AL139" s="250"/>
      <c r="AM139" s="244"/>
      <c r="AN139" s="244"/>
      <c r="AO139" s="220"/>
      <c r="AP139" s="244"/>
      <c r="AQ139" s="220"/>
      <c r="AR139" s="220"/>
      <c r="AS139" s="220"/>
      <c r="AT139" s="220"/>
      <c r="AU139" s="220"/>
      <c r="AV139" s="220"/>
      <c r="AW139" s="220"/>
      <c r="AX139" s="220"/>
      <c r="AY139" s="220"/>
      <c r="AZ139" s="220"/>
      <c r="BA139" s="220"/>
      <c r="BB139" s="220"/>
      <c r="BC139" s="220"/>
      <c r="BD139" s="220"/>
      <c r="BE139" s="220"/>
      <c r="BF139" s="220"/>
      <c r="BG139" s="220"/>
      <c r="BH139" s="220"/>
      <c r="BI139" s="220"/>
      <c r="BJ139" s="220"/>
      <c r="BK139" s="220"/>
      <c r="BL139" s="220"/>
      <c r="BM139" s="220"/>
      <c r="BN139" s="220"/>
      <c r="BO139" s="242"/>
      <c r="BP139" s="242"/>
      <c r="BQ139" s="242"/>
    </row>
    <row r="140" spans="1:69" ht="12.75" customHeight="1" x14ac:dyDescent="0.25">
      <c r="A140" s="229"/>
      <c r="B140" s="229"/>
      <c r="C140" s="220"/>
      <c r="D140" s="220"/>
      <c r="E140" s="242"/>
      <c r="F140" s="254"/>
      <c r="G140" s="254"/>
      <c r="H140" s="254"/>
      <c r="I140" s="254"/>
      <c r="J140" s="254"/>
      <c r="K140" s="220"/>
      <c r="L140" s="254"/>
      <c r="M140" s="254"/>
      <c r="N140" s="255"/>
      <c r="O140" s="255"/>
      <c r="P140" s="219"/>
      <c r="Q140" s="220"/>
      <c r="R140" s="244"/>
      <c r="S140" s="220"/>
      <c r="T140" s="220"/>
      <c r="U140" s="220"/>
      <c r="V140" s="244"/>
      <c r="W140" s="244"/>
      <c r="X140" s="220"/>
      <c r="Y140" s="220"/>
      <c r="Z140" s="220"/>
      <c r="AA140" s="244"/>
      <c r="AB140" s="244"/>
      <c r="AC140" s="244"/>
      <c r="AD140" s="244"/>
      <c r="AE140" s="220"/>
      <c r="AF140" s="220"/>
      <c r="AG140" s="220"/>
      <c r="AH140" s="220"/>
      <c r="AI140" s="220"/>
      <c r="AJ140" s="244"/>
      <c r="AK140" s="254"/>
      <c r="AL140" s="250"/>
      <c r="AM140" s="244"/>
      <c r="AN140" s="244"/>
      <c r="AO140" s="220"/>
      <c r="AP140" s="244"/>
      <c r="AQ140" s="220"/>
      <c r="AR140" s="220"/>
      <c r="AS140" s="220"/>
      <c r="AT140" s="220"/>
      <c r="AU140" s="220"/>
      <c r="AV140" s="220"/>
      <c r="AW140" s="220"/>
      <c r="AX140" s="220"/>
      <c r="AY140" s="220"/>
      <c r="AZ140" s="220"/>
      <c r="BA140" s="220"/>
      <c r="BB140" s="220"/>
      <c r="BC140" s="220"/>
      <c r="BD140" s="220"/>
      <c r="BE140" s="220"/>
      <c r="BF140" s="220"/>
      <c r="BG140" s="220"/>
      <c r="BH140" s="220"/>
      <c r="BI140" s="220"/>
      <c r="BJ140" s="220"/>
      <c r="BK140" s="220"/>
      <c r="BL140" s="220"/>
      <c r="BM140" s="220"/>
      <c r="BN140" s="220"/>
      <c r="BO140" s="242"/>
      <c r="BP140" s="242"/>
      <c r="BQ140" s="242"/>
    </row>
    <row r="141" spans="1:69" ht="12.75" customHeight="1" x14ac:dyDescent="0.25">
      <c r="A141" s="229"/>
      <c r="B141" s="229"/>
      <c r="C141" s="220"/>
      <c r="D141" s="220"/>
      <c r="E141" s="242"/>
      <c r="F141" s="254"/>
      <c r="G141" s="254"/>
      <c r="H141" s="254"/>
      <c r="I141" s="254"/>
      <c r="J141" s="254"/>
      <c r="K141" s="220"/>
      <c r="L141" s="254"/>
      <c r="M141" s="254"/>
      <c r="N141" s="255"/>
      <c r="O141" s="255"/>
      <c r="P141" s="219"/>
      <c r="Q141" s="220"/>
      <c r="R141" s="244"/>
      <c r="S141" s="220"/>
      <c r="T141" s="220"/>
      <c r="U141" s="220"/>
      <c r="V141" s="244"/>
      <c r="W141" s="244"/>
      <c r="X141" s="220"/>
      <c r="Y141" s="220"/>
      <c r="Z141" s="220"/>
      <c r="AA141" s="244"/>
      <c r="AB141" s="244"/>
      <c r="AC141" s="244"/>
      <c r="AD141" s="244"/>
      <c r="AE141" s="220"/>
      <c r="AF141" s="220"/>
      <c r="AG141" s="220"/>
      <c r="AH141" s="220"/>
      <c r="AI141" s="220"/>
      <c r="AJ141" s="244"/>
      <c r="AK141" s="254"/>
      <c r="AL141" s="250"/>
      <c r="AM141" s="244"/>
      <c r="AN141" s="244"/>
      <c r="AO141" s="220"/>
      <c r="AP141" s="244"/>
      <c r="AQ141" s="220"/>
      <c r="AR141" s="220"/>
      <c r="AS141" s="220"/>
      <c r="AT141" s="220"/>
      <c r="AU141" s="220"/>
      <c r="AV141" s="220"/>
      <c r="AW141" s="220"/>
      <c r="AX141" s="220"/>
      <c r="AY141" s="220"/>
      <c r="AZ141" s="220"/>
      <c r="BA141" s="220"/>
      <c r="BB141" s="220"/>
      <c r="BC141" s="220"/>
      <c r="BD141" s="220"/>
      <c r="BE141" s="220"/>
      <c r="BF141" s="220"/>
      <c r="BG141" s="220"/>
      <c r="BH141" s="220"/>
      <c r="BI141" s="220"/>
      <c r="BJ141" s="220"/>
      <c r="BK141" s="220"/>
      <c r="BL141" s="220"/>
      <c r="BM141" s="220"/>
      <c r="BN141" s="220"/>
      <c r="BO141" s="242"/>
      <c r="BP141" s="242"/>
      <c r="BQ141" s="242"/>
    </row>
    <row r="142" spans="1:69" ht="12.75" customHeight="1" x14ac:dyDescent="0.25">
      <c r="A142" s="229"/>
      <c r="B142" s="229"/>
      <c r="C142" s="220"/>
      <c r="D142" s="220"/>
      <c r="E142" s="242"/>
      <c r="F142" s="254"/>
      <c r="G142" s="254"/>
      <c r="H142" s="254"/>
      <c r="I142" s="254"/>
      <c r="J142" s="254"/>
      <c r="K142" s="220"/>
      <c r="L142" s="254"/>
      <c r="M142" s="254"/>
      <c r="N142" s="255"/>
      <c r="O142" s="255"/>
      <c r="P142" s="219"/>
      <c r="Q142" s="220"/>
      <c r="R142" s="244"/>
      <c r="S142" s="220"/>
      <c r="T142" s="220"/>
      <c r="U142" s="220"/>
      <c r="V142" s="244"/>
      <c r="W142" s="244"/>
      <c r="X142" s="220"/>
      <c r="Y142" s="220"/>
      <c r="Z142" s="220"/>
      <c r="AA142" s="244"/>
      <c r="AB142" s="244"/>
      <c r="AC142" s="244"/>
      <c r="AD142" s="244"/>
      <c r="AE142" s="220"/>
      <c r="AF142" s="220"/>
      <c r="AG142" s="220"/>
      <c r="AH142" s="220"/>
      <c r="AI142" s="220"/>
      <c r="AJ142" s="244"/>
      <c r="AK142" s="254"/>
      <c r="AL142" s="250"/>
      <c r="AM142" s="244"/>
      <c r="AN142" s="244"/>
      <c r="AO142" s="220"/>
      <c r="AP142" s="244"/>
      <c r="AQ142" s="220"/>
      <c r="AR142" s="220"/>
      <c r="AS142" s="220"/>
      <c r="AT142" s="220"/>
      <c r="AU142" s="220"/>
      <c r="AV142" s="220"/>
      <c r="AW142" s="220"/>
      <c r="AX142" s="220"/>
      <c r="AY142" s="220"/>
      <c r="AZ142" s="220"/>
      <c r="BA142" s="220"/>
      <c r="BB142" s="220"/>
      <c r="BC142" s="220"/>
      <c r="BD142" s="220"/>
      <c r="BE142" s="220"/>
      <c r="BF142" s="220"/>
      <c r="BG142" s="220"/>
      <c r="BH142" s="220"/>
      <c r="BI142" s="220"/>
      <c r="BJ142" s="220"/>
      <c r="BK142" s="220"/>
      <c r="BL142" s="220"/>
      <c r="BM142" s="220"/>
      <c r="BN142" s="220"/>
      <c r="BO142" s="242"/>
      <c r="BP142" s="242"/>
      <c r="BQ142" s="242"/>
    </row>
    <row r="143" spans="1:69" ht="12.75" customHeight="1" x14ac:dyDescent="0.25">
      <c r="A143" s="229"/>
      <c r="B143" s="229"/>
      <c r="C143" s="220"/>
      <c r="D143" s="220"/>
      <c r="E143" s="242"/>
      <c r="F143" s="254"/>
      <c r="G143" s="254"/>
      <c r="H143" s="254"/>
      <c r="I143" s="254"/>
      <c r="J143" s="254"/>
      <c r="K143" s="220"/>
      <c r="L143" s="254"/>
      <c r="M143" s="254"/>
      <c r="N143" s="255"/>
      <c r="O143" s="255"/>
      <c r="P143" s="219"/>
      <c r="Q143" s="220"/>
      <c r="R143" s="244"/>
      <c r="S143" s="220"/>
      <c r="T143" s="220"/>
      <c r="U143" s="220"/>
      <c r="V143" s="244"/>
      <c r="W143" s="244"/>
      <c r="X143" s="220"/>
      <c r="Y143" s="220"/>
      <c r="Z143" s="220"/>
      <c r="AA143" s="244"/>
      <c r="AB143" s="244"/>
      <c r="AC143" s="244"/>
      <c r="AD143" s="244"/>
      <c r="AE143" s="220"/>
      <c r="AF143" s="220"/>
      <c r="AG143" s="220"/>
      <c r="AH143" s="220"/>
      <c r="AI143" s="220"/>
      <c r="AJ143" s="244"/>
      <c r="AK143" s="254"/>
      <c r="AL143" s="250"/>
      <c r="AM143" s="244"/>
      <c r="AN143" s="244"/>
      <c r="AO143" s="220"/>
      <c r="AP143" s="244"/>
      <c r="AQ143" s="220"/>
      <c r="AR143" s="220"/>
      <c r="AS143" s="220"/>
      <c r="AT143" s="220"/>
      <c r="AU143" s="220"/>
      <c r="AV143" s="220"/>
      <c r="AW143" s="220"/>
      <c r="AX143" s="220"/>
      <c r="AY143" s="220"/>
      <c r="AZ143" s="220"/>
      <c r="BA143" s="220"/>
      <c r="BB143" s="220"/>
      <c r="BC143" s="220"/>
      <c r="BD143" s="220"/>
      <c r="BE143" s="220"/>
      <c r="BF143" s="220"/>
      <c r="BG143" s="220"/>
      <c r="BH143" s="220"/>
      <c r="BI143" s="220"/>
      <c r="BJ143" s="220"/>
      <c r="BK143" s="220"/>
      <c r="BL143" s="220"/>
      <c r="BM143" s="220"/>
      <c r="BN143" s="220"/>
      <c r="BO143" s="242"/>
      <c r="BP143" s="242"/>
      <c r="BQ143" s="242"/>
    </row>
    <row r="144" spans="1:69" ht="12.75" customHeight="1" x14ac:dyDescent="0.25">
      <c r="A144" s="229"/>
      <c r="B144" s="229"/>
      <c r="C144" s="220"/>
      <c r="D144" s="220"/>
      <c r="E144" s="242"/>
      <c r="F144" s="254"/>
      <c r="G144" s="254"/>
      <c r="H144" s="254"/>
      <c r="I144" s="254"/>
      <c r="J144" s="254"/>
      <c r="K144" s="220"/>
      <c r="L144" s="254"/>
      <c r="M144" s="254"/>
      <c r="N144" s="255"/>
      <c r="O144" s="255"/>
      <c r="P144" s="219"/>
      <c r="Q144" s="220"/>
      <c r="R144" s="244"/>
      <c r="S144" s="220"/>
      <c r="T144" s="220"/>
      <c r="U144" s="220"/>
      <c r="V144" s="244"/>
      <c r="W144" s="244"/>
      <c r="X144" s="220"/>
      <c r="Y144" s="220"/>
      <c r="Z144" s="220"/>
      <c r="AA144" s="244"/>
      <c r="AB144" s="244"/>
      <c r="AC144" s="244"/>
      <c r="AD144" s="244"/>
      <c r="AE144" s="220"/>
      <c r="AF144" s="220"/>
      <c r="AG144" s="220"/>
      <c r="AH144" s="220"/>
      <c r="AI144" s="220"/>
      <c r="AJ144" s="244"/>
      <c r="AK144" s="254"/>
      <c r="AL144" s="250"/>
      <c r="AM144" s="244"/>
      <c r="AN144" s="244"/>
      <c r="AO144" s="220"/>
      <c r="AP144" s="244"/>
      <c r="AQ144" s="220"/>
      <c r="AR144" s="220"/>
      <c r="AS144" s="220"/>
      <c r="AT144" s="220"/>
      <c r="AU144" s="220"/>
      <c r="AV144" s="220"/>
      <c r="AW144" s="220"/>
      <c r="AX144" s="220"/>
      <c r="AY144" s="220"/>
      <c r="AZ144" s="220"/>
      <c r="BA144" s="220"/>
      <c r="BB144" s="220"/>
      <c r="BC144" s="220"/>
      <c r="BD144" s="220"/>
      <c r="BE144" s="220"/>
      <c r="BF144" s="220"/>
      <c r="BG144" s="220"/>
      <c r="BH144" s="220"/>
      <c r="BI144" s="220"/>
      <c r="BJ144" s="220"/>
      <c r="BK144" s="220"/>
      <c r="BL144" s="220"/>
      <c r="BM144" s="220"/>
      <c r="BN144" s="220"/>
      <c r="BO144" s="242"/>
      <c r="BP144" s="242"/>
      <c r="BQ144" s="242"/>
    </row>
    <row r="145" spans="1:69" ht="12.75" customHeight="1" x14ac:dyDescent="0.25">
      <c r="A145" s="229"/>
      <c r="B145" s="229"/>
      <c r="C145" s="220"/>
      <c r="D145" s="220"/>
      <c r="E145" s="242"/>
      <c r="F145" s="254"/>
      <c r="G145" s="254"/>
      <c r="H145" s="254"/>
      <c r="I145" s="254"/>
      <c r="J145" s="254"/>
      <c r="K145" s="220"/>
      <c r="L145" s="254"/>
      <c r="M145" s="254"/>
      <c r="N145" s="255"/>
      <c r="O145" s="255"/>
      <c r="P145" s="219"/>
      <c r="Q145" s="220"/>
      <c r="R145" s="244"/>
      <c r="S145" s="220"/>
      <c r="T145" s="220"/>
      <c r="U145" s="220"/>
      <c r="V145" s="244"/>
      <c r="W145" s="244"/>
      <c r="X145" s="220"/>
      <c r="Y145" s="220"/>
      <c r="Z145" s="220"/>
      <c r="AA145" s="244"/>
      <c r="AB145" s="244"/>
      <c r="AC145" s="244"/>
      <c r="AD145" s="244"/>
      <c r="AE145" s="220"/>
      <c r="AF145" s="220"/>
      <c r="AG145" s="220"/>
      <c r="AH145" s="220"/>
      <c r="AI145" s="220"/>
      <c r="AJ145" s="244"/>
      <c r="AK145" s="254"/>
      <c r="AL145" s="250"/>
      <c r="AM145" s="244"/>
      <c r="AN145" s="244"/>
      <c r="AO145" s="220"/>
      <c r="AP145" s="244"/>
      <c r="AQ145" s="220"/>
      <c r="AR145" s="220"/>
      <c r="AS145" s="220"/>
      <c r="AT145" s="220"/>
      <c r="AU145" s="220"/>
      <c r="AV145" s="220"/>
      <c r="AW145" s="220"/>
      <c r="AX145" s="220"/>
      <c r="AY145" s="220"/>
      <c r="AZ145" s="220"/>
      <c r="BA145" s="220"/>
      <c r="BB145" s="220"/>
      <c r="BC145" s="220"/>
      <c r="BD145" s="220"/>
      <c r="BE145" s="220"/>
      <c r="BF145" s="220"/>
      <c r="BG145" s="220"/>
      <c r="BH145" s="220"/>
      <c r="BI145" s="220"/>
      <c r="BJ145" s="220"/>
      <c r="BK145" s="220"/>
      <c r="BL145" s="220"/>
      <c r="BM145" s="220"/>
      <c r="BN145" s="220"/>
      <c r="BO145" s="242"/>
      <c r="BP145" s="242"/>
      <c r="BQ145" s="242"/>
    </row>
    <row r="146" spans="1:69" ht="12.75" customHeight="1" x14ac:dyDescent="0.25">
      <c r="A146" s="229"/>
      <c r="B146" s="229"/>
      <c r="C146" s="220"/>
      <c r="D146" s="220"/>
      <c r="E146" s="242"/>
      <c r="F146" s="254"/>
      <c r="G146" s="254"/>
      <c r="H146" s="254"/>
      <c r="I146" s="254"/>
      <c r="J146" s="254"/>
      <c r="K146" s="220"/>
      <c r="L146" s="254"/>
      <c r="M146" s="254"/>
      <c r="N146" s="255"/>
      <c r="O146" s="255"/>
      <c r="P146" s="219"/>
      <c r="Q146" s="220"/>
      <c r="R146" s="244"/>
      <c r="S146" s="220"/>
      <c r="T146" s="220"/>
      <c r="U146" s="220"/>
      <c r="V146" s="244"/>
      <c r="W146" s="244"/>
      <c r="X146" s="220"/>
      <c r="Y146" s="220"/>
      <c r="Z146" s="220"/>
      <c r="AA146" s="244"/>
      <c r="AB146" s="244"/>
      <c r="AC146" s="244"/>
      <c r="AD146" s="244"/>
      <c r="AE146" s="220"/>
      <c r="AF146" s="220"/>
      <c r="AG146" s="220"/>
      <c r="AH146" s="220"/>
      <c r="AI146" s="220"/>
      <c r="AJ146" s="244"/>
      <c r="AK146" s="254"/>
      <c r="AL146" s="250"/>
      <c r="AM146" s="244"/>
      <c r="AN146" s="244"/>
      <c r="AO146" s="220"/>
      <c r="AP146" s="244"/>
      <c r="AQ146" s="220"/>
      <c r="AR146" s="220"/>
      <c r="AS146" s="220"/>
      <c r="AT146" s="220"/>
      <c r="AU146" s="220"/>
      <c r="AV146" s="220"/>
      <c r="AW146" s="220"/>
      <c r="AX146" s="220"/>
      <c r="AY146" s="220"/>
      <c r="AZ146" s="220"/>
      <c r="BA146" s="220"/>
      <c r="BB146" s="220"/>
      <c r="BC146" s="220"/>
      <c r="BD146" s="220"/>
      <c r="BE146" s="220"/>
      <c r="BF146" s="220"/>
      <c r="BG146" s="220"/>
      <c r="BH146" s="220"/>
      <c r="BI146" s="220"/>
      <c r="BJ146" s="220"/>
      <c r="BK146" s="220"/>
      <c r="BL146" s="220"/>
      <c r="BM146" s="220"/>
      <c r="BN146" s="220"/>
      <c r="BO146" s="242"/>
      <c r="BP146" s="242"/>
      <c r="BQ146" s="242"/>
    </row>
    <row r="147" spans="1:69" ht="12.75" customHeight="1" x14ac:dyDescent="0.25">
      <c r="A147" s="229"/>
      <c r="B147" s="229"/>
      <c r="C147" s="220"/>
      <c r="D147" s="220"/>
      <c r="E147" s="242"/>
      <c r="F147" s="254"/>
      <c r="G147" s="254"/>
      <c r="H147" s="254"/>
      <c r="I147" s="254"/>
      <c r="J147" s="254"/>
      <c r="K147" s="220"/>
      <c r="L147" s="254"/>
      <c r="M147" s="254"/>
      <c r="N147" s="255"/>
      <c r="O147" s="255"/>
      <c r="P147" s="219"/>
      <c r="Q147" s="220"/>
      <c r="R147" s="244"/>
      <c r="S147" s="220"/>
      <c r="T147" s="220"/>
      <c r="U147" s="220"/>
      <c r="V147" s="244"/>
      <c r="W147" s="244"/>
      <c r="X147" s="220"/>
      <c r="Y147" s="220"/>
      <c r="Z147" s="220"/>
      <c r="AA147" s="244"/>
      <c r="AB147" s="244"/>
      <c r="AC147" s="244"/>
      <c r="AD147" s="244"/>
      <c r="AE147" s="220"/>
      <c r="AF147" s="220"/>
      <c r="AG147" s="220"/>
      <c r="AH147" s="220"/>
      <c r="AI147" s="220"/>
      <c r="AJ147" s="244"/>
      <c r="AK147" s="254"/>
      <c r="AL147" s="250"/>
      <c r="AM147" s="244"/>
      <c r="AN147" s="244"/>
      <c r="AO147" s="220"/>
      <c r="AP147" s="244"/>
      <c r="AQ147" s="220"/>
      <c r="AR147" s="220"/>
      <c r="AS147" s="220"/>
      <c r="AT147" s="220"/>
      <c r="AU147" s="220"/>
      <c r="AV147" s="220"/>
      <c r="AW147" s="220"/>
      <c r="AX147" s="220"/>
      <c r="AY147" s="220"/>
      <c r="AZ147" s="220"/>
      <c r="BA147" s="220"/>
      <c r="BB147" s="220"/>
      <c r="BC147" s="220"/>
      <c r="BD147" s="220"/>
      <c r="BE147" s="220"/>
      <c r="BF147" s="220"/>
      <c r="BG147" s="220"/>
      <c r="BH147" s="220"/>
      <c r="BI147" s="220"/>
      <c r="BJ147" s="220"/>
      <c r="BK147" s="220"/>
      <c r="BL147" s="220"/>
      <c r="BM147" s="220"/>
      <c r="BN147" s="220"/>
      <c r="BO147" s="242"/>
      <c r="BP147" s="242"/>
      <c r="BQ147" s="242"/>
    </row>
    <row r="148" spans="1:69" ht="12.75" customHeight="1" x14ac:dyDescent="0.25">
      <c r="A148" s="229"/>
      <c r="B148" s="229"/>
      <c r="C148" s="220"/>
      <c r="D148" s="220"/>
      <c r="E148" s="242"/>
      <c r="F148" s="254"/>
      <c r="G148" s="254"/>
      <c r="H148" s="254"/>
      <c r="I148" s="254"/>
      <c r="J148" s="254"/>
      <c r="K148" s="220"/>
      <c r="L148" s="254"/>
      <c r="M148" s="254"/>
      <c r="N148" s="255"/>
      <c r="O148" s="255"/>
      <c r="P148" s="219"/>
      <c r="Q148" s="220"/>
      <c r="R148" s="244"/>
      <c r="S148" s="220"/>
      <c r="T148" s="220"/>
      <c r="U148" s="220"/>
      <c r="V148" s="244"/>
      <c r="W148" s="244"/>
      <c r="X148" s="220"/>
      <c r="Y148" s="220"/>
      <c r="Z148" s="220"/>
      <c r="AA148" s="244"/>
      <c r="AB148" s="244"/>
      <c r="AC148" s="244"/>
      <c r="AD148" s="244"/>
      <c r="AE148" s="220"/>
      <c r="AF148" s="220"/>
      <c r="AG148" s="220"/>
      <c r="AH148" s="220"/>
      <c r="AI148" s="220"/>
      <c r="AJ148" s="244"/>
      <c r="AK148" s="254"/>
      <c r="AL148" s="250"/>
      <c r="AM148" s="244"/>
      <c r="AN148" s="244"/>
      <c r="AO148" s="220"/>
      <c r="AP148" s="244"/>
      <c r="AQ148" s="220"/>
      <c r="AR148" s="220"/>
      <c r="AS148" s="220"/>
      <c r="AT148" s="220"/>
      <c r="AU148" s="220"/>
      <c r="AV148" s="220"/>
      <c r="AW148" s="220"/>
      <c r="AX148" s="220"/>
      <c r="AY148" s="220"/>
      <c r="AZ148" s="220"/>
      <c r="BA148" s="220"/>
      <c r="BB148" s="220"/>
      <c r="BC148" s="220"/>
      <c r="BD148" s="220"/>
      <c r="BE148" s="220"/>
      <c r="BF148" s="220"/>
      <c r="BG148" s="220"/>
      <c r="BH148" s="220"/>
      <c r="BI148" s="220"/>
      <c r="BJ148" s="220"/>
      <c r="BK148" s="220"/>
      <c r="BL148" s="220"/>
      <c r="BM148" s="220"/>
      <c r="BN148" s="220"/>
      <c r="BO148" s="242"/>
      <c r="BP148" s="242"/>
      <c r="BQ148" s="242"/>
    </row>
    <row r="149" spans="1:69" ht="12.75" customHeight="1" x14ac:dyDescent="0.25">
      <c r="A149" s="229"/>
      <c r="B149" s="229"/>
      <c r="C149" s="220"/>
      <c r="D149" s="220"/>
      <c r="E149" s="242"/>
      <c r="F149" s="254"/>
      <c r="G149" s="254"/>
      <c r="H149" s="254"/>
      <c r="I149" s="254"/>
      <c r="J149" s="254"/>
      <c r="K149" s="220"/>
      <c r="L149" s="254"/>
      <c r="M149" s="254"/>
      <c r="N149" s="255"/>
      <c r="O149" s="255"/>
      <c r="P149" s="219"/>
      <c r="Q149" s="220"/>
      <c r="R149" s="244"/>
      <c r="S149" s="220"/>
      <c r="T149" s="220"/>
      <c r="U149" s="220"/>
      <c r="V149" s="244"/>
      <c r="W149" s="244"/>
      <c r="X149" s="220"/>
      <c r="Y149" s="220"/>
      <c r="Z149" s="220"/>
      <c r="AA149" s="244"/>
      <c r="AB149" s="244"/>
      <c r="AC149" s="244"/>
      <c r="AD149" s="244"/>
      <c r="AE149" s="220"/>
      <c r="AF149" s="220"/>
      <c r="AG149" s="220"/>
      <c r="AH149" s="220"/>
      <c r="AI149" s="220"/>
      <c r="AJ149" s="244"/>
      <c r="AK149" s="254"/>
      <c r="AL149" s="250"/>
      <c r="AM149" s="244"/>
      <c r="AN149" s="244"/>
      <c r="AO149" s="220"/>
      <c r="AP149" s="244"/>
      <c r="AQ149" s="220"/>
      <c r="AR149" s="220"/>
      <c r="AS149" s="220"/>
      <c r="AT149" s="220"/>
      <c r="AU149" s="220"/>
      <c r="AV149" s="220"/>
      <c r="AW149" s="220"/>
      <c r="AX149" s="220"/>
      <c r="AY149" s="220"/>
      <c r="AZ149" s="220"/>
      <c r="BA149" s="220"/>
      <c r="BB149" s="220"/>
      <c r="BC149" s="220"/>
      <c r="BD149" s="220"/>
      <c r="BE149" s="220"/>
      <c r="BF149" s="220"/>
      <c r="BG149" s="220"/>
      <c r="BH149" s="220"/>
      <c r="BI149" s="220"/>
      <c r="BJ149" s="220"/>
      <c r="BK149" s="220"/>
      <c r="BL149" s="220"/>
      <c r="BM149" s="220"/>
      <c r="BN149" s="220"/>
      <c r="BO149" s="242"/>
      <c r="BP149" s="242"/>
      <c r="BQ149" s="242"/>
    </row>
    <row r="150" spans="1:69" ht="12.75" customHeight="1" x14ac:dyDescent="0.25">
      <c r="A150" s="229"/>
      <c r="B150" s="229"/>
      <c r="C150" s="220"/>
      <c r="D150" s="220"/>
      <c r="E150" s="242"/>
      <c r="F150" s="254"/>
      <c r="G150" s="254"/>
      <c r="H150" s="254"/>
      <c r="I150" s="254"/>
      <c r="J150" s="254"/>
      <c r="K150" s="220"/>
      <c r="L150" s="254"/>
      <c r="M150" s="254"/>
      <c r="N150" s="255"/>
      <c r="O150" s="255"/>
      <c r="P150" s="219"/>
      <c r="Q150" s="220"/>
      <c r="R150" s="244"/>
      <c r="S150" s="220"/>
      <c r="T150" s="220"/>
      <c r="U150" s="220"/>
      <c r="V150" s="244"/>
      <c r="W150" s="244"/>
      <c r="X150" s="220"/>
      <c r="Y150" s="220"/>
      <c r="Z150" s="220"/>
      <c r="AA150" s="244"/>
      <c r="AB150" s="244"/>
      <c r="AC150" s="244"/>
      <c r="AD150" s="244"/>
      <c r="AE150" s="220"/>
      <c r="AF150" s="220"/>
      <c r="AG150" s="220"/>
      <c r="AH150" s="220"/>
      <c r="AI150" s="220"/>
      <c r="AJ150" s="244"/>
      <c r="AK150" s="254"/>
      <c r="AL150" s="250"/>
      <c r="AM150" s="244"/>
      <c r="AN150" s="244"/>
      <c r="AO150" s="220"/>
      <c r="AP150" s="244"/>
      <c r="AQ150" s="220"/>
      <c r="AR150" s="220"/>
      <c r="AS150" s="220"/>
      <c r="AT150" s="220"/>
      <c r="AU150" s="220"/>
      <c r="AV150" s="220"/>
      <c r="AW150" s="220"/>
      <c r="AX150" s="220"/>
      <c r="AY150" s="220"/>
      <c r="AZ150" s="220"/>
      <c r="BA150" s="220"/>
      <c r="BB150" s="220"/>
      <c r="BC150" s="220"/>
      <c r="BD150" s="220"/>
      <c r="BE150" s="220"/>
      <c r="BF150" s="220"/>
      <c r="BG150" s="220"/>
      <c r="BH150" s="220"/>
      <c r="BI150" s="220"/>
      <c r="BJ150" s="220"/>
      <c r="BK150" s="220"/>
      <c r="BL150" s="220"/>
      <c r="BM150" s="220"/>
      <c r="BN150" s="220"/>
      <c r="BO150" s="242"/>
      <c r="BP150" s="242"/>
      <c r="BQ150" s="242"/>
    </row>
    <row r="151" spans="1:69" ht="12.75" customHeight="1" x14ac:dyDescent="0.25">
      <c r="A151" s="229"/>
      <c r="B151" s="229"/>
      <c r="C151" s="220"/>
      <c r="D151" s="220"/>
      <c r="E151" s="242"/>
      <c r="F151" s="254"/>
      <c r="G151" s="254"/>
      <c r="H151" s="254"/>
      <c r="I151" s="254"/>
      <c r="J151" s="254"/>
      <c r="K151" s="220"/>
      <c r="L151" s="254"/>
      <c r="M151" s="254"/>
      <c r="N151" s="255"/>
      <c r="O151" s="255"/>
      <c r="P151" s="219"/>
      <c r="Q151" s="220"/>
      <c r="R151" s="244"/>
      <c r="S151" s="220"/>
      <c r="T151" s="220"/>
      <c r="U151" s="220"/>
      <c r="V151" s="244"/>
      <c r="W151" s="244"/>
      <c r="X151" s="220"/>
      <c r="Y151" s="220"/>
      <c r="Z151" s="220"/>
      <c r="AA151" s="244"/>
      <c r="AB151" s="244"/>
      <c r="AC151" s="244"/>
      <c r="AD151" s="244"/>
      <c r="AE151" s="220"/>
      <c r="AF151" s="220"/>
      <c r="AG151" s="220"/>
      <c r="AH151" s="220"/>
      <c r="AI151" s="220"/>
      <c r="AJ151" s="244"/>
      <c r="AK151" s="254"/>
      <c r="AL151" s="250"/>
      <c r="AM151" s="244"/>
      <c r="AN151" s="244"/>
      <c r="AO151" s="220"/>
      <c r="AP151" s="244"/>
      <c r="AQ151" s="220"/>
      <c r="AR151" s="220"/>
      <c r="AS151" s="220"/>
      <c r="AT151" s="220"/>
      <c r="AU151" s="220"/>
      <c r="AV151" s="220"/>
      <c r="AW151" s="220"/>
      <c r="AX151" s="220"/>
      <c r="AY151" s="220"/>
      <c r="AZ151" s="220"/>
      <c r="BA151" s="220"/>
      <c r="BB151" s="220"/>
      <c r="BC151" s="220"/>
      <c r="BD151" s="220"/>
      <c r="BE151" s="220"/>
      <c r="BF151" s="220"/>
      <c r="BG151" s="220"/>
      <c r="BH151" s="220"/>
      <c r="BI151" s="220"/>
      <c r="BJ151" s="220"/>
      <c r="BK151" s="220"/>
      <c r="BL151" s="220"/>
      <c r="BM151" s="220"/>
      <c r="BN151" s="220"/>
      <c r="BO151" s="242"/>
      <c r="BP151" s="242"/>
      <c r="BQ151" s="242"/>
    </row>
    <row r="152" spans="1:69" ht="12.75" customHeight="1" x14ac:dyDescent="0.25">
      <c r="A152" s="229"/>
      <c r="B152" s="229"/>
      <c r="C152" s="220"/>
      <c r="D152" s="220"/>
      <c r="E152" s="242"/>
      <c r="F152" s="254"/>
      <c r="G152" s="254"/>
      <c r="H152" s="254"/>
      <c r="I152" s="254"/>
      <c r="J152" s="254"/>
      <c r="K152" s="220"/>
      <c r="L152" s="254"/>
      <c r="M152" s="254"/>
      <c r="N152" s="255"/>
      <c r="O152" s="255"/>
      <c r="P152" s="219"/>
      <c r="Q152" s="220"/>
      <c r="R152" s="244"/>
      <c r="S152" s="220"/>
      <c r="T152" s="220"/>
      <c r="U152" s="220"/>
      <c r="V152" s="244"/>
      <c r="W152" s="244"/>
      <c r="X152" s="220"/>
      <c r="Y152" s="220"/>
      <c r="Z152" s="220"/>
      <c r="AA152" s="244"/>
      <c r="AB152" s="244"/>
      <c r="AC152" s="244"/>
      <c r="AD152" s="244"/>
      <c r="AE152" s="220"/>
      <c r="AF152" s="220"/>
      <c r="AG152" s="220"/>
      <c r="AH152" s="220"/>
      <c r="AI152" s="220"/>
      <c r="AJ152" s="244"/>
      <c r="AK152" s="254"/>
      <c r="AL152" s="250"/>
      <c r="AM152" s="244"/>
      <c r="AN152" s="244"/>
      <c r="AO152" s="220"/>
      <c r="AP152" s="244"/>
      <c r="AQ152" s="220"/>
      <c r="AR152" s="220"/>
      <c r="AS152" s="220"/>
      <c r="AT152" s="220"/>
      <c r="AU152" s="220"/>
      <c r="AV152" s="220"/>
      <c r="AW152" s="220"/>
      <c r="AX152" s="220"/>
      <c r="AY152" s="220"/>
      <c r="AZ152" s="220"/>
      <c r="BA152" s="220"/>
      <c r="BB152" s="220"/>
      <c r="BC152" s="220"/>
      <c r="BD152" s="220"/>
      <c r="BE152" s="220"/>
      <c r="BF152" s="220"/>
      <c r="BG152" s="220"/>
      <c r="BH152" s="220"/>
      <c r="BI152" s="220"/>
      <c r="BJ152" s="220"/>
      <c r="BK152" s="220"/>
      <c r="BL152" s="220"/>
      <c r="BM152" s="220"/>
      <c r="BN152" s="220"/>
      <c r="BO152" s="242"/>
      <c r="BP152" s="242"/>
      <c r="BQ152" s="242"/>
    </row>
    <row r="153" spans="1:69" ht="12.75" customHeight="1" x14ac:dyDescent="0.25">
      <c r="A153" s="229"/>
      <c r="B153" s="229"/>
      <c r="C153" s="220"/>
      <c r="D153" s="220"/>
      <c r="E153" s="242"/>
      <c r="F153" s="254"/>
      <c r="G153" s="254"/>
      <c r="H153" s="254"/>
      <c r="I153" s="254"/>
      <c r="J153" s="254"/>
      <c r="K153" s="220"/>
      <c r="L153" s="254"/>
      <c r="M153" s="254"/>
      <c r="N153" s="255"/>
      <c r="O153" s="255"/>
      <c r="P153" s="219"/>
      <c r="Q153" s="220"/>
      <c r="R153" s="244"/>
      <c r="S153" s="220"/>
      <c r="T153" s="220"/>
      <c r="U153" s="220"/>
      <c r="V153" s="244"/>
      <c r="W153" s="244"/>
      <c r="X153" s="220"/>
      <c r="Y153" s="220"/>
      <c r="Z153" s="220"/>
      <c r="AA153" s="244"/>
      <c r="AB153" s="244"/>
      <c r="AC153" s="244"/>
      <c r="AD153" s="244"/>
      <c r="AE153" s="220"/>
      <c r="AF153" s="220"/>
      <c r="AG153" s="220"/>
      <c r="AH153" s="220"/>
      <c r="AI153" s="220"/>
      <c r="AJ153" s="244"/>
      <c r="AK153" s="254"/>
      <c r="AL153" s="250"/>
      <c r="AM153" s="244"/>
      <c r="AN153" s="244"/>
      <c r="AO153" s="220"/>
      <c r="AP153" s="244"/>
      <c r="AQ153" s="220"/>
      <c r="AR153" s="220"/>
      <c r="AS153" s="220"/>
      <c r="AT153" s="220"/>
      <c r="AU153" s="220"/>
      <c r="AV153" s="220"/>
      <c r="AW153" s="220"/>
      <c r="AX153" s="220"/>
      <c r="AY153" s="220"/>
      <c r="AZ153" s="220"/>
      <c r="BA153" s="220"/>
      <c r="BB153" s="220"/>
      <c r="BC153" s="220"/>
      <c r="BD153" s="220"/>
      <c r="BE153" s="220"/>
      <c r="BF153" s="220"/>
      <c r="BG153" s="220"/>
      <c r="BH153" s="220"/>
      <c r="BI153" s="220"/>
      <c r="BJ153" s="220"/>
      <c r="BK153" s="220"/>
      <c r="BL153" s="220"/>
      <c r="BM153" s="220"/>
      <c r="BN153" s="220"/>
      <c r="BO153" s="242"/>
      <c r="BP153" s="242"/>
      <c r="BQ153" s="242"/>
    </row>
    <row r="154" spans="1:69" ht="12.75" customHeight="1" x14ac:dyDescent="0.25">
      <c r="A154" s="229"/>
      <c r="B154" s="229"/>
      <c r="C154" s="220"/>
      <c r="D154" s="220"/>
      <c r="E154" s="242"/>
      <c r="F154" s="254"/>
      <c r="G154" s="254"/>
      <c r="H154" s="254"/>
      <c r="I154" s="254"/>
      <c r="J154" s="254"/>
      <c r="K154" s="220"/>
      <c r="L154" s="254"/>
      <c r="M154" s="254"/>
      <c r="N154" s="255"/>
      <c r="O154" s="255"/>
      <c r="P154" s="219"/>
      <c r="Q154" s="220"/>
      <c r="R154" s="244"/>
      <c r="S154" s="220"/>
      <c r="T154" s="220"/>
      <c r="U154" s="220"/>
      <c r="V154" s="244"/>
      <c r="W154" s="244"/>
      <c r="X154" s="220"/>
      <c r="Y154" s="220"/>
      <c r="Z154" s="220"/>
      <c r="AA154" s="244"/>
      <c r="AB154" s="244"/>
      <c r="AC154" s="244"/>
      <c r="AD154" s="244"/>
      <c r="AE154" s="220"/>
      <c r="AF154" s="220"/>
      <c r="AG154" s="220"/>
      <c r="AH154" s="220"/>
      <c r="AI154" s="220"/>
      <c r="AJ154" s="244"/>
      <c r="AK154" s="254"/>
      <c r="AL154" s="250"/>
      <c r="AM154" s="244"/>
      <c r="AN154" s="244"/>
      <c r="AO154" s="220"/>
      <c r="AP154" s="244"/>
      <c r="AQ154" s="220"/>
      <c r="AR154" s="220"/>
      <c r="AS154" s="220"/>
      <c r="AT154" s="220"/>
      <c r="AU154" s="220"/>
      <c r="AV154" s="220"/>
      <c r="AW154" s="220"/>
      <c r="AX154" s="220"/>
      <c r="AY154" s="220"/>
      <c r="AZ154" s="220"/>
      <c r="BA154" s="220"/>
      <c r="BB154" s="220"/>
      <c r="BC154" s="220"/>
      <c r="BD154" s="220"/>
      <c r="BE154" s="220"/>
      <c r="BF154" s="220"/>
      <c r="BG154" s="220"/>
      <c r="BH154" s="220"/>
      <c r="BI154" s="220"/>
      <c r="BJ154" s="220"/>
      <c r="BK154" s="220"/>
      <c r="BL154" s="220"/>
      <c r="BM154" s="220"/>
      <c r="BN154" s="220"/>
      <c r="BO154" s="242"/>
      <c r="BP154" s="242"/>
      <c r="BQ154" s="242"/>
    </row>
    <row r="155" spans="1:69" ht="12.75" customHeight="1" x14ac:dyDescent="0.25">
      <c r="A155" s="229"/>
      <c r="B155" s="229"/>
      <c r="C155" s="220"/>
      <c r="D155" s="220"/>
      <c r="E155" s="242"/>
      <c r="F155" s="254"/>
      <c r="G155" s="254"/>
      <c r="H155" s="254"/>
      <c r="I155" s="254"/>
      <c r="J155" s="254"/>
      <c r="K155" s="220"/>
      <c r="L155" s="254"/>
      <c r="M155" s="254"/>
      <c r="N155" s="255"/>
      <c r="O155" s="255"/>
      <c r="P155" s="219"/>
      <c r="Q155" s="220"/>
      <c r="R155" s="244"/>
      <c r="S155" s="220"/>
      <c r="T155" s="220"/>
      <c r="U155" s="220"/>
      <c r="V155" s="244"/>
      <c r="W155" s="244"/>
      <c r="X155" s="220"/>
      <c r="Y155" s="220"/>
      <c r="Z155" s="220"/>
      <c r="AA155" s="244"/>
      <c r="AB155" s="244"/>
      <c r="AC155" s="244"/>
      <c r="AD155" s="244"/>
      <c r="AE155" s="220"/>
      <c r="AF155" s="220"/>
      <c r="AG155" s="220"/>
      <c r="AH155" s="220"/>
      <c r="AI155" s="220"/>
      <c r="AJ155" s="244"/>
      <c r="AK155" s="254"/>
      <c r="AL155" s="250"/>
      <c r="AM155" s="244"/>
      <c r="AN155" s="244"/>
      <c r="AO155" s="220"/>
      <c r="AP155" s="244"/>
      <c r="AQ155" s="220"/>
      <c r="AR155" s="220"/>
      <c r="AS155" s="220"/>
      <c r="AT155" s="220"/>
      <c r="AU155" s="220"/>
      <c r="AV155" s="220"/>
      <c r="AW155" s="220"/>
      <c r="AX155" s="220"/>
      <c r="AY155" s="220"/>
      <c r="AZ155" s="220"/>
      <c r="BA155" s="220"/>
      <c r="BB155" s="220"/>
      <c r="BC155" s="220"/>
      <c r="BD155" s="220"/>
      <c r="BE155" s="220"/>
      <c r="BF155" s="220"/>
      <c r="BG155" s="220"/>
      <c r="BH155" s="220"/>
      <c r="BI155" s="220"/>
      <c r="BJ155" s="220"/>
      <c r="BK155" s="220"/>
      <c r="BL155" s="220"/>
      <c r="BM155" s="220"/>
      <c r="BN155" s="220"/>
      <c r="BO155" s="242"/>
      <c r="BP155" s="242"/>
      <c r="BQ155" s="242"/>
    </row>
    <row r="156" spans="1:69" ht="12.75" customHeight="1" x14ac:dyDescent="0.25">
      <c r="A156" s="229"/>
      <c r="B156" s="229"/>
      <c r="C156" s="220"/>
      <c r="D156" s="220"/>
      <c r="E156" s="242"/>
      <c r="F156" s="254"/>
      <c r="G156" s="254"/>
      <c r="H156" s="254"/>
      <c r="I156" s="254"/>
      <c r="J156" s="254"/>
      <c r="K156" s="220"/>
      <c r="L156" s="254"/>
      <c r="M156" s="254"/>
      <c r="N156" s="255"/>
      <c r="O156" s="255"/>
      <c r="P156" s="219"/>
      <c r="Q156" s="220"/>
      <c r="R156" s="244"/>
      <c r="S156" s="220"/>
      <c r="T156" s="220"/>
      <c r="U156" s="220"/>
      <c r="V156" s="244"/>
      <c r="W156" s="244"/>
      <c r="X156" s="220"/>
      <c r="Y156" s="220"/>
      <c r="Z156" s="220"/>
      <c r="AA156" s="244"/>
      <c r="AB156" s="244"/>
      <c r="AC156" s="244"/>
      <c r="AD156" s="244"/>
      <c r="AE156" s="220"/>
      <c r="AF156" s="220"/>
      <c r="AG156" s="220"/>
      <c r="AH156" s="220"/>
      <c r="AI156" s="220"/>
      <c r="AJ156" s="244"/>
      <c r="AK156" s="254"/>
      <c r="AL156" s="250"/>
      <c r="AM156" s="244"/>
      <c r="AN156" s="244"/>
      <c r="AO156" s="220"/>
      <c r="AP156" s="244"/>
      <c r="AQ156" s="220"/>
      <c r="AR156" s="220"/>
      <c r="AS156" s="220"/>
      <c r="AT156" s="220"/>
      <c r="AU156" s="220"/>
      <c r="AV156" s="220"/>
      <c r="AW156" s="220"/>
      <c r="AX156" s="220"/>
      <c r="AY156" s="220"/>
      <c r="AZ156" s="220"/>
      <c r="BA156" s="220"/>
      <c r="BB156" s="220"/>
      <c r="BC156" s="220"/>
      <c r="BD156" s="220"/>
      <c r="BE156" s="220"/>
      <c r="BF156" s="220"/>
      <c r="BG156" s="220"/>
      <c r="BH156" s="220"/>
      <c r="BI156" s="220"/>
      <c r="BJ156" s="220"/>
      <c r="BK156" s="220"/>
      <c r="BL156" s="220"/>
      <c r="BM156" s="220"/>
      <c r="BN156" s="220"/>
      <c r="BO156" s="242"/>
      <c r="BP156" s="242"/>
      <c r="BQ156" s="242"/>
    </row>
    <row r="157" spans="1:69" ht="12.75" customHeight="1" x14ac:dyDescent="0.25">
      <c r="A157" s="229"/>
      <c r="B157" s="229"/>
      <c r="C157" s="220"/>
      <c r="D157" s="220"/>
      <c r="E157" s="242"/>
      <c r="F157" s="254"/>
      <c r="G157" s="254"/>
      <c r="H157" s="254"/>
      <c r="I157" s="254"/>
      <c r="J157" s="254"/>
      <c r="K157" s="220"/>
      <c r="L157" s="254"/>
      <c r="M157" s="254"/>
      <c r="N157" s="255"/>
      <c r="O157" s="255"/>
      <c r="P157" s="219"/>
      <c r="Q157" s="220"/>
      <c r="R157" s="244"/>
      <c r="S157" s="220"/>
      <c r="T157" s="220"/>
      <c r="U157" s="220"/>
      <c r="V157" s="244"/>
      <c r="W157" s="244"/>
      <c r="X157" s="220"/>
      <c r="Y157" s="220"/>
      <c r="Z157" s="220"/>
      <c r="AA157" s="244"/>
      <c r="AB157" s="244"/>
      <c r="AC157" s="244"/>
      <c r="AD157" s="244"/>
      <c r="AE157" s="220"/>
      <c r="AF157" s="220"/>
      <c r="AG157" s="220"/>
      <c r="AH157" s="220"/>
      <c r="AI157" s="220"/>
      <c r="AJ157" s="244"/>
      <c r="AK157" s="254"/>
      <c r="AL157" s="250"/>
      <c r="AM157" s="244"/>
      <c r="AN157" s="244"/>
      <c r="AO157" s="220"/>
      <c r="AP157" s="244"/>
      <c r="AQ157" s="220"/>
      <c r="AR157" s="220"/>
      <c r="AS157" s="220"/>
      <c r="AT157" s="220"/>
      <c r="AU157" s="220"/>
      <c r="AV157" s="220"/>
      <c r="AW157" s="220"/>
      <c r="AX157" s="220"/>
      <c r="AY157" s="220"/>
      <c r="AZ157" s="220"/>
      <c r="BA157" s="220"/>
      <c r="BB157" s="220"/>
      <c r="BC157" s="220"/>
      <c r="BD157" s="220"/>
      <c r="BE157" s="220"/>
      <c r="BF157" s="220"/>
      <c r="BG157" s="220"/>
      <c r="BH157" s="220"/>
      <c r="BI157" s="220"/>
      <c r="BJ157" s="220"/>
      <c r="BK157" s="220"/>
      <c r="BL157" s="220"/>
      <c r="BM157" s="220"/>
      <c r="BN157" s="220"/>
      <c r="BO157" s="242"/>
      <c r="BP157" s="242"/>
      <c r="BQ157" s="242"/>
    </row>
    <row r="158" spans="1:69" ht="12.75" customHeight="1" x14ac:dyDescent="0.25">
      <c r="A158" s="229"/>
      <c r="B158" s="229"/>
      <c r="C158" s="220"/>
      <c r="D158" s="220"/>
      <c r="E158" s="242"/>
      <c r="F158" s="254"/>
      <c r="G158" s="254"/>
      <c r="H158" s="254"/>
      <c r="I158" s="254"/>
      <c r="J158" s="254"/>
      <c r="K158" s="220"/>
      <c r="L158" s="254"/>
      <c r="M158" s="254"/>
      <c r="N158" s="255"/>
      <c r="O158" s="255"/>
      <c r="P158" s="219"/>
      <c r="Q158" s="220"/>
      <c r="R158" s="244"/>
      <c r="S158" s="220"/>
      <c r="T158" s="220"/>
      <c r="U158" s="220"/>
      <c r="V158" s="244"/>
      <c r="W158" s="244"/>
      <c r="X158" s="220"/>
      <c r="Y158" s="220"/>
      <c r="Z158" s="220"/>
      <c r="AA158" s="244"/>
      <c r="AB158" s="244"/>
      <c r="AC158" s="244"/>
      <c r="AD158" s="244"/>
      <c r="AE158" s="220"/>
      <c r="AF158" s="220"/>
      <c r="AG158" s="220"/>
      <c r="AH158" s="220"/>
      <c r="AI158" s="220"/>
      <c r="AJ158" s="244"/>
      <c r="AK158" s="254"/>
      <c r="AL158" s="250"/>
      <c r="AM158" s="244"/>
      <c r="AN158" s="244"/>
      <c r="AO158" s="220"/>
      <c r="AP158" s="244"/>
      <c r="AQ158" s="220"/>
      <c r="AR158" s="220"/>
      <c r="AS158" s="220"/>
      <c r="AT158" s="220"/>
      <c r="AU158" s="220"/>
      <c r="AV158" s="220"/>
      <c r="AW158" s="220"/>
      <c r="AX158" s="220"/>
      <c r="AY158" s="220"/>
      <c r="AZ158" s="220"/>
      <c r="BA158" s="220"/>
      <c r="BB158" s="220"/>
      <c r="BC158" s="220"/>
      <c r="BD158" s="220"/>
      <c r="BE158" s="220"/>
      <c r="BF158" s="220"/>
      <c r="BG158" s="220"/>
      <c r="BH158" s="220"/>
      <c r="BI158" s="220"/>
      <c r="BJ158" s="220"/>
      <c r="BK158" s="220"/>
      <c r="BL158" s="220"/>
      <c r="BM158" s="220"/>
      <c r="BN158" s="220"/>
      <c r="BO158" s="242"/>
      <c r="BP158" s="242"/>
      <c r="BQ158" s="242"/>
    </row>
    <row r="159" spans="1:69" ht="12.75" customHeight="1" x14ac:dyDescent="0.25">
      <c r="A159" s="229"/>
      <c r="B159" s="229"/>
      <c r="C159" s="220"/>
      <c r="D159" s="220"/>
      <c r="E159" s="242"/>
      <c r="F159" s="254"/>
      <c r="G159" s="254"/>
      <c r="H159" s="254"/>
      <c r="I159" s="254"/>
      <c r="J159" s="254"/>
      <c r="K159" s="220"/>
      <c r="L159" s="254"/>
      <c r="M159" s="254"/>
      <c r="N159" s="255"/>
      <c r="O159" s="255"/>
      <c r="P159" s="219"/>
      <c r="Q159" s="220"/>
      <c r="R159" s="244"/>
      <c r="S159" s="220"/>
      <c r="T159" s="220"/>
      <c r="U159" s="220"/>
      <c r="V159" s="244"/>
      <c r="W159" s="244"/>
      <c r="X159" s="220"/>
      <c r="Y159" s="220"/>
      <c r="Z159" s="220"/>
      <c r="AA159" s="244"/>
      <c r="AB159" s="244"/>
      <c r="AC159" s="244"/>
      <c r="AD159" s="244"/>
      <c r="AE159" s="220"/>
      <c r="AF159" s="220"/>
      <c r="AG159" s="220"/>
      <c r="AH159" s="220"/>
      <c r="AI159" s="220"/>
      <c r="AJ159" s="244"/>
      <c r="AK159" s="254"/>
      <c r="AL159" s="250"/>
      <c r="AM159" s="244"/>
      <c r="AN159" s="244"/>
      <c r="AO159" s="220"/>
      <c r="AP159" s="244"/>
      <c r="AQ159" s="220"/>
      <c r="AR159" s="220"/>
      <c r="AS159" s="220"/>
      <c r="AT159" s="220"/>
      <c r="AU159" s="220"/>
      <c r="AV159" s="220"/>
      <c r="AW159" s="220"/>
      <c r="AX159" s="220"/>
      <c r="AY159" s="220"/>
      <c r="AZ159" s="220"/>
      <c r="BA159" s="220"/>
      <c r="BB159" s="220"/>
      <c r="BC159" s="220"/>
      <c r="BD159" s="220"/>
      <c r="BE159" s="220"/>
      <c r="BF159" s="220"/>
      <c r="BG159" s="220"/>
      <c r="BH159" s="220"/>
      <c r="BI159" s="220"/>
      <c r="BJ159" s="220"/>
      <c r="BK159" s="220"/>
      <c r="BL159" s="220"/>
      <c r="BM159" s="220"/>
      <c r="BN159" s="220"/>
      <c r="BO159" s="242"/>
      <c r="BP159" s="242"/>
      <c r="BQ159" s="242"/>
    </row>
    <row r="160" spans="1:69" ht="12.75" customHeight="1" x14ac:dyDescent="0.25">
      <c r="A160" s="229"/>
      <c r="B160" s="229"/>
      <c r="C160" s="220"/>
      <c r="D160" s="220"/>
      <c r="E160" s="242"/>
      <c r="F160" s="254"/>
      <c r="G160" s="254"/>
      <c r="H160" s="254"/>
      <c r="I160" s="254"/>
      <c r="J160" s="254"/>
      <c r="K160" s="220"/>
      <c r="L160" s="254"/>
      <c r="M160" s="254"/>
      <c r="N160" s="255"/>
      <c r="O160" s="255"/>
      <c r="P160" s="219"/>
      <c r="Q160" s="220"/>
      <c r="R160" s="244"/>
      <c r="S160" s="220"/>
      <c r="T160" s="220"/>
      <c r="U160" s="220"/>
      <c r="V160" s="244"/>
      <c r="W160" s="244"/>
      <c r="X160" s="220"/>
      <c r="Y160" s="220"/>
      <c r="Z160" s="220"/>
      <c r="AA160" s="244"/>
      <c r="AB160" s="244"/>
      <c r="AC160" s="244"/>
      <c r="AD160" s="244"/>
      <c r="AE160" s="220"/>
      <c r="AF160" s="220"/>
      <c r="AG160" s="220"/>
      <c r="AH160" s="220"/>
      <c r="AI160" s="220"/>
      <c r="AJ160" s="244"/>
      <c r="AK160" s="254"/>
      <c r="AL160" s="250"/>
      <c r="AM160" s="244"/>
      <c r="AN160" s="244"/>
      <c r="AO160" s="220"/>
      <c r="AP160" s="244"/>
      <c r="AQ160" s="220"/>
      <c r="AR160" s="220"/>
      <c r="AS160" s="220"/>
      <c r="AT160" s="220"/>
      <c r="AU160" s="220"/>
      <c r="AV160" s="220"/>
      <c r="AW160" s="220"/>
      <c r="AX160" s="220"/>
      <c r="AY160" s="220"/>
      <c r="AZ160" s="220"/>
      <c r="BA160" s="220"/>
      <c r="BB160" s="220"/>
      <c r="BC160" s="220"/>
      <c r="BD160" s="220"/>
      <c r="BE160" s="220"/>
      <c r="BF160" s="220"/>
      <c r="BG160" s="220"/>
      <c r="BH160" s="220"/>
      <c r="BI160" s="220"/>
      <c r="BJ160" s="220"/>
      <c r="BK160" s="220"/>
      <c r="BL160" s="220"/>
      <c r="BM160" s="220"/>
      <c r="BN160" s="220"/>
      <c r="BO160" s="242"/>
      <c r="BP160" s="242"/>
      <c r="BQ160" s="242"/>
    </row>
    <row r="161" spans="1:69" ht="12.75" customHeight="1" x14ac:dyDescent="0.25">
      <c r="A161" s="229"/>
      <c r="B161" s="229"/>
      <c r="C161" s="220"/>
      <c r="D161" s="220"/>
      <c r="E161" s="242"/>
      <c r="F161" s="254"/>
      <c r="G161" s="254"/>
      <c r="H161" s="254"/>
      <c r="I161" s="254"/>
      <c r="J161" s="254"/>
      <c r="K161" s="220"/>
      <c r="L161" s="254"/>
      <c r="M161" s="254"/>
      <c r="N161" s="255"/>
      <c r="O161" s="255"/>
      <c r="P161" s="219"/>
      <c r="Q161" s="220"/>
      <c r="R161" s="244"/>
      <c r="S161" s="220"/>
      <c r="T161" s="220"/>
      <c r="U161" s="220"/>
      <c r="V161" s="244"/>
      <c r="W161" s="244"/>
      <c r="X161" s="220"/>
      <c r="Y161" s="220"/>
      <c r="Z161" s="220"/>
      <c r="AA161" s="244"/>
      <c r="AB161" s="244"/>
      <c r="AC161" s="244"/>
      <c r="AD161" s="244"/>
      <c r="AE161" s="220"/>
      <c r="AF161" s="220"/>
      <c r="AG161" s="220"/>
      <c r="AH161" s="220"/>
      <c r="AI161" s="220"/>
      <c r="AJ161" s="244"/>
      <c r="AK161" s="254"/>
      <c r="AL161" s="250"/>
      <c r="AM161" s="244"/>
      <c r="AN161" s="244"/>
      <c r="AO161" s="220"/>
      <c r="AP161" s="244"/>
      <c r="AQ161" s="220"/>
      <c r="AR161" s="220"/>
      <c r="AS161" s="220"/>
      <c r="AT161" s="220"/>
      <c r="AU161" s="220"/>
      <c r="AV161" s="220"/>
      <c r="AW161" s="220"/>
      <c r="AX161" s="220"/>
      <c r="AY161" s="220"/>
      <c r="AZ161" s="220"/>
      <c r="BA161" s="220"/>
      <c r="BB161" s="220"/>
      <c r="BC161" s="220"/>
      <c r="BD161" s="220"/>
      <c r="BE161" s="220"/>
      <c r="BF161" s="220"/>
      <c r="BG161" s="220"/>
      <c r="BH161" s="220"/>
      <c r="BI161" s="220"/>
      <c r="BJ161" s="220"/>
      <c r="BK161" s="220"/>
      <c r="BL161" s="220"/>
      <c r="BM161" s="220"/>
      <c r="BN161" s="220"/>
      <c r="BO161" s="242"/>
      <c r="BP161" s="242"/>
      <c r="BQ161" s="242"/>
    </row>
    <row r="162" spans="1:69" ht="12.75" customHeight="1" x14ac:dyDescent="0.25">
      <c r="A162" s="229"/>
      <c r="B162" s="229"/>
      <c r="C162" s="220"/>
      <c r="D162" s="220"/>
      <c r="E162" s="242"/>
      <c r="F162" s="254"/>
      <c r="G162" s="254"/>
      <c r="H162" s="254"/>
      <c r="I162" s="254"/>
      <c r="J162" s="254"/>
      <c r="K162" s="220"/>
      <c r="L162" s="254"/>
      <c r="M162" s="254"/>
      <c r="N162" s="255"/>
      <c r="O162" s="255"/>
      <c r="P162" s="219"/>
      <c r="Q162" s="220"/>
      <c r="R162" s="244"/>
      <c r="S162" s="220"/>
      <c r="T162" s="220"/>
      <c r="U162" s="220"/>
      <c r="V162" s="244"/>
      <c r="W162" s="244"/>
      <c r="X162" s="220"/>
      <c r="Y162" s="220"/>
      <c r="Z162" s="220"/>
      <c r="AA162" s="244"/>
      <c r="AB162" s="244"/>
      <c r="AC162" s="244"/>
      <c r="AD162" s="244"/>
      <c r="AE162" s="220"/>
      <c r="AF162" s="220"/>
      <c r="AG162" s="220"/>
      <c r="AH162" s="220"/>
      <c r="AI162" s="220"/>
      <c r="AJ162" s="244"/>
      <c r="AK162" s="254"/>
      <c r="AL162" s="250"/>
      <c r="AM162" s="244"/>
      <c r="AN162" s="244"/>
      <c r="AO162" s="220"/>
      <c r="AP162" s="244"/>
      <c r="AQ162" s="220"/>
      <c r="AR162" s="220"/>
      <c r="AS162" s="220"/>
      <c r="AT162" s="220"/>
      <c r="AU162" s="220"/>
      <c r="AV162" s="220"/>
      <c r="AW162" s="220"/>
      <c r="AX162" s="220"/>
      <c r="AY162" s="220"/>
      <c r="AZ162" s="220"/>
      <c r="BA162" s="220"/>
      <c r="BB162" s="220"/>
      <c r="BC162" s="220"/>
      <c r="BD162" s="220"/>
      <c r="BE162" s="220"/>
      <c r="BF162" s="220"/>
      <c r="BG162" s="220"/>
      <c r="BH162" s="220"/>
      <c r="BI162" s="220"/>
      <c r="BJ162" s="220"/>
      <c r="BK162" s="220"/>
      <c r="BL162" s="220"/>
      <c r="BM162" s="220"/>
      <c r="BN162" s="220"/>
      <c r="BO162" s="242"/>
      <c r="BP162" s="242"/>
      <c r="BQ162" s="242"/>
    </row>
    <row r="163" spans="1:69" ht="12.75" customHeight="1" x14ac:dyDescent="0.25">
      <c r="A163" s="229"/>
      <c r="B163" s="229"/>
      <c r="C163" s="220"/>
      <c r="D163" s="220"/>
      <c r="E163" s="242"/>
      <c r="F163" s="254"/>
      <c r="G163" s="254"/>
      <c r="H163" s="254"/>
      <c r="I163" s="254"/>
      <c r="J163" s="254"/>
      <c r="K163" s="220"/>
      <c r="L163" s="254"/>
      <c r="M163" s="254"/>
      <c r="N163" s="255"/>
      <c r="O163" s="255"/>
      <c r="P163" s="219"/>
      <c r="Q163" s="220"/>
      <c r="R163" s="244"/>
      <c r="S163" s="220"/>
      <c r="T163" s="220"/>
      <c r="U163" s="220"/>
      <c r="V163" s="244"/>
      <c r="W163" s="244"/>
      <c r="X163" s="220"/>
      <c r="Y163" s="220"/>
      <c r="Z163" s="220"/>
      <c r="AA163" s="244"/>
      <c r="AB163" s="244"/>
      <c r="AC163" s="244"/>
      <c r="AD163" s="244"/>
      <c r="AE163" s="220"/>
      <c r="AF163" s="220"/>
      <c r="AG163" s="220"/>
      <c r="AH163" s="220"/>
      <c r="AI163" s="220"/>
      <c r="AJ163" s="244"/>
      <c r="AK163" s="254"/>
      <c r="AL163" s="250"/>
      <c r="AM163" s="244"/>
      <c r="AN163" s="244"/>
      <c r="AO163" s="220"/>
      <c r="AP163" s="244"/>
      <c r="AQ163" s="220"/>
      <c r="AR163" s="220"/>
      <c r="AS163" s="220"/>
      <c r="AT163" s="220"/>
      <c r="AU163" s="220"/>
      <c r="AV163" s="220"/>
      <c r="AW163" s="220"/>
      <c r="AX163" s="220"/>
      <c r="AY163" s="220"/>
      <c r="AZ163" s="220"/>
      <c r="BA163" s="220"/>
      <c r="BB163" s="220"/>
      <c r="BC163" s="220"/>
      <c r="BD163" s="220"/>
      <c r="BE163" s="220"/>
      <c r="BF163" s="220"/>
      <c r="BG163" s="220"/>
      <c r="BH163" s="220"/>
      <c r="BI163" s="220"/>
      <c r="BJ163" s="220"/>
      <c r="BK163" s="220"/>
      <c r="BL163" s="220"/>
      <c r="BM163" s="220"/>
      <c r="BN163" s="220"/>
      <c r="BO163" s="242"/>
      <c r="BP163" s="242"/>
      <c r="BQ163" s="242"/>
    </row>
    <row r="164" spans="1:69" ht="12.75" customHeight="1" x14ac:dyDescent="0.25">
      <c r="A164" s="229"/>
      <c r="B164" s="229"/>
      <c r="C164" s="220"/>
      <c r="D164" s="220"/>
      <c r="E164" s="242"/>
      <c r="F164" s="254"/>
      <c r="G164" s="254"/>
      <c r="H164" s="254"/>
      <c r="I164" s="254"/>
      <c r="J164" s="254"/>
      <c r="K164" s="220"/>
      <c r="L164" s="254"/>
      <c r="M164" s="254"/>
      <c r="N164" s="255"/>
      <c r="O164" s="255"/>
      <c r="P164" s="219"/>
      <c r="Q164" s="220"/>
      <c r="R164" s="244"/>
      <c r="S164" s="220"/>
      <c r="T164" s="220"/>
      <c r="U164" s="220"/>
      <c r="V164" s="244"/>
      <c r="W164" s="244"/>
      <c r="X164" s="220"/>
      <c r="Y164" s="220"/>
      <c r="Z164" s="220"/>
      <c r="AA164" s="244"/>
      <c r="AB164" s="244"/>
      <c r="AC164" s="244"/>
      <c r="AD164" s="244"/>
      <c r="AE164" s="220"/>
      <c r="AF164" s="220"/>
      <c r="AG164" s="220"/>
      <c r="AH164" s="220"/>
      <c r="AI164" s="220"/>
      <c r="AJ164" s="244"/>
      <c r="AK164" s="254"/>
      <c r="AL164" s="250"/>
      <c r="AM164" s="244"/>
      <c r="AN164" s="244"/>
      <c r="AO164" s="220"/>
      <c r="AP164" s="244"/>
      <c r="AQ164" s="220"/>
      <c r="AR164" s="220"/>
      <c r="AS164" s="220"/>
      <c r="AT164" s="220"/>
      <c r="AU164" s="220"/>
      <c r="AV164" s="220"/>
      <c r="AW164" s="220"/>
      <c r="AX164" s="220"/>
      <c r="AY164" s="220"/>
      <c r="AZ164" s="220"/>
      <c r="BA164" s="220"/>
      <c r="BB164" s="220"/>
      <c r="BC164" s="220"/>
      <c r="BD164" s="220"/>
      <c r="BE164" s="220"/>
      <c r="BF164" s="220"/>
      <c r="BG164" s="220"/>
      <c r="BH164" s="220"/>
      <c r="BI164" s="220"/>
      <c r="BJ164" s="220"/>
      <c r="BK164" s="220"/>
      <c r="BL164" s="220"/>
      <c r="BM164" s="220"/>
      <c r="BN164" s="220"/>
      <c r="BO164" s="242"/>
      <c r="BP164" s="242"/>
      <c r="BQ164" s="242"/>
    </row>
    <row r="165" spans="1:69" ht="12.75" customHeight="1" x14ac:dyDescent="0.25">
      <c r="A165" s="229"/>
      <c r="B165" s="229"/>
      <c r="C165" s="220"/>
      <c r="D165" s="220"/>
      <c r="E165" s="242"/>
      <c r="F165" s="254"/>
      <c r="G165" s="254"/>
      <c r="H165" s="254"/>
      <c r="I165" s="254"/>
      <c r="J165" s="254"/>
      <c r="K165" s="220"/>
      <c r="L165" s="254"/>
      <c r="M165" s="254"/>
      <c r="N165" s="255"/>
      <c r="O165" s="255"/>
      <c r="P165" s="219"/>
      <c r="Q165" s="220"/>
      <c r="R165" s="244"/>
      <c r="S165" s="220"/>
      <c r="T165" s="220"/>
      <c r="U165" s="220"/>
      <c r="V165" s="244"/>
      <c r="W165" s="244"/>
      <c r="X165" s="220"/>
      <c r="Y165" s="220"/>
      <c r="Z165" s="220"/>
      <c r="AA165" s="244"/>
      <c r="AB165" s="244"/>
      <c r="AC165" s="244"/>
      <c r="AD165" s="244"/>
      <c r="AE165" s="220"/>
      <c r="AF165" s="220"/>
      <c r="AG165" s="220"/>
      <c r="AH165" s="220"/>
      <c r="AI165" s="220"/>
      <c r="AJ165" s="244"/>
      <c r="AK165" s="254"/>
      <c r="AL165" s="250"/>
      <c r="AM165" s="244"/>
      <c r="AN165" s="244"/>
      <c r="AO165" s="220"/>
      <c r="AP165" s="244"/>
      <c r="AQ165" s="220"/>
      <c r="AR165" s="220"/>
      <c r="AS165" s="220"/>
      <c r="AT165" s="220"/>
      <c r="AU165" s="220"/>
      <c r="AV165" s="220"/>
      <c r="AW165" s="220"/>
      <c r="AX165" s="220"/>
      <c r="AY165" s="220"/>
      <c r="AZ165" s="220"/>
      <c r="BA165" s="220"/>
      <c r="BB165" s="220"/>
      <c r="BC165" s="220"/>
      <c r="BD165" s="220"/>
      <c r="BE165" s="220"/>
      <c r="BF165" s="220"/>
      <c r="BG165" s="220"/>
      <c r="BH165" s="220"/>
      <c r="BI165" s="220"/>
      <c r="BJ165" s="220"/>
      <c r="BK165" s="220"/>
      <c r="BL165" s="220"/>
      <c r="BM165" s="220"/>
      <c r="BN165" s="220"/>
      <c r="BO165" s="242"/>
      <c r="BP165" s="242"/>
      <c r="BQ165" s="242"/>
    </row>
    <row r="166" spans="1:69" ht="12.75" customHeight="1" x14ac:dyDescent="0.25">
      <c r="A166" s="229"/>
      <c r="B166" s="229"/>
      <c r="C166" s="220"/>
      <c r="D166" s="220"/>
      <c r="E166" s="242"/>
      <c r="F166" s="254"/>
      <c r="G166" s="254"/>
      <c r="H166" s="254"/>
      <c r="I166" s="254"/>
      <c r="J166" s="254"/>
      <c r="K166" s="220"/>
      <c r="L166" s="254"/>
      <c r="M166" s="254"/>
      <c r="N166" s="255"/>
      <c r="O166" s="255"/>
      <c r="P166" s="219"/>
      <c r="Q166" s="220"/>
      <c r="R166" s="244"/>
      <c r="S166" s="220"/>
      <c r="T166" s="220"/>
      <c r="U166" s="220"/>
      <c r="V166" s="244"/>
      <c r="W166" s="244"/>
      <c r="X166" s="220"/>
      <c r="Y166" s="220"/>
      <c r="Z166" s="220"/>
      <c r="AA166" s="244"/>
      <c r="AB166" s="244"/>
      <c r="AC166" s="244"/>
      <c r="AD166" s="244"/>
      <c r="AE166" s="220"/>
      <c r="AF166" s="220"/>
      <c r="AG166" s="220"/>
      <c r="AH166" s="220"/>
      <c r="AI166" s="220"/>
      <c r="AJ166" s="244"/>
      <c r="AK166" s="254"/>
      <c r="AL166" s="250"/>
      <c r="AM166" s="244"/>
      <c r="AN166" s="244"/>
      <c r="AO166" s="220"/>
      <c r="AP166" s="244"/>
      <c r="AQ166" s="220"/>
      <c r="AR166" s="220"/>
      <c r="AS166" s="220"/>
      <c r="AT166" s="220"/>
      <c r="AU166" s="220"/>
      <c r="AV166" s="220"/>
      <c r="AW166" s="220"/>
      <c r="AX166" s="220"/>
      <c r="AY166" s="220"/>
      <c r="AZ166" s="220"/>
      <c r="BA166" s="220"/>
      <c r="BB166" s="220"/>
      <c r="BC166" s="220"/>
      <c r="BD166" s="220"/>
      <c r="BE166" s="220"/>
      <c r="BF166" s="220"/>
      <c r="BG166" s="220"/>
      <c r="BH166" s="220"/>
      <c r="BI166" s="220"/>
      <c r="BJ166" s="220"/>
      <c r="BK166" s="220"/>
      <c r="BL166" s="220"/>
      <c r="BM166" s="220"/>
      <c r="BN166" s="220"/>
      <c r="BO166" s="242"/>
      <c r="BP166" s="242"/>
      <c r="BQ166" s="242"/>
    </row>
    <row r="167" spans="1:69" ht="12.75" customHeight="1" x14ac:dyDescent="0.25">
      <c r="A167" s="229"/>
      <c r="B167" s="229"/>
      <c r="C167" s="220"/>
      <c r="D167" s="220"/>
      <c r="E167" s="242"/>
      <c r="F167" s="254"/>
      <c r="G167" s="254"/>
      <c r="H167" s="254"/>
      <c r="I167" s="254"/>
      <c r="J167" s="254"/>
      <c r="K167" s="220"/>
      <c r="L167" s="254"/>
      <c r="M167" s="254"/>
      <c r="N167" s="255"/>
      <c r="O167" s="255"/>
      <c r="P167" s="219"/>
      <c r="Q167" s="220"/>
      <c r="R167" s="244"/>
      <c r="S167" s="220"/>
      <c r="T167" s="220"/>
      <c r="U167" s="220"/>
      <c r="V167" s="244"/>
      <c r="W167" s="244"/>
      <c r="X167" s="220"/>
      <c r="Y167" s="220"/>
      <c r="Z167" s="220"/>
      <c r="AA167" s="244"/>
      <c r="AB167" s="244"/>
      <c r="AC167" s="244"/>
      <c r="AD167" s="244"/>
      <c r="AE167" s="220"/>
      <c r="AF167" s="220"/>
      <c r="AG167" s="220"/>
      <c r="AH167" s="220"/>
      <c r="AI167" s="220"/>
      <c r="AJ167" s="244"/>
      <c r="AK167" s="254"/>
      <c r="AL167" s="250"/>
      <c r="AM167" s="244"/>
      <c r="AN167" s="244"/>
      <c r="AO167" s="220"/>
      <c r="AP167" s="244"/>
      <c r="AQ167" s="220"/>
      <c r="AR167" s="220"/>
      <c r="AS167" s="220"/>
      <c r="AT167" s="220"/>
      <c r="AU167" s="220"/>
      <c r="AV167" s="220"/>
      <c r="AW167" s="220"/>
      <c r="AX167" s="220"/>
      <c r="AY167" s="220"/>
      <c r="AZ167" s="220"/>
      <c r="BA167" s="220"/>
      <c r="BB167" s="220"/>
      <c r="BC167" s="220"/>
      <c r="BD167" s="220"/>
      <c r="BE167" s="220"/>
      <c r="BF167" s="220"/>
      <c r="BG167" s="220"/>
      <c r="BH167" s="220"/>
      <c r="BI167" s="220"/>
      <c r="BJ167" s="220"/>
      <c r="BK167" s="220"/>
      <c r="BL167" s="220"/>
      <c r="BM167" s="220"/>
      <c r="BN167" s="220"/>
      <c r="BO167" s="242"/>
      <c r="BP167" s="242"/>
      <c r="BQ167" s="242"/>
    </row>
    <row r="168" spans="1:69" ht="12.75" customHeight="1" x14ac:dyDescent="0.25">
      <c r="A168" s="229"/>
      <c r="B168" s="229"/>
      <c r="C168" s="220"/>
      <c r="D168" s="220"/>
      <c r="E168" s="242"/>
      <c r="F168" s="254"/>
      <c r="G168" s="254"/>
      <c r="H168" s="254"/>
      <c r="I168" s="254"/>
      <c r="J168" s="254"/>
      <c r="K168" s="220"/>
      <c r="L168" s="254"/>
      <c r="M168" s="254"/>
      <c r="N168" s="255"/>
      <c r="O168" s="255"/>
      <c r="P168" s="219"/>
      <c r="Q168" s="220"/>
      <c r="R168" s="244"/>
      <c r="S168" s="220"/>
      <c r="T168" s="220"/>
      <c r="U168" s="220"/>
      <c r="V168" s="244"/>
      <c r="W168" s="244"/>
      <c r="X168" s="220"/>
      <c r="Y168" s="220"/>
      <c r="Z168" s="220"/>
      <c r="AA168" s="244"/>
      <c r="AB168" s="244"/>
      <c r="AC168" s="244"/>
      <c r="AD168" s="244"/>
      <c r="AE168" s="220"/>
      <c r="AF168" s="220"/>
      <c r="AG168" s="220"/>
      <c r="AH168" s="220"/>
      <c r="AI168" s="220"/>
      <c r="AJ168" s="244"/>
      <c r="AK168" s="254"/>
      <c r="AL168" s="250"/>
      <c r="AM168" s="244"/>
      <c r="AN168" s="244"/>
      <c r="AO168" s="220"/>
      <c r="AP168" s="244"/>
      <c r="AQ168" s="220"/>
      <c r="AR168" s="220"/>
      <c r="AS168" s="220"/>
      <c r="AT168" s="220"/>
      <c r="AU168" s="220"/>
      <c r="AV168" s="220"/>
      <c r="AW168" s="220"/>
      <c r="AX168" s="220"/>
      <c r="AY168" s="220"/>
      <c r="AZ168" s="220"/>
      <c r="BA168" s="220"/>
      <c r="BB168" s="220"/>
      <c r="BC168" s="220"/>
      <c r="BD168" s="220"/>
      <c r="BE168" s="220"/>
      <c r="BF168" s="220"/>
      <c r="BG168" s="220"/>
      <c r="BH168" s="220"/>
      <c r="BI168" s="220"/>
      <c r="BJ168" s="220"/>
      <c r="BK168" s="220"/>
      <c r="BL168" s="220"/>
      <c r="BM168" s="220"/>
      <c r="BN168" s="220"/>
      <c r="BO168" s="242"/>
      <c r="BP168" s="242"/>
      <c r="BQ168" s="242"/>
    </row>
    <row r="169" spans="1:69" ht="12.75" customHeight="1" x14ac:dyDescent="0.25">
      <c r="A169" s="229"/>
      <c r="B169" s="229"/>
      <c r="C169" s="220"/>
      <c r="D169" s="220"/>
      <c r="E169" s="242"/>
      <c r="F169" s="254"/>
      <c r="G169" s="254"/>
      <c r="H169" s="254"/>
      <c r="I169" s="254"/>
      <c r="J169" s="254"/>
      <c r="K169" s="220"/>
      <c r="L169" s="254"/>
      <c r="M169" s="254"/>
      <c r="N169" s="255"/>
      <c r="O169" s="255"/>
      <c r="P169" s="219"/>
      <c r="Q169" s="220"/>
      <c r="R169" s="244"/>
      <c r="S169" s="220"/>
      <c r="T169" s="220"/>
      <c r="U169" s="220"/>
      <c r="V169" s="244"/>
      <c r="W169" s="244"/>
      <c r="X169" s="220"/>
      <c r="Y169" s="220"/>
      <c r="Z169" s="220"/>
      <c r="AA169" s="244"/>
      <c r="AB169" s="244"/>
      <c r="AC169" s="244"/>
      <c r="AD169" s="244"/>
      <c r="AE169" s="220"/>
      <c r="AF169" s="220"/>
      <c r="AG169" s="220"/>
      <c r="AH169" s="220"/>
      <c r="AI169" s="220"/>
      <c r="AJ169" s="244"/>
      <c r="AK169" s="254"/>
      <c r="AL169" s="250"/>
      <c r="AM169" s="244"/>
      <c r="AN169" s="244"/>
      <c r="AO169" s="220"/>
      <c r="AP169" s="244"/>
      <c r="AQ169" s="220"/>
      <c r="AR169" s="220"/>
      <c r="AS169" s="220"/>
      <c r="AT169" s="220"/>
      <c r="AU169" s="220"/>
      <c r="AV169" s="220"/>
      <c r="AW169" s="220"/>
      <c r="AX169" s="220"/>
      <c r="AY169" s="220"/>
      <c r="AZ169" s="220"/>
      <c r="BA169" s="220"/>
      <c r="BB169" s="220"/>
      <c r="BC169" s="220"/>
      <c r="BD169" s="220"/>
      <c r="BE169" s="220"/>
      <c r="BF169" s="220"/>
      <c r="BG169" s="220"/>
      <c r="BH169" s="220"/>
      <c r="BI169" s="220"/>
      <c r="BJ169" s="220"/>
      <c r="BK169" s="220"/>
      <c r="BL169" s="220"/>
      <c r="BM169" s="220"/>
      <c r="BN169" s="220"/>
      <c r="BO169" s="242"/>
      <c r="BP169" s="242"/>
      <c r="BQ169" s="242"/>
    </row>
    <row r="170" spans="1:69" ht="12.75" customHeight="1" x14ac:dyDescent="0.25">
      <c r="A170" s="229"/>
      <c r="B170" s="229"/>
      <c r="C170" s="220"/>
      <c r="D170" s="220"/>
      <c r="E170" s="242"/>
      <c r="F170" s="254"/>
      <c r="G170" s="254"/>
      <c r="H170" s="254"/>
      <c r="I170" s="254"/>
      <c r="J170" s="254"/>
      <c r="K170" s="220"/>
      <c r="L170" s="254"/>
      <c r="M170" s="254"/>
      <c r="N170" s="255"/>
      <c r="O170" s="255"/>
      <c r="P170" s="219"/>
      <c r="Q170" s="220"/>
      <c r="R170" s="244"/>
      <c r="S170" s="220"/>
      <c r="T170" s="220"/>
      <c r="U170" s="220"/>
      <c r="V170" s="244"/>
      <c r="W170" s="244"/>
      <c r="X170" s="220"/>
      <c r="Y170" s="220"/>
      <c r="Z170" s="220"/>
      <c r="AA170" s="244"/>
      <c r="AB170" s="244"/>
      <c r="AC170" s="244"/>
      <c r="AD170" s="244"/>
      <c r="AE170" s="220"/>
      <c r="AF170" s="220"/>
      <c r="AG170" s="220"/>
      <c r="AH170" s="220"/>
      <c r="AI170" s="220"/>
      <c r="AJ170" s="244"/>
      <c r="AK170" s="254"/>
      <c r="AL170" s="250"/>
      <c r="AM170" s="244"/>
      <c r="AN170" s="244"/>
      <c r="AO170" s="220"/>
      <c r="AP170" s="244"/>
      <c r="AQ170" s="220"/>
      <c r="AR170" s="220"/>
      <c r="AS170" s="220"/>
      <c r="AT170" s="220"/>
      <c r="AU170" s="220"/>
      <c r="AV170" s="220"/>
      <c r="AW170" s="220"/>
      <c r="AX170" s="220"/>
      <c r="AY170" s="220"/>
      <c r="AZ170" s="220"/>
      <c r="BA170" s="220"/>
      <c r="BB170" s="220"/>
      <c r="BC170" s="220"/>
      <c r="BD170" s="220"/>
      <c r="BE170" s="220"/>
      <c r="BF170" s="220"/>
      <c r="BG170" s="220"/>
      <c r="BH170" s="220"/>
      <c r="BI170" s="220"/>
      <c r="BJ170" s="220"/>
      <c r="BK170" s="220"/>
      <c r="BL170" s="220"/>
      <c r="BM170" s="220"/>
      <c r="BN170" s="220"/>
      <c r="BO170" s="242"/>
      <c r="BP170" s="242"/>
      <c r="BQ170" s="242"/>
    </row>
    <row r="171" spans="1:69" ht="12.75" customHeight="1" x14ac:dyDescent="0.25">
      <c r="A171" s="229"/>
      <c r="B171" s="229"/>
      <c r="C171" s="220"/>
      <c r="D171" s="220"/>
      <c r="E171" s="242"/>
      <c r="F171" s="254"/>
      <c r="G171" s="254"/>
      <c r="H171" s="254"/>
      <c r="I171" s="254"/>
      <c r="J171" s="254"/>
      <c r="K171" s="220"/>
      <c r="L171" s="254"/>
      <c r="M171" s="254"/>
      <c r="N171" s="255"/>
      <c r="O171" s="255"/>
      <c r="P171" s="219"/>
      <c r="Q171" s="220"/>
      <c r="R171" s="244"/>
      <c r="S171" s="220"/>
      <c r="T171" s="220"/>
      <c r="U171" s="220"/>
      <c r="V171" s="244"/>
      <c r="W171" s="244"/>
      <c r="X171" s="220"/>
      <c r="Y171" s="220"/>
      <c r="Z171" s="220"/>
      <c r="AA171" s="244"/>
      <c r="AB171" s="244"/>
      <c r="AC171" s="244"/>
      <c r="AD171" s="244"/>
      <c r="AE171" s="220"/>
      <c r="AF171" s="220"/>
      <c r="AG171" s="220"/>
      <c r="AH171" s="220"/>
      <c r="AI171" s="220"/>
      <c r="AJ171" s="244"/>
      <c r="AK171" s="254"/>
      <c r="AL171" s="250"/>
      <c r="AM171" s="244"/>
      <c r="AN171" s="244"/>
      <c r="AO171" s="220"/>
      <c r="AP171" s="244"/>
      <c r="AQ171" s="220"/>
      <c r="AR171" s="220"/>
      <c r="AS171" s="220"/>
      <c r="AT171" s="220"/>
      <c r="AU171" s="220"/>
      <c r="AV171" s="220"/>
      <c r="AW171" s="220"/>
      <c r="AX171" s="220"/>
      <c r="AY171" s="220"/>
      <c r="AZ171" s="220"/>
      <c r="BA171" s="220"/>
      <c r="BB171" s="220"/>
      <c r="BC171" s="220"/>
      <c r="BD171" s="220"/>
      <c r="BE171" s="220"/>
      <c r="BF171" s="220"/>
      <c r="BG171" s="220"/>
      <c r="BH171" s="220"/>
      <c r="BI171" s="220"/>
      <c r="BJ171" s="220"/>
      <c r="BK171" s="220"/>
      <c r="BL171" s="220"/>
      <c r="BM171" s="220"/>
      <c r="BN171" s="220"/>
      <c r="BO171" s="242"/>
      <c r="BP171" s="242"/>
      <c r="BQ171" s="242"/>
    </row>
    <row r="172" spans="1:69" ht="12.75" customHeight="1" x14ac:dyDescent="0.25">
      <c r="A172" s="229"/>
      <c r="B172" s="229"/>
      <c r="C172" s="220"/>
      <c r="D172" s="220"/>
      <c r="E172" s="242"/>
      <c r="F172" s="254"/>
      <c r="G172" s="254"/>
      <c r="H172" s="254"/>
      <c r="I172" s="254"/>
      <c r="J172" s="254"/>
      <c r="K172" s="220"/>
      <c r="L172" s="254"/>
      <c r="M172" s="254"/>
      <c r="N172" s="255"/>
      <c r="O172" s="255"/>
      <c r="P172" s="219"/>
      <c r="Q172" s="220"/>
      <c r="R172" s="244"/>
      <c r="S172" s="220"/>
      <c r="T172" s="220"/>
      <c r="U172" s="220"/>
      <c r="V172" s="244"/>
      <c r="W172" s="244"/>
      <c r="X172" s="220"/>
      <c r="Y172" s="220"/>
      <c r="Z172" s="220"/>
      <c r="AA172" s="244"/>
      <c r="AB172" s="244"/>
      <c r="AC172" s="244"/>
      <c r="AD172" s="244"/>
      <c r="AE172" s="220"/>
      <c r="AF172" s="220"/>
      <c r="AG172" s="220"/>
      <c r="AH172" s="220"/>
      <c r="AI172" s="220"/>
      <c r="AJ172" s="244"/>
      <c r="AK172" s="254"/>
      <c r="AL172" s="250"/>
      <c r="AM172" s="244"/>
      <c r="AN172" s="244"/>
      <c r="AO172" s="220"/>
      <c r="AP172" s="244"/>
      <c r="AQ172" s="220"/>
      <c r="AR172" s="220"/>
      <c r="AS172" s="220"/>
      <c r="AT172" s="220"/>
      <c r="AU172" s="220"/>
      <c r="AV172" s="220"/>
      <c r="AW172" s="220"/>
      <c r="AX172" s="220"/>
      <c r="AY172" s="220"/>
      <c r="AZ172" s="220"/>
      <c r="BA172" s="220"/>
      <c r="BB172" s="220"/>
      <c r="BC172" s="220"/>
      <c r="BD172" s="220"/>
      <c r="BE172" s="220"/>
      <c r="BF172" s="220"/>
      <c r="BG172" s="220"/>
      <c r="BH172" s="220"/>
      <c r="BI172" s="220"/>
      <c r="BJ172" s="220"/>
      <c r="BK172" s="220"/>
      <c r="BL172" s="220"/>
      <c r="BM172" s="220"/>
      <c r="BN172" s="220"/>
      <c r="BO172" s="242"/>
      <c r="BP172" s="242"/>
      <c r="BQ172" s="242"/>
    </row>
    <row r="173" spans="1:69" ht="12.75" customHeight="1" x14ac:dyDescent="0.25">
      <c r="A173" s="229"/>
      <c r="B173" s="229"/>
      <c r="C173" s="220"/>
      <c r="D173" s="220"/>
      <c r="E173" s="242"/>
      <c r="F173" s="254"/>
      <c r="G173" s="254"/>
      <c r="H173" s="254"/>
      <c r="I173" s="254"/>
      <c r="J173" s="254"/>
      <c r="K173" s="220"/>
      <c r="L173" s="254"/>
      <c r="M173" s="254"/>
      <c r="N173" s="255"/>
      <c r="O173" s="255"/>
      <c r="P173" s="219"/>
      <c r="Q173" s="220"/>
      <c r="R173" s="244"/>
      <c r="S173" s="220"/>
      <c r="T173" s="220"/>
      <c r="U173" s="220"/>
      <c r="V173" s="244"/>
      <c r="W173" s="244"/>
      <c r="X173" s="220"/>
      <c r="Y173" s="220"/>
      <c r="Z173" s="220"/>
      <c r="AA173" s="244"/>
      <c r="AB173" s="244"/>
      <c r="AC173" s="244"/>
      <c r="AD173" s="244"/>
      <c r="AE173" s="220"/>
      <c r="AF173" s="220"/>
      <c r="AG173" s="220"/>
      <c r="AH173" s="220"/>
      <c r="AI173" s="220"/>
      <c r="AJ173" s="244"/>
      <c r="AK173" s="254"/>
      <c r="AL173" s="250"/>
      <c r="AM173" s="244"/>
      <c r="AN173" s="244"/>
      <c r="AO173" s="220"/>
      <c r="AP173" s="244"/>
      <c r="AQ173" s="220"/>
      <c r="AR173" s="220"/>
      <c r="AS173" s="220"/>
      <c r="AT173" s="220"/>
      <c r="AU173" s="220"/>
      <c r="AV173" s="220"/>
      <c r="AW173" s="220"/>
      <c r="AX173" s="220"/>
      <c r="AY173" s="220"/>
      <c r="AZ173" s="220"/>
      <c r="BA173" s="220"/>
      <c r="BB173" s="220"/>
      <c r="BC173" s="220"/>
      <c r="BD173" s="220"/>
      <c r="BE173" s="220"/>
      <c r="BF173" s="220"/>
      <c r="BG173" s="220"/>
      <c r="BH173" s="220"/>
      <c r="BI173" s="220"/>
      <c r="BJ173" s="220"/>
      <c r="BK173" s="220"/>
      <c r="BL173" s="220"/>
      <c r="BM173" s="220"/>
      <c r="BN173" s="220"/>
      <c r="BO173" s="242"/>
      <c r="BP173" s="242"/>
      <c r="BQ173" s="242"/>
    </row>
    <row r="174" spans="1:69" ht="12.75" customHeight="1" x14ac:dyDescent="0.25">
      <c r="A174" s="229"/>
      <c r="B174" s="229"/>
      <c r="C174" s="220"/>
      <c r="D174" s="220"/>
      <c r="E174" s="242"/>
      <c r="F174" s="254"/>
      <c r="G174" s="254"/>
      <c r="H174" s="254"/>
      <c r="I174" s="254"/>
      <c r="J174" s="254"/>
      <c r="K174" s="220"/>
      <c r="L174" s="254"/>
      <c r="M174" s="254"/>
      <c r="N174" s="255"/>
      <c r="O174" s="255"/>
      <c r="P174" s="219"/>
      <c r="Q174" s="220"/>
      <c r="R174" s="244"/>
      <c r="S174" s="220"/>
      <c r="T174" s="220"/>
      <c r="U174" s="220"/>
      <c r="V174" s="244"/>
      <c r="W174" s="244"/>
      <c r="X174" s="220"/>
      <c r="Y174" s="220"/>
      <c r="Z174" s="220"/>
      <c r="AA174" s="244"/>
      <c r="AB174" s="244"/>
      <c r="AC174" s="244"/>
      <c r="AD174" s="244"/>
      <c r="AE174" s="220"/>
      <c r="AF174" s="220"/>
      <c r="AG174" s="220"/>
      <c r="AH174" s="220"/>
      <c r="AI174" s="220"/>
      <c r="AJ174" s="244"/>
      <c r="AK174" s="254"/>
      <c r="AL174" s="250"/>
      <c r="AM174" s="244"/>
      <c r="AN174" s="244"/>
      <c r="AO174" s="220"/>
      <c r="AP174" s="244"/>
      <c r="AQ174" s="220"/>
      <c r="AR174" s="220"/>
      <c r="AS174" s="220"/>
      <c r="AT174" s="220"/>
      <c r="AU174" s="220"/>
      <c r="AV174" s="220"/>
      <c r="AW174" s="220"/>
      <c r="AX174" s="220"/>
      <c r="AY174" s="220"/>
      <c r="AZ174" s="220"/>
      <c r="BA174" s="220"/>
      <c r="BB174" s="220"/>
      <c r="BC174" s="220"/>
      <c r="BD174" s="220"/>
      <c r="BE174" s="220"/>
      <c r="BF174" s="220"/>
      <c r="BG174" s="220"/>
      <c r="BH174" s="220"/>
      <c r="BI174" s="220"/>
      <c r="BJ174" s="220"/>
      <c r="BK174" s="220"/>
      <c r="BL174" s="220"/>
      <c r="BM174" s="220"/>
      <c r="BN174" s="220"/>
      <c r="BO174" s="242"/>
      <c r="BP174" s="242"/>
      <c r="BQ174" s="242"/>
    </row>
    <row r="175" spans="1:69" ht="12.75" customHeight="1" x14ac:dyDescent="0.25">
      <c r="A175" s="229"/>
      <c r="B175" s="229"/>
      <c r="C175" s="220"/>
      <c r="D175" s="220"/>
      <c r="E175" s="242"/>
      <c r="F175" s="254"/>
      <c r="G175" s="254"/>
      <c r="H175" s="254"/>
      <c r="I175" s="254"/>
      <c r="J175" s="254"/>
      <c r="K175" s="220"/>
      <c r="L175" s="254"/>
      <c r="M175" s="254"/>
      <c r="N175" s="255"/>
      <c r="O175" s="255"/>
      <c r="P175" s="219"/>
      <c r="Q175" s="220"/>
      <c r="R175" s="244"/>
      <c r="S175" s="220"/>
      <c r="T175" s="220"/>
      <c r="U175" s="220"/>
      <c r="V175" s="244"/>
      <c r="W175" s="244"/>
      <c r="X175" s="220"/>
      <c r="Y175" s="220"/>
      <c r="Z175" s="220"/>
      <c r="AA175" s="244"/>
      <c r="AB175" s="244"/>
      <c r="AC175" s="244"/>
      <c r="AD175" s="244"/>
      <c r="AE175" s="220"/>
      <c r="AF175" s="220"/>
      <c r="AG175" s="220"/>
      <c r="AH175" s="220"/>
      <c r="AI175" s="220"/>
      <c r="AJ175" s="244"/>
      <c r="AK175" s="254"/>
      <c r="AL175" s="250"/>
      <c r="AM175" s="244"/>
      <c r="AN175" s="244"/>
      <c r="AO175" s="220"/>
      <c r="AP175" s="244"/>
      <c r="AQ175" s="220"/>
      <c r="AR175" s="220"/>
      <c r="AS175" s="220"/>
      <c r="AT175" s="220"/>
      <c r="AU175" s="220"/>
      <c r="AV175" s="220"/>
      <c r="AW175" s="220"/>
      <c r="AX175" s="220"/>
      <c r="AY175" s="220"/>
      <c r="AZ175" s="220"/>
      <c r="BA175" s="220"/>
      <c r="BB175" s="220"/>
      <c r="BC175" s="220"/>
      <c r="BD175" s="220"/>
      <c r="BE175" s="220"/>
      <c r="BF175" s="220"/>
      <c r="BG175" s="220"/>
      <c r="BH175" s="220"/>
      <c r="BI175" s="220"/>
      <c r="BJ175" s="220"/>
      <c r="BK175" s="220"/>
      <c r="BL175" s="220"/>
      <c r="BM175" s="220"/>
      <c r="BN175" s="220"/>
      <c r="BO175" s="242"/>
      <c r="BP175" s="242"/>
      <c r="BQ175" s="242"/>
    </row>
    <row r="176" spans="1:69" ht="12.75" customHeight="1" x14ac:dyDescent="0.25">
      <c r="A176" s="229"/>
      <c r="B176" s="229"/>
      <c r="C176" s="220"/>
      <c r="D176" s="220"/>
      <c r="E176" s="242"/>
      <c r="F176" s="254"/>
      <c r="G176" s="254"/>
      <c r="H176" s="254"/>
      <c r="I176" s="254"/>
      <c r="J176" s="254"/>
      <c r="K176" s="220"/>
      <c r="L176" s="254"/>
      <c r="M176" s="254"/>
      <c r="N176" s="255"/>
      <c r="O176" s="255"/>
      <c r="P176" s="219"/>
      <c r="Q176" s="220"/>
      <c r="R176" s="244"/>
      <c r="S176" s="220"/>
      <c r="T176" s="220"/>
      <c r="U176" s="220"/>
      <c r="V176" s="244"/>
      <c r="W176" s="244"/>
      <c r="X176" s="220"/>
      <c r="Y176" s="220"/>
      <c r="Z176" s="220"/>
      <c r="AA176" s="244"/>
      <c r="AB176" s="244"/>
      <c r="AC176" s="244"/>
      <c r="AD176" s="244"/>
      <c r="AE176" s="220"/>
      <c r="AF176" s="220"/>
      <c r="AG176" s="220"/>
      <c r="AH176" s="220"/>
      <c r="AI176" s="220"/>
      <c r="AJ176" s="244"/>
      <c r="AK176" s="254"/>
      <c r="AL176" s="250"/>
      <c r="AM176" s="244"/>
      <c r="AN176" s="244"/>
      <c r="AO176" s="220"/>
      <c r="AP176" s="244"/>
      <c r="AQ176" s="220"/>
      <c r="AR176" s="220"/>
      <c r="AS176" s="220"/>
      <c r="AT176" s="220"/>
      <c r="AU176" s="220"/>
      <c r="AV176" s="220"/>
      <c r="AW176" s="220"/>
      <c r="AX176" s="220"/>
      <c r="AY176" s="220"/>
      <c r="AZ176" s="220"/>
      <c r="BA176" s="220"/>
      <c r="BB176" s="220"/>
      <c r="BC176" s="220"/>
      <c r="BD176" s="220"/>
      <c r="BE176" s="220"/>
      <c r="BF176" s="220"/>
      <c r="BG176" s="220"/>
      <c r="BH176" s="220"/>
      <c r="BI176" s="220"/>
      <c r="BJ176" s="220"/>
      <c r="BK176" s="220"/>
      <c r="BL176" s="220"/>
      <c r="BM176" s="220"/>
      <c r="BN176" s="220"/>
      <c r="BO176" s="242"/>
      <c r="BP176" s="242"/>
      <c r="BQ176" s="242"/>
    </row>
    <row r="177" spans="1:69" ht="12.75" customHeight="1" x14ac:dyDescent="0.25">
      <c r="A177" s="229"/>
      <c r="B177" s="229"/>
      <c r="C177" s="220"/>
      <c r="D177" s="220"/>
      <c r="E177" s="242"/>
      <c r="F177" s="254"/>
      <c r="G177" s="254"/>
      <c r="H177" s="254"/>
      <c r="I177" s="254"/>
      <c r="J177" s="254"/>
      <c r="K177" s="220"/>
      <c r="L177" s="254"/>
      <c r="M177" s="254"/>
      <c r="N177" s="255"/>
      <c r="O177" s="255"/>
      <c r="P177" s="219"/>
      <c r="Q177" s="220"/>
      <c r="R177" s="244"/>
      <c r="S177" s="220"/>
      <c r="T177" s="220"/>
      <c r="U177" s="220"/>
      <c r="V177" s="244"/>
      <c r="W177" s="244"/>
      <c r="X177" s="220"/>
      <c r="Y177" s="220"/>
      <c r="Z177" s="220"/>
      <c r="AA177" s="244"/>
      <c r="AB177" s="244"/>
      <c r="AC177" s="244"/>
      <c r="AD177" s="244"/>
      <c r="AE177" s="220"/>
      <c r="AF177" s="220"/>
      <c r="AG177" s="220"/>
      <c r="AH177" s="220"/>
      <c r="AI177" s="220"/>
      <c r="AJ177" s="244"/>
      <c r="AK177" s="254"/>
      <c r="AL177" s="250"/>
      <c r="AM177" s="244"/>
      <c r="AN177" s="244"/>
      <c r="AO177" s="220"/>
      <c r="AP177" s="244"/>
      <c r="AQ177" s="220"/>
      <c r="AR177" s="220"/>
      <c r="AS177" s="220"/>
      <c r="AT177" s="220"/>
      <c r="AU177" s="220"/>
      <c r="AV177" s="220"/>
      <c r="AW177" s="220"/>
      <c r="AX177" s="220"/>
      <c r="AY177" s="220"/>
      <c r="AZ177" s="220"/>
      <c r="BA177" s="220"/>
      <c r="BB177" s="220"/>
      <c r="BC177" s="220"/>
      <c r="BD177" s="220"/>
      <c r="BE177" s="220"/>
      <c r="BF177" s="220"/>
      <c r="BG177" s="220"/>
      <c r="BH177" s="220"/>
      <c r="BI177" s="220"/>
      <c r="BJ177" s="220"/>
      <c r="BK177" s="220"/>
      <c r="BL177" s="220"/>
      <c r="BM177" s="220"/>
      <c r="BN177" s="220"/>
      <c r="BO177" s="242"/>
      <c r="BP177" s="242"/>
      <c r="BQ177" s="242"/>
    </row>
    <row r="178" spans="1:69" ht="12.75" customHeight="1" x14ac:dyDescent="0.25">
      <c r="A178" s="229"/>
      <c r="B178" s="229"/>
      <c r="C178" s="220"/>
      <c r="D178" s="220"/>
      <c r="E178" s="242"/>
      <c r="F178" s="254"/>
      <c r="G178" s="254"/>
      <c r="H178" s="254"/>
      <c r="I178" s="254"/>
      <c r="J178" s="254"/>
      <c r="K178" s="220"/>
      <c r="L178" s="254"/>
      <c r="M178" s="254"/>
      <c r="N178" s="255"/>
      <c r="O178" s="255"/>
      <c r="P178" s="219"/>
      <c r="Q178" s="220"/>
      <c r="R178" s="244"/>
      <c r="S178" s="220"/>
      <c r="T178" s="220"/>
      <c r="U178" s="220"/>
      <c r="V178" s="244"/>
      <c r="W178" s="244"/>
      <c r="X178" s="220"/>
      <c r="Y178" s="220"/>
      <c r="Z178" s="220"/>
      <c r="AA178" s="244"/>
      <c r="AB178" s="244"/>
      <c r="AC178" s="244"/>
      <c r="AD178" s="244"/>
      <c r="AE178" s="220"/>
      <c r="AF178" s="220"/>
      <c r="AG178" s="220"/>
      <c r="AH178" s="220"/>
      <c r="AI178" s="220"/>
      <c r="AJ178" s="244"/>
      <c r="AK178" s="254"/>
      <c r="AL178" s="250"/>
      <c r="AM178" s="244"/>
      <c r="AN178" s="244"/>
      <c r="AO178" s="220"/>
      <c r="AP178" s="244"/>
      <c r="AQ178" s="220"/>
      <c r="AR178" s="220"/>
      <c r="AS178" s="220"/>
      <c r="AT178" s="220"/>
      <c r="AU178" s="220"/>
      <c r="AV178" s="220"/>
      <c r="AW178" s="220"/>
      <c r="AX178" s="220"/>
      <c r="AY178" s="220"/>
      <c r="AZ178" s="220"/>
      <c r="BA178" s="220"/>
      <c r="BB178" s="220"/>
      <c r="BC178" s="220"/>
      <c r="BD178" s="220"/>
      <c r="BE178" s="220"/>
      <c r="BF178" s="220"/>
      <c r="BG178" s="220"/>
      <c r="BH178" s="220"/>
      <c r="BI178" s="220"/>
      <c r="BJ178" s="220"/>
      <c r="BK178" s="220"/>
      <c r="BL178" s="220"/>
      <c r="BM178" s="220"/>
      <c r="BN178" s="220"/>
      <c r="BO178" s="242"/>
      <c r="BP178" s="242"/>
      <c r="BQ178" s="242"/>
    </row>
    <row r="179" spans="1:69" ht="12.75" customHeight="1" x14ac:dyDescent="0.25">
      <c r="A179" s="229"/>
      <c r="B179" s="229"/>
      <c r="C179" s="220"/>
      <c r="D179" s="220"/>
      <c r="E179" s="242"/>
      <c r="F179" s="254"/>
      <c r="G179" s="254"/>
      <c r="H179" s="254"/>
      <c r="I179" s="254"/>
      <c r="J179" s="254"/>
      <c r="K179" s="220"/>
      <c r="L179" s="254"/>
      <c r="M179" s="254"/>
      <c r="N179" s="255"/>
      <c r="O179" s="255"/>
      <c r="P179" s="219"/>
      <c r="Q179" s="220"/>
      <c r="R179" s="244"/>
      <c r="S179" s="220"/>
      <c r="T179" s="220"/>
      <c r="U179" s="220"/>
      <c r="V179" s="244"/>
      <c r="W179" s="244"/>
      <c r="X179" s="220"/>
      <c r="Y179" s="220"/>
      <c r="Z179" s="220"/>
      <c r="AA179" s="244"/>
      <c r="AB179" s="244"/>
      <c r="AC179" s="244"/>
      <c r="AD179" s="244"/>
      <c r="AE179" s="220"/>
      <c r="AF179" s="220"/>
      <c r="AG179" s="220"/>
      <c r="AH179" s="220"/>
      <c r="AI179" s="220"/>
      <c r="AJ179" s="244"/>
      <c r="AK179" s="254"/>
      <c r="AL179" s="250"/>
      <c r="AM179" s="244"/>
      <c r="AN179" s="244"/>
      <c r="AO179" s="220"/>
      <c r="AP179" s="244"/>
      <c r="AQ179" s="220"/>
      <c r="AR179" s="220"/>
      <c r="AS179" s="220"/>
      <c r="AT179" s="220"/>
      <c r="AU179" s="220"/>
      <c r="AV179" s="220"/>
      <c r="AW179" s="220"/>
      <c r="AX179" s="220"/>
      <c r="AY179" s="220"/>
      <c r="AZ179" s="220"/>
      <c r="BA179" s="220"/>
      <c r="BB179" s="220"/>
      <c r="BC179" s="220"/>
      <c r="BD179" s="220"/>
      <c r="BE179" s="220"/>
      <c r="BF179" s="220"/>
      <c r="BG179" s="220"/>
      <c r="BH179" s="220"/>
      <c r="BI179" s="220"/>
      <c r="BJ179" s="220"/>
      <c r="BK179" s="220"/>
      <c r="BL179" s="220"/>
      <c r="BM179" s="220"/>
      <c r="BN179" s="220"/>
      <c r="BO179" s="242"/>
      <c r="BP179" s="242"/>
      <c r="BQ179" s="242"/>
    </row>
    <row r="180" spans="1:69" ht="12.75" customHeight="1" x14ac:dyDescent="0.25">
      <c r="A180" s="229"/>
      <c r="B180" s="229"/>
      <c r="C180" s="220"/>
      <c r="D180" s="220"/>
      <c r="E180" s="242"/>
      <c r="F180" s="254"/>
      <c r="G180" s="254"/>
      <c r="H180" s="254"/>
      <c r="I180" s="254"/>
      <c r="J180" s="254"/>
      <c r="K180" s="220"/>
      <c r="L180" s="254"/>
      <c r="M180" s="254"/>
      <c r="N180" s="255"/>
      <c r="O180" s="255"/>
      <c r="P180" s="219"/>
      <c r="Q180" s="220"/>
      <c r="R180" s="244"/>
      <c r="S180" s="220"/>
      <c r="T180" s="220"/>
      <c r="U180" s="220"/>
      <c r="V180" s="244"/>
      <c r="W180" s="244"/>
      <c r="X180" s="220"/>
      <c r="Y180" s="220"/>
      <c r="Z180" s="220"/>
      <c r="AA180" s="244"/>
      <c r="AB180" s="244"/>
      <c r="AC180" s="244"/>
      <c r="AD180" s="244"/>
      <c r="AE180" s="220"/>
      <c r="AF180" s="220"/>
      <c r="AG180" s="220"/>
      <c r="AH180" s="220"/>
      <c r="AI180" s="220"/>
      <c r="AJ180" s="244"/>
      <c r="AK180" s="254"/>
      <c r="AL180" s="250"/>
      <c r="AM180" s="244"/>
      <c r="AN180" s="244"/>
      <c r="AO180" s="220"/>
      <c r="AP180" s="244"/>
      <c r="AQ180" s="220"/>
      <c r="AR180" s="220"/>
      <c r="AS180" s="220"/>
      <c r="AT180" s="220"/>
      <c r="AU180" s="220"/>
      <c r="AV180" s="220"/>
      <c r="AW180" s="220"/>
      <c r="AX180" s="220"/>
      <c r="AY180" s="220"/>
      <c r="AZ180" s="220"/>
      <c r="BA180" s="220"/>
      <c r="BB180" s="220"/>
      <c r="BC180" s="220"/>
      <c r="BD180" s="220"/>
      <c r="BE180" s="220"/>
      <c r="BF180" s="220"/>
      <c r="BG180" s="220"/>
      <c r="BH180" s="220"/>
      <c r="BI180" s="220"/>
      <c r="BJ180" s="220"/>
      <c r="BK180" s="220"/>
      <c r="BL180" s="220"/>
      <c r="BM180" s="220"/>
      <c r="BN180" s="220"/>
      <c r="BO180" s="242"/>
      <c r="BP180" s="242"/>
      <c r="BQ180" s="242"/>
    </row>
    <row r="181" spans="1:69" ht="12.75" customHeight="1" x14ac:dyDescent="0.25">
      <c r="A181" s="229"/>
      <c r="B181" s="229"/>
      <c r="C181" s="220"/>
      <c r="D181" s="220"/>
      <c r="E181" s="242"/>
      <c r="F181" s="254"/>
      <c r="G181" s="254"/>
      <c r="H181" s="254"/>
      <c r="I181" s="254"/>
      <c r="J181" s="254"/>
      <c r="K181" s="220"/>
      <c r="L181" s="254"/>
      <c r="M181" s="254"/>
      <c r="N181" s="255"/>
      <c r="O181" s="255"/>
      <c r="P181" s="219"/>
      <c r="Q181" s="220"/>
      <c r="R181" s="244"/>
      <c r="S181" s="220"/>
      <c r="T181" s="220"/>
      <c r="U181" s="220"/>
      <c r="V181" s="244"/>
      <c r="W181" s="244"/>
      <c r="X181" s="220"/>
      <c r="Y181" s="220"/>
      <c r="Z181" s="220"/>
      <c r="AA181" s="244"/>
      <c r="AB181" s="244"/>
      <c r="AC181" s="244"/>
      <c r="AD181" s="244"/>
      <c r="AE181" s="220"/>
      <c r="AF181" s="220"/>
      <c r="AG181" s="220"/>
      <c r="AH181" s="220"/>
      <c r="AI181" s="220"/>
      <c r="AJ181" s="244"/>
      <c r="AK181" s="254"/>
      <c r="AL181" s="250"/>
      <c r="AM181" s="244"/>
      <c r="AN181" s="244"/>
      <c r="AO181" s="220"/>
      <c r="AP181" s="244"/>
      <c r="AQ181" s="220"/>
      <c r="AR181" s="220"/>
      <c r="AS181" s="220"/>
      <c r="AT181" s="220"/>
      <c r="AU181" s="220"/>
      <c r="AV181" s="220"/>
      <c r="AW181" s="220"/>
      <c r="AX181" s="220"/>
      <c r="AY181" s="220"/>
      <c r="AZ181" s="220"/>
      <c r="BA181" s="220"/>
      <c r="BB181" s="220"/>
      <c r="BC181" s="220"/>
      <c r="BD181" s="220"/>
      <c r="BE181" s="220"/>
      <c r="BF181" s="220"/>
      <c r="BG181" s="220"/>
      <c r="BH181" s="220"/>
      <c r="BI181" s="220"/>
      <c r="BJ181" s="220"/>
      <c r="BK181" s="220"/>
      <c r="BL181" s="220"/>
      <c r="BM181" s="220"/>
      <c r="BN181" s="220"/>
      <c r="BO181" s="242"/>
      <c r="BP181" s="242"/>
      <c r="BQ181" s="242"/>
    </row>
    <row r="182" spans="1:69" ht="12.75" customHeight="1" x14ac:dyDescent="0.25">
      <c r="A182" s="229"/>
      <c r="B182" s="229"/>
      <c r="C182" s="220"/>
      <c r="D182" s="220"/>
      <c r="E182" s="242"/>
      <c r="F182" s="254"/>
      <c r="G182" s="254"/>
      <c r="H182" s="254"/>
      <c r="I182" s="254"/>
      <c r="J182" s="254"/>
      <c r="K182" s="220"/>
      <c r="L182" s="254"/>
      <c r="M182" s="254"/>
      <c r="N182" s="255"/>
      <c r="O182" s="255"/>
      <c r="P182" s="219"/>
      <c r="Q182" s="220"/>
      <c r="R182" s="244"/>
      <c r="S182" s="220"/>
      <c r="T182" s="220"/>
      <c r="U182" s="220"/>
      <c r="V182" s="244"/>
      <c r="W182" s="244"/>
      <c r="X182" s="220"/>
      <c r="Y182" s="220"/>
      <c r="Z182" s="220"/>
      <c r="AA182" s="244"/>
      <c r="AB182" s="244"/>
      <c r="AC182" s="244"/>
      <c r="AD182" s="244"/>
      <c r="AE182" s="220"/>
      <c r="AF182" s="220"/>
      <c r="AG182" s="220"/>
      <c r="AH182" s="220"/>
      <c r="AI182" s="220"/>
      <c r="AJ182" s="244"/>
      <c r="AK182" s="254"/>
      <c r="AL182" s="250"/>
      <c r="AM182" s="244"/>
      <c r="AN182" s="244"/>
      <c r="AO182" s="220"/>
      <c r="AP182" s="244"/>
      <c r="AQ182" s="220"/>
      <c r="AR182" s="220"/>
      <c r="AS182" s="220"/>
      <c r="AT182" s="220"/>
      <c r="AU182" s="220"/>
      <c r="AV182" s="220"/>
      <c r="AW182" s="220"/>
      <c r="AX182" s="220"/>
      <c r="AY182" s="220"/>
      <c r="AZ182" s="220"/>
      <c r="BA182" s="220"/>
      <c r="BB182" s="220"/>
      <c r="BC182" s="220"/>
      <c r="BD182" s="220"/>
      <c r="BE182" s="220"/>
      <c r="BF182" s="220"/>
      <c r="BG182" s="220"/>
      <c r="BH182" s="220"/>
      <c r="BI182" s="220"/>
      <c r="BJ182" s="220"/>
      <c r="BK182" s="220"/>
      <c r="BL182" s="220"/>
      <c r="BM182" s="220"/>
      <c r="BN182" s="220"/>
      <c r="BO182" s="242"/>
      <c r="BP182" s="242"/>
      <c r="BQ182" s="242"/>
    </row>
    <row r="183" spans="1:69" ht="12.75" customHeight="1" x14ac:dyDescent="0.25">
      <c r="A183" s="229"/>
      <c r="B183" s="229"/>
      <c r="C183" s="220"/>
      <c r="D183" s="220"/>
      <c r="E183" s="242"/>
      <c r="F183" s="254"/>
      <c r="G183" s="254"/>
      <c r="H183" s="254"/>
      <c r="I183" s="254"/>
      <c r="J183" s="254"/>
      <c r="K183" s="220"/>
      <c r="L183" s="254"/>
      <c r="M183" s="254"/>
      <c r="N183" s="255"/>
      <c r="O183" s="255"/>
      <c r="P183" s="219"/>
      <c r="Q183" s="220"/>
      <c r="R183" s="244"/>
      <c r="S183" s="220"/>
      <c r="T183" s="220"/>
      <c r="U183" s="220"/>
      <c r="V183" s="244"/>
      <c r="W183" s="244"/>
      <c r="X183" s="220"/>
      <c r="Y183" s="220"/>
      <c r="Z183" s="220"/>
      <c r="AA183" s="244"/>
      <c r="AB183" s="244"/>
      <c r="AC183" s="244"/>
      <c r="AD183" s="244"/>
      <c r="AE183" s="220"/>
      <c r="AF183" s="220"/>
      <c r="AG183" s="220"/>
      <c r="AH183" s="220"/>
      <c r="AI183" s="220"/>
      <c r="AJ183" s="244"/>
      <c r="AK183" s="254"/>
      <c r="AL183" s="250"/>
      <c r="AM183" s="244"/>
      <c r="AN183" s="244"/>
      <c r="AO183" s="220"/>
      <c r="AP183" s="244"/>
      <c r="AQ183" s="220"/>
      <c r="AR183" s="220"/>
      <c r="AS183" s="220"/>
      <c r="AT183" s="220"/>
      <c r="AU183" s="220"/>
      <c r="AV183" s="220"/>
      <c r="AW183" s="220"/>
      <c r="AX183" s="220"/>
      <c r="AY183" s="220"/>
      <c r="AZ183" s="220"/>
      <c r="BA183" s="220"/>
      <c r="BB183" s="220"/>
      <c r="BC183" s="220"/>
      <c r="BD183" s="220"/>
      <c r="BE183" s="220"/>
      <c r="BF183" s="220"/>
      <c r="BG183" s="220"/>
      <c r="BH183" s="220"/>
      <c r="BI183" s="220"/>
      <c r="BJ183" s="220"/>
      <c r="BK183" s="220"/>
      <c r="BL183" s="220"/>
      <c r="BM183" s="220"/>
      <c r="BN183" s="220"/>
      <c r="BO183" s="242"/>
      <c r="BP183" s="242"/>
      <c r="BQ183" s="242"/>
    </row>
    <row r="184" spans="1:69" ht="12.75" customHeight="1" x14ac:dyDescent="0.25">
      <c r="A184" s="229"/>
      <c r="B184" s="229"/>
      <c r="C184" s="220"/>
      <c r="D184" s="220"/>
      <c r="E184" s="242"/>
      <c r="F184" s="254"/>
      <c r="G184" s="254"/>
      <c r="H184" s="254"/>
      <c r="I184" s="254"/>
      <c r="J184" s="254"/>
      <c r="K184" s="220"/>
      <c r="L184" s="254"/>
      <c r="M184" s="254"/>
      <c r="N184" s="255"/>
      <c r="O184" s="255"/>
      <c r="P184" s="219"/>
      <c r="Q184" s="220"/>
      <c r="R184" s="244"/>
      <c r="S184" s="220"/>
      <c r="T184" s="220"/>
      <c r="U184" s="220"/>
      <c r="V184" s="244"/>
      <c r="W184" s="244"/>
      <c r="X184" s="220"/>
      <c r="Y184" s="220"/>
      <c r="Z184" s="220"/>
      <c r="AA184" s="244"/>
      <c r="AB184" s="244"/>
      <c r="AC184" s="244"/>
      <c r="AD184" s="244"/>
      <c r="AE184" s="220"/>
      <c r="AF184" s="220"/>
      <c r="AG184" s="220"/>
      <c r="AH184" s="220"/>
      <c r="AI184" s="220"/>
      <c r="AJ184" s="244"/>
      <c r="AK184" s="254"/>
      <c r="AL184" s="250"/>
      <c r="AM184" s="244"/>
      <c r="AN184" s="244"/>
      <c r="AO184" s="220"/>
      <c r="AP184" s="244"/>
      <c r="AQ184" s="220"/>
      <c r="AR184" s="220"/>
      <c r="AS184" s="220"/>
      <c r="AT184" s="220"/>
      <c r="AU184" s="220"/>
      <c r="AV184" s="220"/>
      <c r="AW184" s="220"/>
      <c r="AX184" s="220"/>
      <c r="AY184" s="220"/>
      <c r="AZ184" s="220"/>
      <c r="BA184" s="220"/>
      <c r="BB184" s="220"/>
      <c r="BC184" s="220"/>
      <c r="BD184" s="220"/>
      <c r="BE184" s="220"/>
      <c r="BF184" s="220"/>
      <c r="BG184" s="220"/>
      <c r="BH184" s="220"/>
      <c r="BI184" s="220"/>
      <c r="BJ184" s="220"/>
      <c r="BK184" s="220"/>
      <c r="BL184" s="220"/>
      <c r="BM184" s="220"/>
      <c r="BN184" s="220"/>
      <c r="BO184" s="242"/>
      <c r="BP184" s="242"/>
      <c r="BQ184" s="242"/>
    </row>
    <row r="185" spans="1:69" ht="12.75" customHeight="1" x14ac:dyDescent="0.25">
      <c r="A185" s="229"/>
      <c r="B185" s="229"/>
      <c r="C185" s="220"/>
      <c r="D185" s="220"/>
      <c r="E185" s="242"/>
      <c r="F185" s="254"/>
      <c r="G185" s="254"/>
      <c r="H185" s="254"/>
      <c r="I185" s="254"/>
      <c r="J185" s="254"/>
      <c r="K185" s="220"/>
      <c r="L185" s="254"/>
      <c r="M185" s="254"/>
      <c r="N185" s="255"/>
      <c r="O185" s="255"/>
      <c r="P185" s="219"/>
      <c r="Q185" s="220"/>
      <c r="R185" s="244"/>
      <c r="S185" s="220"/>
      <c r="T185" s="220"/>
      <c r="U185" s="220"/>
      <c r="V185" s="244"/>
      <c r="W185" s="244"/>
      <c r="X185" s="220"/>
      <c r="Y185" s="220"/>
      <c r="Z185" s="220"/>
      <c r="AA185" s="244"/>
      <c r="AB185" s="244"/>
      <c r="AC185" s="244"/>
      <c r="AD185" s="244"/>
      <c r="AE185" s="220"/>
      <c r="AF185" s="220"/>
      <c r="AG185" s="220"/>
      <c r="AH185" s="220"/>
      <c r="AI185" s="220"/>
      <c r="AJ185" s="244"/>
      <c r="AK185" s="254"/>
      <c r="AL185" s="250"/>
      <c r="AM185" s="244"/>
      <c r="AN185" s="244"/>
      <c r="AO185" s="220"/>
      <c r="AP185" s="244"/>
      <c r="AQ185" s="220"/>
      <c r="AR185" s="220"/>
      <c r="AS185" s="220"/>
      <c r="AT185" s="220"/>
      <c r="AU185" s="220"/>
      <c r="AV185" s="220"/>
      <c r="AW185" s="220"/>
      <c r="AX185" s="220"/>
      <c r="AY185" s="220"/>
      <c r="AZ185" s="220"/>
      <c r="BA185" s="220"/>
      <c r="BB185" s="220"/>
      <c r="BC185" s="220"/>
      <c r="BD185" s="220"/>
      <c r="BE185" s="220"/>
      <c r="BF185" s="220"/>
      <c r="BG185" s="220"/>
      <c r="BH185" s="220"/>
      <c r="BI185" s="220"/>
      <c r="BJ185" s="220"/>
      <c r="BK185" s="220"/>
      <c r="BL185" s="220"/>
      <c r="BM185" s="220"/>
      <c r="BN185" s="220"/>
      <c r="BO185" s="242"/>
      <c r="BP185" s="242"/>
      <c r="BQ185" s="242"/>
    </row>
    <row r="186" spans="1:69" ht="12.75" customHeight="1" x14ac:dyDescent="0.25">
      <c r="A186" s="229"/>
      <c r="B186" s="229"/>
      <c r="C186" s="220"/>
      <c r="D186" s="220"/>
      <c r="E186" s="242"/>
      <c r="F186" s="254"/>
      <c r="G186" s="254"/>
      <c r="H186" s="254"/>
      <c r="I186" s="254"/>
      <c r="J186" s="254"/>
      <c r="K186" s="220"/>
      <c r="L186" s="254"/>
      <c r="M186" s="254"/>
      <c r="N186" s="255"/>
      <c r="O186" s="255"/>
      <c r="P186" s="219"/>
      <c r="Q186" s="220"/>
      <c r="R186" s="244"/>
      <c r="S186" s="220"/>
      <c r="T186" s="220"/>
      <c r="U186" s="220"/>
      <c r="V186" s="244"/>
      <c r="W186" s="244"/>
      <c r="X186" s="220"/>
      <c r="Y186" s="220"/>
      <c r="Z186" s="220"/>
      <c r="AA186" s="244"/>
      <c r="AB186" s="244"/>
      <c r="AC186" s="244"/>
      <c r="AD186" s="244"/>
      <c r="AE186" s="220"/>
      <c r="AF186" s="220"/>
      <c r="AG186" s="220"/>
      <c r="AH186" s="220"/>
      <c r="AI186" s="220"/>
      <c r="AJ186" s="244"/>
      <c r="AK186" s="254"/>
      <c r="AL186" s="250"/>
      <c r="AM186" s="244"/>
      <c r="AN186" s="244"/>
      <c r="AO186" s="220"/>
      <c r="AP186" s="244"/>
      <c r="AQ186" s="220"/>
      <c r="AR186" s="220"/>
      <c r="AS186" s="220"/>
      <c r="AT186" s="220"/>
      <c r="AU186" s="220"/>
      <c r="AV186" s="220"/>
      <c r="AW186" s="220"/>
      <c r="AX186" s="220"/>
      <c r="AY186" s="220"/>
      <c r="AZ186" s="220"/>
      <c r="BA186" s="220"/>
      <c r="BB186" s="220"/>
      <c r="BC186" s="220"/>
      <c r="BD186" s="220"/>
      <c r="BE186" s="220"/>
      <c r="BF186" s="220"/>
      <c r="BG186" s="220"/>
      <c r="BH186" s="220"/>
      <c r="BI186" s="220"/>
      <c r="BJ186" s="220"/>
      <c r="BK186" s="220"/>
      <c r="BL186" s="220"/>
      <c r="BM186" s="220"/>
      <c r="BN186" s="220"/>
      <c r="BO186" s="242"/>
      <c r="BP186" s="242"/>
      <c r="BQ186" s="242"/>
    </row>
    <row r="187" spans="1:69" ht="12.75" customHeight="1" x14ac:dyDescent="0.25">
      <c r="A187" s="229"/>
      <c r="B187" s="229"/>
      <c r="C187" s="220"/>
      <c r="D187" s="220"/>
      <c r="E187" s="242"/>
      <c r="F187" s="254"/>
      <c r="G187" s="254"/>
      <c r="H187" s="254"/>
      <c r="I187" s="254"/>
      <c r="J187" s="254"/>
      <c r="K187" s="220"/>
      <c r="L187" s="254"/>
      <c r="M187" s="254"/>
      <c r="N187" s="255"/>
      <c r="O187" s="255"/>
      <c r="P187" s="219"/>
      <c r="Q187" s="220"/>
      <c r="R187" s="244"/>
      <c r="S187" s="220"/>
      <c r="T187" s="220"/>
      <c r="U187" s="220"/>
      <c r="V187" s="244"/>
      <c r="W187" s="244"/>
      <c r="X187" s="220"/>
      <c r="Y187" s="220"/>
      <c r="Z187" s="220"/>
      <c r="AA187" s="244"/>
      <c r="AB187" s="244"/>
      <c r="AC187" s="244"/>
      <c r="AD187" s="244"/>
      <c r="AE187" s="220"/>
      <c r="AF187" s="220"/>
      <c r="AG187" s="220"/>
      <c r="AH187" s="220"/>
      <c r="AI187" s="220"/>
      <c r="AJ187" s="244"/>
      <c r="AK187" s="254"/>
      <c r="AL187" s="250"/>
      <c r="AM187" s="244"/>
      <c r="AN187" s="244"/>
      <c r="AO187" s="220"/>
      <c r="AP187" s="244"/>
      <c r="AQ187" s="220"/>
      <c r="AR187" s="220"/>
      <c r="AS187" s="220"/>
      <c r="AT187" s="220"/>
      <c r="AU187" s="220"/>
      <c r="AV187" s="220"/>
      <c r="AW187" s="220"/>
      <c r="AX187" s="220"/>
      <c r="AY187" s="220"/>
      <c r="AZ187" s="220"/>
      <c r="BA187" s="220"/>
      <c r="BB187" s="220"/>
      <c r="BC187" s="220"/>
      <c r="BD187" s="220"/>
      <c r="BE187" s="220"/>
      <c r="BF187" s="220"/>
      <c r="BG187" s="220"/>
      <c r="BH187" s="220"/>
      <c r="BI187" s="220"/>
      <c r="BJ187" s="220"/>
      <c r="BK187" s="220"/>
      <c r="BL187" s="220"/>
      <c r="BM187" s="220"/>
      <c r="BN187" s="220"/>
      <c r="BO187" s="242"/>
      <c r="BP187" s="242"/>
      <c r="BQ187" s="242"/>
    </row>
    <row r="188" spans="1:69" ht="12.75" customHeight="1" x14ac:dyDescent="0.25">
      <c r="A188" s="229"/>
      <c r="B188" s="229"/>
      <c r="C188" s="220"/>
      <c r="D188" s="220"/>
      <c r="E188" s="242"/>
      <c r="F188" s="254"/>
      <c r="G188" s="254"/>
      <c r="H188" s="254"/>
      <c r="I188" s="254"/>
      <c r="J188" s="254"/>
      <c r="K188" s="220"/>
      <c r="L188" s="254"/>
      <c r="M188" s="254"/>
      <c r="N188" s="255"/>
      <c r="O188" s="255"/>
      <c r="P188" s="219"/>
      <c r="Q188" s="220"/>
      <c r="R188" s="244"/>
      <c r="S188" s="220"/>
      <c r="T188" s="220"/>
      <c r="U188" s="220"/>
      <c r="V188" s="244"/>
      <c r="W188" s="244"/>
      <c r="X188" s="220"/>
      <c r="Y188" s="220"/>
      <c r="Z188" s="220"/>
      <c r="AA188" s="244"/>
      <c r="AB188" s="244"/>
      <c r="AC188" s="244"/>
      <c r="AD188" s="244"/>
      <c r="AE188" s="220"/>
      <c r="AF188" s="220"/>
      <c r="AG188" s="220"/>
      <c r="AH188" s="220"/>
      <c r="AI188" s="220"/>
      <c r="AJ188" s="244"/>
      <c r="AK188" s="254"/>
      <c r="AL188" s="250"/>
      <c r="AM188" s="244"/>
      <c r="AN188" s="244"/>
      <c r="AO188" s="220"/>
      <c r="AP188" s="244"/>
      <c r="AQ188" s="220"/>
      <c r="AR188" s="220"/>
      <c r="AS188" s="220"/>
      <c r="AT188" s="220"/>
      <c r="AU188" s="220"/>
      <c r="AV188" s="220"/>
      <c r="AW188" s="220"/>
      <c r="AX188" s="220"/>
      <c r="AY188" s="220"/>
      <c r="AZ188" s="220"/>
      <c r="BA188" s="220"/>
      <c r="BB188" s="220"/>
      <c r="BC188" s="220"/>
      <c r="BD188" s="220"/>
      <c r="BE188" s="220"/>
      <c r="BF188" s="220"/>
      <c r="BG188" s="220"/>
      <c r="BH188" s="220"/>
      <c r="BI188" s="220"/>
      <c r="BJ188" s="220"/>
      <c r="BK188" s="220"/>
      <c r="BL188" s="220"/>
      <c r="BM188" s="220"/>
      <c r="BN188" s="220"/>
      <c r="BO188" s="242"/>
      <c r="BP188" s="242"/>
      <c r="BQ188" s="242"/>
    </row>
    <row r="189" spans="1:69" ht="12.75" customHeight="1" x14ac:dyDescent="0.25">
      <c r="A189" s="229"/>
      <c r="B189" s="229"/>
      <c r="C189" s="220"/>
      <c r="D189" s="220"/>
      <c r="E189" s="242"/>
      <c r="F189" s="254"/>
      <c r="G189" s="254"/>
      <c r="H189" s="254"/>
      <c r="I189" s="254"/>
      <c r="J189" s="254"/>
      <c r="K189" s="220"/>
      <c r="L189" s="254"/>
      <c r="M189" s="254"/>
      <c r="N189" s="255"/>
      <c r="O189" s="255"/>
      <c r="P189" s="219"/>
      <c r="Q189" s="220"/>
      <c r="R189" s="244"/>
      <c r="S189" s="220"/>
      <c r="T189" s="220"/>
      <c r="U189" s="220"/>
      <c r="V189" s="244"/>
      <c r="W189" s="244"/>
      <c r="X189" s="220"/>
      <c r="Y189" s="220"/>
      <c r="Z189" s="220"/>
      <c r="AA189" s="244"/>
      <c r="AB189" s="244"/>
      <c r="AC189" s="244"/>
      <c r="AD189" s="244"/>
      <c r="AE189" s="220"/>
      <c r="AF189" s="220"/>
      <c r="AG189" s="220"/>
      <c r="AH189" s="220"/>
      <c r="AI189" s="220"/>
      <c r="AJ189" s="244"/>
      <c r="AK189" s="254"/>
      <c r="AL189" s="250"/>
      <c r="AM189" s="244"/>
      <c r="AN189" s="244"/>
      <c r="AO189" s="220"/>
      <c r="AP189" s="244"/>
      <c r="AQ189" s="220"/>
      <c r="AR189" s="220"/>
      <c r="AS189" s="220"/>
      <c r="AT189" s="220"/>
      <c r="AU189" s="220"/>
      <c r="AV189" s="220"/>
      <c r="AW189" s="220"/>
      <c r="AX189" s="220"/>
      <c r="AY189" s="220"/>
      <c r="AZ189" s="220"/>
      <c r="BA189" s="220"/>
      <c r="BB189" s="220"/>
      <c r="BC189" s="220"/>
      <c r="BD189" s="220"/>
      <c r="BE189" s="220"/>
      <c r="BF189" s="220"/>
      <c r="BG189" s="220"/>
      <c r="BH189" s="220"/>
      <c r="BI189" s="220"/>
      <c r="BJ189" s="220"/>
      <c r="BK189" s="220"/>
      <c r="BL189" s="220"/>
      <c r="BM189" s="220"/>
      <c r="BN189" s="220"/>
      <c r="BO189" s="242"/>
      <c r="BP189" s="242"/>
      <c r="BQ189" s="242"/>
    </row>
    <row r="190" spans="1:69" ht="12.75" customHeight="1" x14ac:dyDescent="0.25">
      <c r="A190" s="229"/>
      <c r="B190" s="229"/>
      <c r="C190" s="220"/>
      <c r="D190" s="220"/>
      <c r="E190" s="242"/>
      <c r="F190" s="254"/>
      <c r="G190" s="254"/>
      <c r="H190" s="254"/>
      <c r="I190" s="254"/>
      <c r="J190" s="254"/>
      <c r="K190" s="220"/>
      <c r="L190" s="254"/>
      <c r="M190" s="254"/>
      <c r="N190" s="255"/>
      <c r="O190" s="255"/>
      <c r="P190" s="219"/>
      <c r="Q190" s="220"/>
      <c r="R190" s="244"/>
      <c r="S190" s="220"/>
      <c r="T190" s="220"/>
      <c r="U190" s="220"/>
      <c r="V190" s="244"/>
      <c r="W190" s="244"/>
      <c r="X190" s="220"/>
      <c r="Y190" s="220"/>
      <c r="Z190" s="220"/>
      <c r="AA190" s="244"/>
      <c r="AB190" s="244"/>
      <c r="AC190" s="244"/>
      <c r="AD190" s="244"/>
      <c r="AE190" s="220"/>
      <c r="AF190" s="220"/>
      <c r="AG190" s="220"/>
      <c r="AH190" s="220"/>
      <c r="AI190" s="220"/>
      <c r="AJ190" s="244"/>
      <c r="AK190" s="254"/>
      <c r="AL190" s="250"/>
      <c r="AM190" s="244"/>
      <c r="AN190" s="244"/>
      <c r="AO190" s="220"/>
      <c r="AP190" s="244"/>
      <c r="AQ190" s="220"/>
      <c r="AR190" s="220"/>
      <c r="AS190" s="220"/>
      <c r="AT190" s="220"/>
      <c r="AU190" s="220"/>
      <c r="AV190" s="220"/>
      <c r="AW190" s="220"/>
      <c r="AX190" s="220"/>
      <c r="AY190" s="220"/>
      <c r="AZ190" s="220"/>
      <c r="BA190" s="220"/>
      <c r="BB190" s="220"/>
      <c r="BC190" s="220"/>
      <c r="BD190" s="220"/>
      <c r="BE190" s="220"/>
      <c r="BF190" s="220"/>
      <c r="BG190" s="220"/>
      <c r="BH190" s="220"/>
      <c r="BI190" s="220"/>
      <c r="BJ190" s="220"/>
      <c r="BK190" s="220"/>
      <c r="BL190" s="220"/>
      <c r="BM190" s="220"/>
      <c r="BN190" s="220"/>
      <c r="BO190" s="242"/>
      <c r="BP190" s="242"/>
      <c r="BQ190" s="242"/>
    </row>
    <row r="191" spans="1:69" ht="12.75" customHeight="1" x14ac:dyDescent="0.25">
      <c r="A191" s="229"/>
      <c r="B191" s="229"/>
      <c r="C191" s="220"/>
      <c r="D191" s="220"/>
      <c r="E191" s="242"/>
      <c r="F191" s="254"/>
      <c r="G191" s="254"/>
      <c r="H191" s="254"/>
      <c r="I191" s="254"/>
      <c r="J191" s="254"/>
      <c r="K191" s="220"/>
      <c r="L191" s="254"/>
      <c r="M191" s="254"/>
      <c r="N191" s="255"/>
      <c r="O191" s="255"/>
      <c r="P191" s="219"/>
      <c r="Q191" s="220"/>
      <c r="R191" s="244"/>
      <c r="S191" s="220"/>
      <c r="T191" s="220"/>
      <c r="U191" s="220"/>
      <c r="V191" s="244"/>
      <c r="W191" s="244"/>
      <c r="X191" s="220"/>
      <c r="Y191" s="220"/>
      <c r="Z191" s="220"/>
      <c r="AA191" s="244"/>
      <c r="AB191" s="244"/>
      <c r="AC191" s="244"/>
      <c r="AD191" s="244"/>
      <c r="AE191" s="220"/>
      <c r="AF191" s="220"/>
      <c r="AG191" s="220"/>
      <c r="AH191" s="220"/>
      <c r="AI191" s="220"/>
      <c r="AJ191" s="244"/>
      <c r="AK191" s="254"/>
      <c r="AL191" s="250"/>
      <c r="AM191" s="244"/>
      <c r="AN191" s="244"/>
      <c r="AO191" s="220"/>
      <c r="AP191" s="244"/>
      <c r="AQ191" s="220"/>
      <c r="AR191" s="220"/>
      <c r="AS191" s="220"/>
      <c r="AT191" s="220"/>
      <c r="AU191" s="220"/>
      <c r="AV191" s="220"/>
      <c r="AW191" s="220"/>
      <c r="AX191" s="220"/>
      <c r="AY191" s="220"/>
      <c r="AZ191" s="220"/>
      <c r="BA191" s="220"/>
      <c r="BB191" s="220"/>
      <c r="BC191" s="220"/>
      <c r="BD191" s="220"/>
      <c r="BE191" s="220"/>
      <c r="BF191" s="220"/>
      <c r="BG191" s="220"/>
      <c r="BH191" s="220"/>
      <c r="BI191" s="220"/>
      <c r="BJ191" s="220"/>
      <c r="BK191" s="220"/>
      <c r="BL191" s="220"/>
      <c r="BM191" s="220"/>
      <c r="BN191" s="220"/>
      <c r="BO191" s="242"/>
      <c r="BP191" s="242"/>
      <c r="BQ191" s="242"/>
    </row>
    <row r="192" spans="1:69" ht="12.75" customHeight="1" x14ac:dyDescent="0.25">
      <c r="A192" s="229"/>
      <c r="B192" s="229"/>
      <c r="C192" s="220"/>
      <c r="D192" s="220"/>
      <c r="E192" s="242"/>
      <c r="F192" s="254"/>
      <c r="G192" s="254"/>
      <c r="H192" s="254"/>
      <c r="I192" s="254"/>
      <c r="J192" s="254"/>
      <c r="K192" s="220"/>
      <c r="L192" s="254"/>
      <c r="M192" s="254"/>
      <c r="N192" s="255"/>
      <c r="O192" s="255"/>
      <c r="P192" s="219"/>
      <c r="Q192" s="220"/>
      <c r="R192" s="244"/>
      <c r="S192" s="220"/>
      <c r="T192" s="220"/>
      <c r="U192" s="220"/>
      <c r="V192" s="244"/>
      <c r="W192" s="244"/>
      <c r="X192" s="220"/>
      <c r="Y192" s="220"/>
      <c r="Z192" s="220"/>
      <c r="AA192" s="244"/>
      <c r="AB192" s="244"/>
      <c r="AC192" s="244"/>
      <c r="AD192" s="244"/>
      <c r="AE192" s="220"/>
      <c r="AF192" s="220"/>
      <c r="AG192" s="220"/>
      <c r="AH192" s="220"/>
      <c r="AI192" s="220"/>
      <c r="AJ192" s="244"/>
      <c r="AK192" s="254"/>
      <c r="AL192" s="250"/>
      <c r="AM192" s="244"/>
      <c r="AN192" s="244"/>
      <c r="AO192" s="220"/>
      <c r="AP192" s="244"/>
      <c r="AQ192" s="220"/>
      <c r="AR192" s="220"/>
      <c r="AS192" s="220"/>
      <c r="AT192" s="220"/>
      <c r="AU192" s="220"/>
      <c r="AV192" s="220"/>
      <c r="AW192" s="220"/>
      <c r="AX192" s="220"/>
      <c r="AY192" s="220"/>
      <c r="AZ192" s="220"/>
      <c r="BA192" s="220"/>
      <c r="BB192" s="220"/>
      <c r="BC192" s="220"/>
      <c r="BD192" s="220"/>
      <c r="BE192" s="220"/>
      <c r="BF192" s="220"/>
      <c r="BG192" s="220"/>
      <c r="BH192" s="220"/>
      <c r="BI192" s="220"/>
      <c r="BJ192" s="220"/>
      <c r="BK192" s="220"/>
      <c r="BL192" s="220"/>
      <c r="BM192" s="220"/>
      <c r="BN192" s="220"/>
      <c r="BO192" s="242"/>
      <c r="BP192" s="242"/>
      <c r="BQ192" s="242"/>
    </row>
    <row r="193" spans="1:69" ht="12.75" customHeight="1" x14ac:dyDescent="0.25">
      <c r="A193" s="229"/>
      <c r="B193" s="229"/>
      <c r="C193" s="220"/>
      <c r="D193" s="220"/>
      <c r="E193" s="242"/>
      <c r="F193" s="254"/>
      <c r="G193" s="254"/>
      <c r="H193" s="254"/>
      <c r="I193" s="254"/>
      <c r="J193" s="254"/>
      <c r="K193" s="220"/>
      <c r="L193" s="254"/>
      <c r="M193" s="254"/>
      <c r="N193" s="255"/>
      <c r="O193" s="255"/>
      <c r="P193" s="219"/>
      <c r="Q193" s="220"/>
      <c r="R193" s="244"/>
      <c r="S193" s="220"/>
      <c r="T193" s="220"/>
      <c r="U193" s="220"/>
      <c r="V193" s="244"/>
      <c r="W193" s="244"/>
      <c r="X193" s="220"/>
      <c r="Y193" s="220"/>
      <c r="Z193" s="220"/>
      <c r="AA193" s="244"/>
      <c r="AB193" s="244"/>
      <c r="AC193" s="244"/>
      <c r="AD193" s="244"/>
      <c r="AE193" s="220"/>
      <c r="AF193" s="220"/>
      <c r="AG193" s="220"/>
      <c r="AH193" s="220"/>
      <c r="AI193" s="220"/>
      <c r="AJ193" s="244"/>
      <c r="AK193" s="254"/>
      <c r="AL193" s="250"/>
      <c r="AM193" s="244"/>
      <c r="AN193" s="244"/>
      <c r="AO193" s="220"/>
      <c r="AP193" s="244"/>
      <c r="AQ193" s="220"/>
      <c r="AR193" s="220"/>
      <c r="AS193" s="220"/>
      <c r="AT193" s="220"/>
      <c r="AU193" s="220"/>
      <c r="AV193" s="220"/>
      <c r="AW193" s="220"/>
      <c r="AX193" s="220"/>
      <c r="AY193" s="220"/>
      <c r="AZ193" s="220"/>
      <c r="BA193" s="220"/>
      <c r="BB193" s="220"/>
      <c r="BC193" s="220"/>
      <c r="BD193" s="220"/>
      <c r="BE193" s="220"/>
      <c r="BF193" s="220"/>
      <c r="BG193" s="220"/>
      <c r="BH193" s="220"/>
      <c r="BI193" s="220"/>
      <c r="BJ193" s="220"/>
      <c r="BK193" s="220"/>
      <c r="BL193" s="220"/>
      <c r="BM193" s="220"/>
      <c r="BN193" s="220"/>
      <c r="BO193" s="242"/>
      <c r="BP193" s="242"/>
      <c r="BQ193" s="242"/>
    </row>
    <row r="194" spans="1:69" ht="12.75" customHeight="1" x14ac:dyDescent="0.25">
      <c r="A194" s="229"/>
      <c r="B194" s="229"/>
      <c r="C194" s="220"/>
      <c r="D194" s="220"/>
      <c r="E194" s="242"/>
      <c r="F194" s="254"/>
      <c r="G194" s="254"/>
      <c r="H194" s="254"/>
      <c r="I194" s="254"/>
      <c r="J194" s="254"/>
      <c r="K194" s="220"/>
      <c r="L194" s="254"/>
      <c r="M194" s="254"/>
      <c r="N194" s="255"/>
      <c r="O194" s="255"/>
      <c r="P194" s="219"/>
      <c r="Q194" s="220"/>
      <c r="R194" s="244"/>
      <c r="S194" s="220"/>
      <c r="T194" s="220"/>
      <c r="U194" s="220"/>
      <c r="V194" s="244"/>
      <c r="W194" s="244"/>
      <c r="X194" s="220"/>
      <c r="Y194" s="220"/>
      <c r="Z194" s="220"/>
      <c r="AA194" s="244"/>
      <c r="AB194" s="244"/>
      <c r="AC194" s="244"/>
      <c r="AD194" s="244"/>
      <c r="AE194" s="220"/>
      <c r="AF194" s="220"/>
      <c r="AG194" s="220"/>
      <c r="AH194" s="220"/>
      <c r="AI194" s="220"/>
      <c r="AJ194" s="244"/>
      <c r="AK194" s="254"/>
      <c r="AL194" s="250"/>
      <c r="AM194" s="244"/>
      <c r="AN194" s="244"/>
      <c r="AO194" s="220"/>
      <c r="AP194" s="244"/>
      <c r="AQ194" s="220"/>
      <c r="AR194" s="220"/>
      <c r="AS194" s="220"/>
      <c r="AT194" s="220"/>
      <c r="AU194" s="220"/>
      <c r="AV194" s="220"/>
      <c r="AW194" s="220"/>
      <c r="AX194" s="220"/>
      <c r="AY194" s="220"/>
      <c r="AZ194" s="220"/>
      <c r="BA194" s="220"/>
      <c r="BB194" s="220"/>
      <c r="BC194" s="220"/>
      <c r="BD194" s="220"/>
      <c r="BE194" s="220"/>
      <c r="BF194" s="220"/>
      <c r="BG194" s="220"/>
      <c r="BH194" s="220"/>
      <c r="BI194" s="220"/>
      <c r="BJ194" s="220"/>
      <c r="BK194" s="220"/>
      <c r="BL194" s="220"/>
      <c r="BM194" s="220"/>
      <c r="BN194" s="220"/>
      <c r="BO194" s="242"/>
      <c r="BP194" s="242"/>
      <c r="BQ194" s="242"/>
    </row>
    <row r="195" spans="1:69" ht="12.75" customHeight="1" x14ac:dyDescent="0.25">
      <c r="A195" s="229"/>
      <c r="B195" s="229"/>
      <c r="C195" s="220"/>
      <c r="D195" s="220"/>
      <c r="E195" s="242"/>
      <c r="F195" s="254"/>
      <c r="G195" s="254"/>
      <c r="H195" s="254"/>
      <c r="I195" s="254"/>
      <c r="J195" s="254"/>
      <c r="K195" s="220"/>
      <c r="L195" s="254"/>
      <c r="M195" s="254"/>
      <c r="N195" s="255"/>
      <c r="O195" s="255"/>
      <c r="P195" s="219"/>
      <c r="Q195" s="220"/>
      <c r="R195" s="244"/>
      <c r="S195" s="220"/>
      <c r="T195" s="220"/>
      <c r="U195" s="220"/>
      <c r="V195" s="244"/>
      <c r="W195" s="244"/>
      <c r="X195" s="220"/>
      <c r="Y195" s="220"/>
      <c r="Z195" s="220"/>
      <c r="AA195" s="244"/>
      <c r="AB195" s="244"/>
      <c r="AC195" s="244"/>
      <c r="AD195" s="244"/>
      <c r="AE195" s="220"/>
      <c r="AF195" s="220"/>
      <c r="AG195" s="220"/>
      <c r="AH195" s="220"/>
      <c r="AI195" s="220"/>
      <c r="AJ195" s="244"/>
      <c r="AK195" s="254"/>
      <c r="AL195" s="250"/>
      <c r="AM195" s="244"/>
      <c r="AN195" s="244"/>
      <c r="AO195" s="220"/>
      <c r="AP195" s="244"/>
      <c r="AQ195" s="220"/>
      <c r="AR195" s="220"/>
      <c r="AS195" s="220"/>
      <c r="AT195" s="220"/>
      <c r="AU195" s="220"/>
      <c r="AV195" s="220"/>
      <c r="AW195" s="220"/>
      <c r="AX195" s="220"/>
      <c r="AY195" s="220"/>
      <c r="AZ195" s="220"/>
      <c r="BA195" s="220"/>
      <c r="BB195" s="220"/>
      <c r="BC195" s="220"/>
      <c r="BD195" s="220"/>
      <c r="BE195" s="220"/>
      <c r="BF195" s="220"/>
      <c r="BG195" s="220"/>
      <c r="BH195" s="220"/>
      <c r="BI195" s="220"/>
      <c r="BJ195" s="220"/>
      <c r="BK195" s="220"/>
      <c r="BL195" s="220"/>
      <c r="BM195" s="220"/>
      <c r="BN195" s="220"/>
      <c r="BO195" s="242"/>
      <c r="BP195" s="242"/>
      <c r="BQ195" s="242"/>
    </row>
    <row r="196" spans="1:69" ht="12.75" customHeight="1" x14ac:dyDescent="0.25">
      <c r="A196" s="229"/>
      <c r="B196" s="229"/>
      <c r="C196" s="220"/>
      <c r="D196" s="220"/>
      <c r="E196" s="242"/>
      <c r="F196" s="254"/>
      <c r="G196" s="254"/>
      <c r="H196" s="254"/>
      <c r="I196" s="254"/>
      <c r="J196" s="254"/>
      <c r="K196" s="220"/>
      <c r="L196" s="254"/>
      <c r="M196" s="254"/>
      <c r="N196" s="255"/>
      <c r="O196" s="255"/>
      <c r="P196" s="219"/>
      <c r="Q196" s="220"/>
      <c r="R196" s="244"/>
      <c r="S196" s="220"/>
      <c r="T196" s="220"/>
      <c r="U196" s="220"/>
      <c r="V196" s="244"/>
      <c r="W196" s="244"/>
      <c r="X196" s="220"/>
      <c r="Y196" s="220"/>
      <c r="Z196" s="220"/>
      <c r="AA196" s="244"/>
      <c r="AB196" s="244"/>
      <c r="AC196" s="244"/>
      <c r="AD196" s="244"/>
      <c r="AE196" s="220"/>
      <c r="AF196" s="220"/>
      <c r="AG196" s="220"/>
      <c r="AH196" s="220"/>
      <c r="AI196" s="220"/>
      <c r="AJ196" s="244"/>
      <c r="AK196" s="254"/>
      <c r="AL196" s="250"/>
      <c r="AM196" s="244"/>
      <c r="AN196" s="244"/>
      <c r="AO196" s="220"/>
      <c r="AP196" s="244"/>
      <c r="AQ196" s="220"/>
      <c r="AR196" s="220"/>
      <c r="AS196" s="220"/>
      <c r="AT196" s="220"/>
      <c r="AU196" s="220"/>
      <c r="AV196" s="220"/>
      <c r="AW196" s="220"/>
      <c r="AX196" s="220"/>
      <c r="AY196" s="220"/>
      <c r="AZ196" s="220"/>
      <c r="BA196" s="220"/>
      <c r="BB196" s="220"/>
      <c r="BC196" s="220"/>
      <c r="BD196" s="220"/>
      <c r="BE196" s="220"/>
      <c r="BF196" s="220"/>
      <c r="BG196" s="220"/>
      <c r="BH196" s="220"/>
      <c r="BI196" s="220"/>
      <c r="BJ196" s="220"/>
      <c r="BK196" s="220"/>
      <c r="BL196" s="220"/>
      <c r="BM196" s="220"/>
      <c r="BN196" s="220"/>
      <c r="BO196" s="242"/>
      <c r="BP196" s="242"/>
      <c r="BQ196" s="242"/>
    </row>
    <row r="197" spans="1:69" ht="12.75" customHeight="1" x14ac:dyDescent="0.25">
      <c r="A197" s="229"/>
      <c r="B197" s="229"/>
      <c r="C197" s="220"/>
      <c r="D197" s="220"/>
      <c r="E197" s="242"/>
      <c r="F197" s="254"/>
      <c r="G197" s="254"/>
      <c r="H197" s="254"/>
      <c r="I197" s="254"/>
      <c r="J197" s="254"/>
      <c r="K197" s="220"/>
      <c r="L197" s="254"/>
      <c r="M197" s="254"/>
      <c r="N197" s="255"/>
      <c r="O197" s="255"/>
      <c r="P197" s="219"/>
      <c r="Q197" s="220"/>
      <c r="R197" s="244"/>
      <c r="S197" s="220"/>
      <c r="T197" s="220"/>
      <c r="U197" s="220"/>
      <c r="V197" s="244"/>
      <c r="W197" s="244"/>
      <c r="X197" s="220"/>
      <c r="Y197" s="220"/>
      <c r="Z197" s="220"/>
      <c r="AA197" s="244"/>
      <c r="AB197" s="244"/>
      <c r="AC197" s="244"/>
      <c r="AD197" s="244"/>
      <c r="AE197" s="220"/>
      <c r="AF197" s="220"/>
      <c r="AG197" s="220"/>
      <c r="AH197" s="220"/>
      <c r="AI197" s="220"/>
      <c r="AJ197" s="244"/>
      <c r="AK197" s="254"/>
      <c r="AL197" s="250"/>
      <c r="AM197" s="244"/>
      <c r="AN197" s="244"/>
      <c r="AO197" s="220"/>
      <c r="AP197" s="244"/>
      <c r="AQ197" s="220"/>
      <c r="AR197" s="220"/>
      <c r="AS197" s="220"/>
      <c r="AT197" s="220"/>
      <c r="AU197" s="220"/>
      <c r="AV197" s="220"/>
      <c r="AW197" s="220"/>
      <c r="AX197" s="220"/>
      <c r="AY197" s="220"/>
      <c r="AZ197" s="220"/>
      <c r="BA197" s="220"/>
      <c r="BB197" s="220"/>
      <c r="BC197" s="220"/>
      <c r="BD197" s="220"/>
      <c r="BE197" s="220"/>
      <c r="BF197" s="220"/>
      <c r="BG197" s="220"/>
      <c r="BH197" s="220"/>
      <c r="BI197" s="220"/>
      <c r="BJ197" s="220"/>
      <c r="BK197" s="220"/>
      <c r="BL197" s="220"/>
      <c r="BM197" s="220"/>
      <c r="BN197" s="220"/>
      <c r="BO197" s="242"/>
      <c r="BP197" s="242"/>
      <c r="BQ197" s="242"/>
    </row>
    <row r="198" spans="1:69" ht="12.75" customHeight="1" x14ac:dyDescent="0.25">
      <c r="A198" s="229"/>
      <c r="B198" s="229"/>
      <c r="C198" s="220"/>
      <c r="D198" s="220"/>
      <c r="E198" s="242"/>
      <c r="F198" s="254"/>
      <c r="G198" s="254"/>
      <c r="H198" s="254"/>
      <c r="I198" s="254"/>
      <c r="J198" s="254"/>
      <c r="K198" s="220"/>
      <c r="L198" s="254"/>
      <c r="M198" s="254"/>
      <c r="N198" s="255"/>
      <c r="O198" s="255"/>
      <c r="P198" s="219"/>
      <c r="Q198" s="220"/>
      <c r="R198" s="244"/>
      <c r="S198" s="220"/>
      <c r="T198" s="220"/>
      <c r="U198" s="220"/>
      <c r="V198" s="244"/>
      <c r="W198" s="244"/>
      <c r="X198" s="220"/>
      <c r="Y198" s="220"/>
      <c r="Z198" s="220"/>
      <c r="AA198" s="244"/>
      <c r="AB198" s="244"/>
      <c r="AC198" s="244"/>
      <c r="AD198" s="244"/>
      <c r="AE198" s="220"/>
      <c r="AF198" s="220"/>
      <c r="AG198" s="220"/>
      <c r="AH198" s="220"/>
      <c r="AI198" s="220"/>
      <c r="AJ198" s="244"/>
      <c r="AK198" s="254"/>
      <c r="AL198" s="250"/>
      <c r="AM198" s="244"/>
      <c r="AN198" s="244"/>
      <c r="AO198" s="220"/>
      <c r="AP198" s="244"/>
      <c r="AQ198" s="220"/>
      <c r="AR198" s="220"/>
      <c r="AS198" s="220"/>
      <c r="AT198" s="220"/>
      <c r="AU198" s="220"/>
      <c r="AV198" s="220"/>
      <c r="AW198" s="220"/>
      <c r="AX198" s="220"/>
      <c r="AY198" s="220"/>
      <c r="AZ198" s="220"/>
      <c r="BA198" s="220"/>
      <c r="BB198" s="220"/>
      <c r="BC198" s="220"/>
      <c r="BD198" s="220"/>
      <c r="BE198" s="220"/>
      <c r="BF198" s="220"/>
      <c r="BG198" s="220"/>
      <c r="BH198" s="220"/>
      <c r="BI198" s="220"/>
      <c r="BJ198" s="220"/>
      <c r="BK198" s="220"/>
      <c r="BL198" s="220"/>
      <c r="BM198" s="220"/>
      <c r="BN198" s="220"/>
      <c r="BO198" s="242"/>
      <c r="BP198" s="242"/>
      <c r="BQ198" s="242"/>
    </row>
    <row r="199" spans="1:69" ht="12.75" customHeight="1" x14ac:dyDescent="0.25">
      <c r="A199" s="229"/>
      <c r="B199" s="229"/>
      <c r="C199" s="220"/>
      <c r="D199" s="220"/>
      <c r="E199" s="242"/>
      <c r="F199" s="254"/>
      <c r="G199" s="254"/>
      <c r="H199" s="254"/>
      <c r="I199" s="254"/>
      <c r="J199" s="254"/>
      <c r="K199" s="220"/>
      <c r="L199" s="254"/>
      <c r="M199" s="254"/>
      <c r="N199" s="255"/>
      <c r="O199" s="255"/>
      <c r="P199" s="219"/>
      <c r="Q199" s="220"/>
      <c r="R199" s="244"/>
      <c r="S199" s="220"/>
      <c r="T199" s="220"/>
      <c r="U199" s="220"/>
      <c r="V199" s="244"/>
      <c r="W199" s="244"/>
      <c r="X199" s="220"/>
      <c r="Y199" s="220"/>
      <c r="Z199" s="220"/>
      <c r="AA199" s="244"/>
      <c r="AB199" s="244"/>
      <c r="AC199" s="244"/>
      <c r="AD199" s="244"/>
      <c r="AE199" s="220"/>
      <c r="AF199" s="220"/>
      <c r="AG199" s="220"/>
      <c r="AH199" s="220"/>
      <c r="AI199" s="220"/>
      <c r="AJ199" s="244"/>
      <c r="AK199" s="254"/>
      <c r="AL199" s="250"/>
      <c r="AM199" s="244"/>
      <c r="AN199" s="244"/>
      <c r="AO199" s="220"/>
      <c r="AP199" s="244"/>
      <c r="AQ199" s="220"/>
      <c r="AR199" s="220"/>
      <c r="AS199" s="220"/>
      <c r="AT199" s="220"/>
      <c r="AU199" s="220"/>
      <c r="AV199" s="220"/>
      <c r="AW199" s="220"/>
      <c r="AX199" s="220"/>
      <c r="AY199" s="220"/>
      <c r="AZ199" s="220"/>
      <c r="BA199" s="220"/>
      <c r="BB199" s="220"/>
      <c r="BC199" s="220"/>
      <c r="BD199" s="220"/>
      <c r="BE199" s="220"/>
      <c r="BF199" s="220"/>
      <c r="BG199" s="220"/>
      <c r="BH199" s="220"/>
      <c r="BI199" s="220"/>
      <c r="BJ199" s="220"/>
      <c r="BK199" s="220"/>
      <c r="BL199" s="220"/>
      <c r="BM199" s="220"/>
      <c r="BN199" s="220"/>
      <c r="BO199" s="242"/>
      <c r="BP199" s="242"/>
      <c r="BQ199" s="242"/>
    </row>
    <row r="200" spans="1:69" ht="12.75" customHeight="1" x14ac:dyDescent="0.25">
      <c r="A200" s="229"/>
      <c r="B200" s="229"/>
      <c r="C200" s="220"/>
      <c r="D200" s="220"/>
      <c r="E200" s="242"/>
      <c r="F200" s="254"/>
      <c r="G200" s="254"/>
      <c r="H200" s="254"/>
      <c r="I200" s="254"/>
      <c r="J200" s="254"/>
      <c r="K200" s="220"/>
      <c r="L200" s="254"/>
      <c r="M200" s="254"/>
      <c r="N200" s="255"/>
      <c r="O200" s="255"/>
      <c r="P200" s="219"/>
      <c r="Q200" s="220"/>
      <c r="R200" s="244"/>
      <c r="S200" s="220"/>
      <c r="T200" s="220"/>
      <c r="U200" s="220"/>
      <c r="V200" s="244"/>
      <c r="W200" s="244"/>
      <c r="X200" s="220"/>
      <c r="Y200" s="220"/>
      <c r="Z200" s="220"/>
      <c r="AA200" s="244"/>
      <c r="AB200" s="244"/>
      <c r="AC200" s="244"/>
      <c r="AD200" s="244"/>
      <c r="AE200" s="220"/>
      <c r="AF200" s="220"/>
      <c r="AG200" s="220"/>
      <c r="AH200" s="220"/>
      <c r="AI200" s="220"/>
      <c r="AJ200" s="244"/>
      <c r="AK200" s="254"/>
      <c r="AL200" s="250"/>
      <c r="AM200" s="244"/>
      <c r="AN200" s="244"/>
      <c r="AO200" s="220"/>
      <c r="AP200" s="244"/>
      <c r="AQ200" s="220"/>
      <c r="AR200" s="220"/>
      <c r="AS200" s="220"/>
      <c r="AT200" s="220"/>
      <c r="AU200" s="220"/>
      <c r="AV200" s="220"/>
      <c r="AW200" s="220"/>
      <c r="AX200" s="220"/>
      <c r="AY200" s="220"/>
      <c r="AZ200" s="220"/>
      <c r="BA200" s="220"/>
      <c r="BB200" s="220"/>
      <c r="BC200" s="220"/>
      <c r="BD200" s="220"/>
      <c r="BE200" s="220"/>
      <c r="BF200" s="220"/>
      <c r="BG200" s="220"/>
      <c r="BH200" s="220"/>
      <c r="BI200" s="220"/>
      <c r="BJ200" s="220"/>
      <c r="BK200" s="220"/>
      <c r="BL200" s="220"/>
      <c r="BM200" s="220"/>
      <c r="BN200" s="220"/>
      <c r="BO200" s="242"/>
      <c r="BP200" s="242"/>
      <c r="BQ200" s="242"/>
    </row>
  </sheetData>
  <sheetProtection algorithmName="SHA-512" hashValue="CAXCtpAzvGBtWpub2U7BVKyynktZJ1Nr1tAng2bzvE7/o5d1/wGWls+PtCWcLmz0Qm2g1ghM17jAyhm/PenNYQ==" saltValue="j2wBACZxwwVs976xuLjUzQ==" spinCount="100000" sheet="1" objects="1" scenarios="1" formatCells="0" formatRows="0"/>
  <dataConsolidate/>
  <conditionalFormatting sqref="AI13:AI200">
    <cfRule type="expression" dxfId="59" priority="82">
      <formula>$AH13="No"</formula>
    </cfRule>
    <cfRule type="expression" dxfId="58" priority="83">
      <formula>$AH13="Yes"</formula>
    </cfRule>
  </conditionalFormatting>
  <conditionalFormatting sqref="AE13:AE200">
    <cfRule type="expression" dxfId="57" priority="84">
      <formula>AND($F13&gt;=10000000,$AD13="Yes")</formula>
    </cfRule>
    <cfRule type="expression" dxfId="56" priority="85">
      <formula>OR($F13&lt;10000000,$AD13="No")</formula>
    </cfRule>
  </conditionalFormatting>
  <conditionalFormatting sqref="AC13:AD200">
    <cfRule type="expression" dxfId="55" priority="86">
      <formula>$F13&gt;=10000000</formula>
    </cfRule>
    <cfRule type="expression" dxfId="54" priority="88">
      <formula>$F13&lt;10000000</formula>
    </cfRule>
  </conditionalFormatting>
  <conditionalFormatting sqref="X13:AB200">
    <cfRule type="expression" dxfId="53" priority="89">
      <formula>$F13&lt;10000000</formula>
    </cfRule>
    <cfRule type="expression" dxfId="52" priority="90">
      <formula>AND($F13&gt;=10000000,$W13="Yes")</formula>
    </cfRule>
    <cfRule type="expression" dxfId="51" priority="91">
      <formula>AND($F13&gt;=10000000,$W13="No")</formula>
    </cfRule>
  </conditionalFormatting>
  <conditionalFormatting sqref="W13:W200">
    <cfRule type="expression" dxfId="50" priority="92">
      <formula>F13&lt;10000000</formula>
    </cfRule>
    <cfRule type="expression" dxfId="49" priority="93">
      <formula>F13&gt;=10000000</formula>
    </cfRule>
  </conditionalFormatting>
  <conditionalFormatting sqref="R13:R200">
    <cfRule type="expression" dxfId="48" priority="97">
      <formula>F13&gt;=10000000</formula>
    </cfRule>
    <cfRule type="expression" dxfId="47" priority="99">
      <formula>F13&lt;10000000</formula>
    </cfRule>
  </conditionalFormatting>
  <conditionalFormatting sqref="S13:V200">
    <cfRule type="expression" dxfId="46" priority="125">
      <formula>$F13&lt;10000000</formula>
    </cfRule>
    <cfRule type="expression" dxfId="45" priority="126">
      <formula>AND($F13&gt;=10000000,$R13="Yes")</formula>
    </cfRule>
    <cfRule type="expression" dxfId="44" priority="127">
      <formula>AND(F13&gt;=10000000,R13="No")</formula>
    </cfRule>
  </conditionalFormatting>
  <conditionalFormatting sqref="AM13:AM200">
    <cfRule type="expression" dxfId="43" priority="79">
      <formula>$AH13="No"</formula>
    </cfRule>
    <cfRule type="expression" dxfId="42" priority="80">
      <formula>$AH13="Yes"</formula>
    </cfRule>
  </conditionalFormatting>
  <conditionalFormatting sqref="BO13:BO200">
    <cfRule type="expression" priority="8">
      <formula>$E13="Cancelled"</formula>
    </cfRule>
    <cfRule type="expression" dxfId="41" priority="9">
      <formula>$E13&lt;&gt;"Cancelled"</formula>
    </cfRule>
  </conditionalFormatting>
  <conditionalFormatting sqref="AO13:AO200">
    <cfRule type="expression" dxfId="40" priority="52">
      <formula>LEFT($AN13,5)="Other"</formula>
    </cfRule>
    <cfRule type="expression" dxfId="39" priority="53">
      <formula>LEFT($AN13,5)&lt;&gt;"Other"</formula>
    </cfRule>
  </conditionalFormatting>
  <conditionalFormatting sqref="AQ13:AQ200">
    <cfRule type="expression" dxfId="38" priority="6">
      <formula>LEFT($AP13,5)="Other"</formula>
    </cfRule>
    <cfRule type="expression" dxfId="37" priority="7">
      <formula>LEFT($AP13,5)&lt;&gt;"Other"</formula>
    </cfRule>
  </conditionalFormatting>
  <conditionalFormatting sqref="AP13:AP200">
    <cfRule type="expression" priority="4" stopIfTrue="1">
      <formula>$E13="Completed"</formula>
    </cfRule>
    <cfRule type="expression" dxfId="36" priority="5">
      <formula>$E13&lt;&gt;"Completed"</formula>
    </cfRule>
  </conditionalFormatting>
  <conditionalFormatting sqref="AU13:AU200">
    <cfRule type="expression" priority="42">
      <formula>$E13="Completed"</formula>
    </cfRule>
    <cfRule type="expression" dxfId="35" priority="43">
      <formula>$E13&lt;&gt;"Completed"</formula>
    </cfRule>
  </conditionalFormatting>
  <conditionalFormatting sqref="AY13:AY200 BA13:BA200 BC13:BC200">
    <cfRule type="expression" priority="30">
      <formula>$E13="Completed"</formula>
    </cfRule>
    <cfRule type="expression" dxfId="34" priority="31">
      <formula>$E13&lt;&gt;"Completed"</formula>
    </cfRule>
  </conditionalFormatting>
  <conditionalFormatting sqref="BE13:BE200 BG13:BG200 BI13:BI200">
    <cfRule type="expression" priority="22">
      <formula>$E13="Completed"</formula>
    </cfRule>
    <cfRule type="expression" dxfId="33" priority="23">
      <formula>$E13&lt;&gt;"Completed"</formula>
    </cfRule>
  </conditionalFormatting>
  <conditionalFormatting sqref="AS13:AS200">
    <cfRule type="expression" priority="46" stopIfTrue="1">
      <formula>$E13="Completed"</formula>
    </cfRule>
    <cfRule type="expression" dxfId="32" priority="47">
      <formula>$E13&lt;&gt;"Completed"</formula>
    </cfRule>
  </conditionalFormatting>
  <conditionalFormatting sqref="AV13:AX200 AZ13:AZ200">
    <cfRule type="expression" priority="38">
      <formula>$E13&lt;&gt;"Not Started"</formula>
    </cfRule>
    <cfRule type="expression" dxfId="31" priority="39">
      <formula>$E13="Not Started"</formula>
    </cfRule>
  </conditionalFormatting>
  <conditionalFormatting sqref="BN13:BN200">
    <cfRule type="expression" priority="1">
      <formula>$AM13="Yes"</formula>
    </cfRule>
    <cfRule type="expression" dxfId="30" priority="2">
      <formula>$AM13&lt;&gt;"Yes"</formula>
    </cfRule>
  </conditionalFormatting>
  <conditionalFormatting sqref="BK13:BK200 BM13:BM200 BQ13:BQ200">
    <cfRule type="expression" priority="14">
      <formula>$E13="Completed"</formula>
    </cfRule>
    <cfRule type="expression" dxfId="29" priority="15">
      <formula>$E13&lt;&gt;"Completed"</formula>
    </cfRule>
  </conditionalFormatting>
  <conditionalFormatting sqref="N13:Q200 AF13:BN200">
    <cfRule type="expression" priority="60" stopIfTrue="1">
      <formula>_xlfn.NUMBERVALUE(MID(MID($C$11,1,FIND("-",$C$11,1)-1),3,2))&gt;=19</formula>
    </cfRule>
    <cfRule type="expression" dxfId="28" priority="61">
      <formula>AND(_xlfn.NUMBERVALUE(MID(MID($C$11,1,FIND("-",$C$11,1)-1),3,2))&lt;19,$E13="Not Started")</formula>
    </cfRule>
  </conditionalFormatting>
  <dataValidations count="48">
    <dataValidation type="list" operator="lessThanOrEqual" allowBlank="1" showInputMessage="1" showErrorMessage="1" errorTitle="Max Length Exceed" error="Value cannot exceed 1500 characters." sqref="AM13:AM200" xr:uid="{BCAEB91B-044C-4FAD-8325-5609C5E189BB}">
      <formula1>YesNo</formula1>
    </dataValidation>
    <dataValidation type="list" operator="lessThanOrEqual" allowBlank="1" showInputMessage="1" showErrorMessage="1" errorTitle="Max Length Exceed" error="Value cannot exceed 1500 characters." sqref="AN13:AN200" xr:uid="{814DBDFA-6D50-420B-8A11-A626D25DB3A4}">
      <formula1>Broadband</formula1>
    </dataValidation>
    <dataValidation type="list" allowBlank="1" showInputMessage="1" showErrorMessage="1" sqref="E13:E200" xr:uid="{30147FB0-FBD0-4A37-86F1-049AD9ED3306}">
      <formula1>Status</formula1>
    </dataValidation>
    <dataValidation type="list" operator="lessThanOrEqual" allowBlank="1" showInputMessage="1" showErrorMessage="1" errorTitle="Max Length Exceed" error="Value cannot exceed 250 characters." sqref="AP13:AP200" xr:uid="{F50E01F1-87F0-4A7D-8548-6FE34EA8DC8A}">
      <formula1>Broadband</formula1>
    </dataValidation>
    <dataValidation type="list" operator="lessThanOrEqual" allowBlank="1" showInputMessage="1" showErrorMessage="1" errorTitle="Max Length Exceed" error="Value cannot exceed 250 characters." sqref="BN13:BN200" xr:uid="{D30718DA-3337-4051-8B18-1BB48E334CA1}">
      <formula1>YesNo</formula1>
    </dataValidation>
    <dataValidation type="textLength" operator="lessThanOrEqual" allowBlank="1" showInputMessage="1" showErrorMessage="1" errorTitle="Max Length Exceed" error="Value cannot exceed 80 characters." sqref="C13:C200" xr:uid="{FEA94604-12E0-4E76-9D08-6015D40285A1}">
      <formula1>80</formula1>
    </dataValidation>
    <dataValidation type="textLength" operator="lessThanOrEqual" allowBlank="1" showInputMessage="1" showErrorMessage="1" errorTitle="Max Length Exceed" error="Value cannot exceed 20 characters." sqref="D13:D200" xr:uid="{DB0887CF-4B43-4B0C-8308-766DD406810C}">
      <formula1>20</formula1>
    </dataValidation>
    <dataValidation type="decimal" operator="lessThanOrEqual" allowBlank="1" showInputMessage="1" showErrorMessage="1" errorTitle="Maximum Exceeded" error="Value cannot exceed 999,999,999,999.99" sqref="F13:F200" xr:uid="{CB33306E-5B70-4B60-BD3B-F8DB8098BAE0}">
      <formula1>999999999999.99</formula1>
    </dataValidation>
    <dataValidation type="decimal" operator="lessThanOrEqual" allowBlank="1" showInputMessage="1" showErrorMessage="1" errorTitle="Maximum Exceeded" error="Value cannot exceed 999,999,999,999.99" sqref="G13:G200" xr:uid="{C465772B-668C-4A08-A467-17C4C853BDE2}">
      <formula1>999999999999.99</formula1>
    </dataValidation>
    <dataValidation type="decimal" operator="lessThanOrEqual" allowBlank="1" showInputMessage="1" showErrorMessage="1" errorTitle="Maximum Exceeded" error="Value cannot exceed 999,999,999,999.99" sqref="H13:H200" xr:uid="{4443181D-4E08-4F27-8C9D-CCB43DF9DC98}">
      <formula1>999999999999.99</formula1>
    </dataValidation>
    <dataValidation type="decimal" operator="lessThanOrEqual" allowBlank="1" showInputMessage="1" showErrorMessage="1" errorTitle="Maximum Exceeded" error="Value cannot exceed 999,999,999,999.99" sqref="I13:I200" xr:uid="{0E54FE49-57DA-49C4-836F-9A3F7230721C}">
      <formula1>999999999999.99</formula1>
    </dataValidation>
    <dataValidation type="decimal" operator="lessThanOrEqual" allowBlank="1" showInputMessage="1" showErrorMessage="1" errorTitle="Maximum Exceeded" error="Value cannot exceed 999,999,999,999.99" sqref="J13:J200" xr:uid="{685413B7-2335-42D0-AD63-8C93848326AA}">
      <formula1>999999999999.99</formula1>
    </dataValidation>
    <dataValidation type="textLength" operator="lessThanOrEqual" allowBlank="1" showInputMessage="1" showErrorMessage="1" errorTitle="Max Length Exceed" error="Value cannot exceed 1500 characters." sqref="K13:K200" xr:uid="{C3A50F8F-939C-41A0-9729-442E16D06E58}">
      <formula1>1500</formula1>
    </dataValidation>
    <dataValidation type="decimal" operator="lessThanOrEqual" allowBlank="1" showInputMessage="1" showErrorMessage="1" errorTitle="Maximum Exceeded" error="Value cannot exceed 999,999,999,999.99" sqref="L13:L200" xr:uid="{DA0637ED-7994-4B40-9D7A-F7F0CF18F5D7}">
      <formula1>999999999999.99</formula1>
    </dataValidation>
    <dataValidation type="decimal" operator="lessThanOrEqual" allowBlank="1" showInputMessage="1" showErrorMessage="1" errorTitle="Maximum Exceeded" error="Value cannot exceed 999,999,999,999.99" sqref="M13:M200" xr:uid="{E084784D-E61C-4A1F-9350-F5BEA17FEA03}">
      <formula1>999999999999.99</formula1>
    </dataValidation>
    <dataValidation type="textLength" operator="lessThanOrEqual" allowBlank="1" showInputMessage="1" showErrorMessage="1" errorTitle="Max Length Exceed" error="Value cannot exceed 255 characters." sqref="Q13:Q200" xr:uid="{B6BDA408-9FB6-4B16-A60F-03706C0EB2B1}">
      <formula1>255</formula1>
    </dataValidation>
    <dataValidation type="textLength" operator="lessThanOrEqual" allowBlank="1" showInputMessage="1" showErrorMessage="1" errorTitle="Max Length Exceed" error="Value cannot exceed 50 characters." sqref="AF13:AF200" xr:uid="{051A53E5-CEE0-4D3C-AE9B-B6B87B44353C}">
      <formula1>50</formula1>
    </dataValidation>
    <dataValidation type="textLength" operator="lessThanOrEqual" allowBlank="1" showInputMessage="1" showErrorMessage="1" errorTitle="Max Length Exceed" error="Value cannot exceed 50 characters." sqref="AG13:AG200" xr:uid="{4044B08A-0129-477C-9ACD-90ED4A03A5E0}">
      <formula1>50</formula1>
    </dataValidation>
    <dataValidation type="textLength" operator="lessThanOrEqual" allowBlank="1" showInputMessage="1" showErrorMessage="1" errorTitle="Max Length Exceed" error="Value cannot exceed 1500 characters." sqref="AI13:AI200" xr:uid="{50B1FEFD-4867-4067-9D51-5705C90F1405}">
      <formula1>1500</formula1>
    </dataValidation>
    <dataValidation type="decimal" operator="lessThanOrEqual" allowBlank="1" showInputMessage="1" showErrorMessage="1" errorTitle="Maximum Exceeded" error="Value cannot exceed 999,999,999,999.99" sqref="AK13:AK200" xr:uid="{D989EEC9-16AB-4B24-B79F-6702CB9639B7}">
      <formula1>999999999999.99</formula1>
    </dataValidation>
    <dataValidation type="decimal" operator="lessThanOrEqual" allowBlank="1" showInputMessage="1" showErrorMessage="1" errorTitle="Maximum Exceeded" error="Value cannot exceed 999,999,999,999.99" sqref="AL13:AL200" xr:uid="{9F4E29F2-0D40-454E-B7B3-4A243C585F34}">
      <formula1>999999999999.99</formula1>
    </dataValidation>
    <dataValidation type="textLength" operator="lessThanOrEqual" allowBlank="1" showInputMessage="1" showErrorMessage="1" errorTitle="Max Length Exceed" error="Value cannot exceed 250 characters." sqref="AO13:AO200" xr:uid="{D38E08B4-293F-4003-A234-AE3F02500DD4}">
      <formula1>250</formula1>
    </dataValidation>
    <dataValidation type="textLength" operator="lessThanOrEqual" allowBlank="1" showInputMessage="1" showErrorMessage="1" errorTitle="Max Length Exceed" error="Value cannot exceed 250 characters." sqref="AQ13:AQ200" xr:uid="{5EFBEF94-C212-4BD0-B711-D7B07702035E}">
      <formula1>250</formula1>
    </dataValidation>
    <dataValidation type="textLength" operator="lessThanOrEqual" allowBlank="1" showInputMessage="1" showErrorMessage="1" errorTitle="Max Length Exceed" error="Value cannot exceed 10 characters." sqref="AR13:AR200" xr:uid="{B8ACDD78-ECEA-4B55-AC37-8983C6545AB1}">
      <formula1>10</formula1>
    </dataValidation>
    <dataValidation type="textLength" operator="lessThanOrEqual" allowBlank="1" showInputMessage="1" showErrorMessage="1" errorTitle="Max Length Exceed" error="Value cannot exceed 10 characters." sqref="AS13:AS200" xr:uid="{C022DFA0-711A-4249-8D7E-FFB11002DA04}">
      <formula1>10</formula1>
    </dataValidation>
    <dataValidation type="textLength" operator="lessThanOrEqual" allowBlank="1" showInputMessage="1" showErrorMessage="1" errorTitle="Max Length Exceed" error="Value cannot exceed 10 characters." sqref="AT13:AT200" xr:uid="{7B311527-3216-4623-B1CC-023D7BA1C953}">
      <formula1>10</formula1>
    </dataValidation>
    <dataValidation type="textLength" operator="lessThanOrEqual" allowBlank="1" showInputMessage="1" showErrorMessage="1" errorTitle="Max Length Exceed" error="Value cannot exceed 10 characters." sqref="AU13:AU200" xr:uid="{CA1E53AA-6FB5-43E5-A251-18A9FA1008E7}">
      <formula1>10</formula1>
    </dataValidation>
    <dataValidation type="textLength" operator="lessThanOrEqual" allowBlank="1" showInputMessage="1" showErrorMessage="1" errorTitle="Max Length Exceed" error="Value cannot exceed 10 characters." sqref="AV13:AV200" xr:uid="{2B7E0D11-EF49-4704-B992-4A85EF12D2CD}">
      <formula1>10</formula1>
    </dataValidation>
    <dataValidation type="textLength" operator="lessThanOrEqual" allowBlank="1" showInputMessage="1" showErrorMessage="1" errorTitle="Max Length Exceed" error="Value cannot exceed 10 characters." sqref="AW13:AW200" xr:uid="{51806D76-872E-4B07-B258-102C5D959C0B}">
      <formula1>10</formula1>
    </dataValidation>
    <dataValidation type="textLength" operator="lessThanOrEqual" allowBlank="1" showInputMessage="1" showErrorMessage="1" errorTitle="Max Length Exceed" error="Value cannot exceed 10 characters." sqref="AX13:AX200" xr:uid="{7D138261-3C30-4F15-8727-142697DC54EB}">
      <formula1>10</formula1>
    </dataValidation>
    <dataValidation type="textLength" operator="lessThanOrEqual" allowBlank="1" showInputMessage="1" showErrorMessage="1" errorTitle="Max Length Exceed" error="Value cannot exceed 10 characters." sqref="AY13:AY200" xr:uid="{18617D2F-96F8-46E4-814E-519C9CCB75B7}">
      <formula1>10</formula1>
    </dataValidation>
    <dataValidation type="textLength" operator="lessThanOrEqual" allowBlank="1" showInputMessage="1" showErrorMessage="1" errorTitle="Max Length Exceed" error="Value cannot exceed 10 characters." sqref="AZ13:AZ200" xr:uid="{2D7D38F2-6E63-4221-B0F7-DF814D931CD4}">
      <formula1>10</formula1>
    </dataValidation>
    <dataValidation type="textLength" operator="lessThanOrEqual" allowBlank="1" showInputMessage="1" showErrorMessage="1" errorTitle="Max Length Exceed" error="Value cannot exceed 10 characters." sqref="BA13:BA200" xr:uid="{94766864-D886-49AC-B45A-E96B34A76289}">
      <formula1>10</formula1>
    </dataValidation>
    <dataValidation type="textLength" operator="lessThanOrEqual" allowBlank="1" showInputMessage="1" showErrorMessage="1" errorTitle="Max Length Exceed" error="Value cannot exceed 10 characters." sqref="BB13:BB200" xr:uid="{AC041AB7-DEC5-4562-A751-19889C09B8B6}">
      <formula1>10</formula1>
    </dataValidation>
    <dataValidation type="textLength" operator="lessThanOrEqual" allowBlank="1" showInputMessage="1" showErrorMessage="1" errorTitle="Max Length Exceed" error="Value cannot exceed 10 characters." sqref="BC13:BC200" xr:uid="{C5D70484-9C63-43A6-8F2E-0FC954BF9EBA}">
      <formula1>10</formula1>
    </dataValidation>
    <dataValidation type="textLength" operator="lessThanOrEqual" allowBlank="1" showInputMessage="1" showErrorMessage="1" errorTitle="Max Length Exceed" error="Value cannot exceed 10 characters." sqref="BD13:BD200" xr:uid="{AADC9DFA-AB91-4C53-8B36-A0B388350E0A}">
      <formula1>10</formula1>
    </dataValidation>
    <dataValidation type="textLength" operator="lessThanOrEqual" allowBlank="1" showInputMessage="1" showErrorMessage="1" errorTitle="Max Length Exceed" error="Value cannot exceed 10 characters." sqref="BE13:BE200" xr:uid="{D40AD474-CF90-4503-A60D-6929F426923A}">
      <formula1>10</formula1>
    </dataValidation>
    <dataValidation type="textLength" operator="lessThanOrEqual" allowBlank="1" showInputMessage="1" showErrorMessage="1" errorTitle="Max Length Exceed" error="Value cannot exceed 10 characters." sqref="BF13:BF200" xr:uid="{68659070-11A0-4219-B0BD-27373F82199C}">
      <formula1>10</formula1>
    </dataValidation>
    <dataValidation type="textLength" operator="lessThanOrEqual" allowBlank="1" showInputMessage="1" showErrorMessage="1" errorTitle="Max Length Exceed" error="Value cannot exceed 10 characters." sqref="BG13:BG200" xr:uid="{F8870BDD-C1EC-44B0-96C4-A718F594DE32}">
      <formula1>10</formula1>
    </dataValidation>
    <dataValidation type="textLength" operator="lessThanOrEqual" allowBlank="1" showInputMessage="1" showErrorMessage="1" errorTitle="Max Length Exceed" error="Value cannot exceed 10 characters." sqref="BH13:BH200" xr:uid="{855D225D-4BE0-4F7E-BA40-C7210558892C}">
      <formula1>10</formula1>
    </dataValidation>
    <dataValidation type="textLength" operator="lessThanOrEqual" allowBlank="1" showInputMessage="1" showErrorMessage="1" errorTitle="Max Length Exceed" error="Value cannot exceed 10 characters." sqref="BI13:BI200" xr:uid="{05CFB44B-4296-4D37-A98E-087F87C16A3D}">
      <formula1>10</formula1>
    </dataValidation>
    <dataValidation type="textLength" operator="lessThanOrEqual" allowBlank="1" showInputMessage="1" showErrorMessage="1" errorTitle="Max Length Exceed" error="Value cannot exceed 10 characters." sqref="BJ13:BJ200" xr:uid="{54410347-B776-4B8A-AE99-CCBC9135C459}">
      <formula1>10</formula1>
    </dataValidation>
    <dataValidation type="textLength" operator="lessThanOrEqual" allowBlank="1" showInputMessage="1" showErrorMessage="1" errorTitle="Max Length Exceed" error="Value cannot exceed 10 characters." sqref="BK13:BK200" xr:uid="{70BC394A-F85B-495E-9A34-D856AEE19DA2}">
      <formula1>10</formula1>
    </dataValidation>
    <dataValidation type="textLength" operator="lessThanOrEqual" allowBlank="1" showInputMessage="1" showErrorMessage="1" errorTitle="Max Length Exceed" error="Value cannot exceed 250 characters." sqref="BL13:BL200" xr:uid="{3AD7010B-CF3E-4AC3-A07D-D1E27D5CADE6}">
      <formula1>250</formula1>
    </dataValidation>
    <dataValidation type="textLength" operator="lessThanOrEqual" allowBlank="1" showInputMessage="1" showErrorMessage="1" errorTitle="Max Length Exceed" error="Value cannot exceed 250 characters." sqref="BM13:BM200" xr:uid="{77F65B79-236B-4C56-89F9-839B728ABA12}">
      <formula1>250</formula1>
    </dataValidation>
    <dataValidation type="textLength" operator="lessThanOrEqual" allowBlank="1" showInputMessage="1" showErrorMessage="1" errorTitle="Max Length Exceed" error="Value cannot exceed 255 characters." sqref="BO13:BO200" xr:uid="{8B4478FA-EA13-4B9F-8EAE-40983D050D46}">
      <formula1>255</formula1>
    </dataValidation>
    <dataValidation type="textLength" operator="lessThanOrEqual" allowBlank="1" showInputMessage="1" showErrorMessage="1" errorTitle="Max Length Exceed" error="Value cannot exceed 1500 characters." sqref="BP13:BP200" xr:uid="{ED5BDCC0-CE26-4560-8B61-FF1CF86A778A}">
      <formula1>1500</formula1>
    </dataValidation>
    <dataValidation type="textLength" operator="lessThanOrEqual" allowBlank="1" showInputMessage="1" showErrorMessage="1" errorTitle="Max Length Exceed" error="Value cannot exceed 1500 characters." sqref="BQ13:BQ200" xr:uid="{BE17A747-62B2-4A61-82CC-2A5E4740D4C0}">
      <formula1>1500</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FDEBD83-DB44-4A26-A19B-FD91C6658141}">
          <x14:formula1>
            <xm:f>Dropdowns!$L$3:$L$6</xm:f>
          </x14:formula1>
          <xm:sqref>P13:P200</xm:sqref>
        </x14:dataValidation>
        <x14:dataValidation type="list" allowBlank="1" showInputMessage="1" showErrorMessage="1" xr:uid="{15B93ED1-42A6-4D4F-8C2B-2FB76FE3D58D}">
          <x14:formula1>
            <xm:f>Dropdowns!$H$3:$H$4</xm:f>
          </x14:formula1>
          <xm:sqref>R13:R200 AJ13:AJ200 V13:W200 AA13:AD200 AH13:AH37</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121AC8-7B5B-4129-BF5A-3F7D43CC74F9}">
  <sheetPr codeName="Sheet11"/>
  <dimension ref="A1:AA201"/>
  <sheetViews>
    <sheetView showGridLines="0" zoomScaleNormal="100" workbookViewId="0">
      <pane xSplit="4" ySplit="12" topLeftCell="E13" activePane="bottomRight" state="frozen"/>
      <selection pane="topRight" activeCell="E1" sqref="E1"/>
      <selection pane="bottomLeft" activeCell="A12" sqref="A12"/>
      <selection pane="bottomRight" sqref="A1:XFD10"/>
    </sheetView>
  </sheetViews>
  <sheetFormatPr defaultColWidth="15.1796875" defaultRowHeight="12.75" customHeight="1" x14ac:dyDescent="0.25"/>
  <cols>
    <col min="1" max="1" width="15.1796875" style="161" hidden="1" customWidth="1"/>
    <col min="2" max="2" width="5.81640625" style="161" hidden="1" customWidth="1"/>
    <col min="3" max="3" width="20.7265625" style="161" customWidth="1"/>
    <col min="4" max="4" width="19.7265625" style="161" customWidth="1"/>
    <col min="5" max="8" width="15.1796875" style="161"/>
    <col min="9" max="9" width="15.1796875" style="164"/>
    <col min="10" max="10" width="15.1796875" style="161"/>
    <col min="11" max="11" width="15.1796875" style="161" customWidth="1"/>
    <col min="12" max="12" width="18.26953125" style="161" customWidth="1"/>
    <col min="13" max="15" width="15.1796875" style="161" customWidth="1"/>
    <col min="16" max="18" width="15.1796875" style="161"/>
    <col min="19" max="19" width="21.54296875" style="161" customWidth="1"/>
    <col min="20" max="20" width="15.1796875" style="161" customWidth="1"/>
    <col min="21" max="21" width="22.26953125" style="161" customWidth="1"/>
    <col min="22" max="22" width="15.1796875" style="161" customWidth="1"/>
    <col min="23" max="23" width="19.81640625" style="161" customWidth="1"/>
    <col min="24" max="26" width="15.1796875" style="161" customWidth="1"/>
    <col min="27" max="27" width="15.1796875" style="161"/>
    <col min="28" max="69" width="15.1796875" style="161" customWidth="1"/>
    <col min="70" max="16384" width="15.1796875" style="161"/>
  </cols>
  <sheetData>
    <row r="1" spans="1:27" ht="27" hidden="1" customHeight="1" x14ac:dyDescent="0.25">
      <c r="A1" s="256" t="s">
        <v>393</v>
      </c>
      <c r="B1" s="115" t="s">
        <v>503</v>
      </c>
      <c r="C1" s="115" t="s">
        <v>612</v>
      </c>
      <c r="D1" s="115" t="s">
        <v>612</v>
      </c>
      <c r="E1" s="115" t="s">
        <v>612</v>
      </c>
      <c r="F1" s="115" t="s">
        <v>612</v>
      </c>
      <c r="G1" s="115" t="s">
        <v>612</v>
      </c>
      <c r="H1" s="115" t="s">
        <v>612</v>
      </c>
      <c r="I1" s="115" t="s">
        <v>612</v>
      </c>
      <c r="J1" s="115" t="s">
        <v>612</v>
      </c>
      <c r="K1" s="115" t="s">
        <v>612</v>
      </c>
      <c r="L1" s="115" t="s">
        <v>612</v>
      </c>
      <c r="M1" s="115" t="s">
        <v>612</v>
      </c>
      <c r="N1" s="115" t="s">
        <v>612</v>
      </c>
      <c r="O1" s="115" t="s">
        <v>612</v>
      </c>
      <c r="P1" s="115" t="s">
        <v>612</v>
      </c>
      <c r="Q1" s="115" t="s">
        <v>612</v>
      </c>
      <c r="R1" s="115" t="s">
        <v>612</v>
      </c>
      <c r="S1" s="115" t="s">
        <v>612</v>
      </c>
      <c r="T1" s="115" t="s">
        <v>612</v>
      </c>
      <c r="U1" s="115" t="s">
        <v>612</v>
      </c>
      <c r="V1" s="115" t="s">
        <v>612</v>
      </c>
      <c r="W1" s="115" t="s">
        <v>612</v>
      </c>
      <c r="X1" s="115" t="s">
        <v>612</v>
      </c>
      <c r="Y1" s="115" t="s">
        <v>612</v>
      </c>
      <c r="Z1" s="115" t="s">
        <v>612</v>
      </c>
      <c r="AA1" s="115" t="s">
        <v>881</v>
      </c>
    </row>
    <row r="2" spans="1:27" ht="27" hidden="1" customHeight="1" x14ac:dyDescent="0.25">
      <c r="A2" s="256" t="s">
        <v>394</v>
      </c>
      <c r="B2" s="115"/>
      <c r="C2" s="115" t="s">
        <v>613</v>
      </c>
      <c r="D2" s="115" t="s">
        <v>613</v>
      </c>
      <c r="E2" s="115" t="s">
        <v>613</v>
      </c>
      <c r="F2" s="115" t="s">
        <v>613</v>
      </c>
      <c r="G2" s="115" t="s">
        <v>613</v>
      </c>
      <c r="H2" s="115" t="s">
        <v>613</v>
      </c>
      <c r="I2" s="115" t="s">
        <v>613</v>
      </c>
      <c r="J2" s="115" t="s">
        <v>613</v>
      </c>
      <c r="K2" s="115" t="s">
        <v>613</v>
      </c>
      <c r="L2" s="115" t="s">
        <v>613</v>
      </c>
      <c r="M2" s="115" t="s">
        <v>613</v>
      </c>
      <c r="N2" s="115" t="s">
        <v>613</v>
      </c>
      <c r="O2" s="115" t="s">
        <v>613</v>
      </c>
      <c r="P2" s="115" t="s">
        <v>613</v>
      </c>
      <c r="Q2" s="115" t="s">
        <v>613</v>
      </c>
      <c r="R2" s="115" t="s">
        <v>613</v>
      </c>
      <c r="S2" s="115" t="s">
        <v>613</v>
      </c>
      <c r="T2" s="115" t="s">
        <v>613</v>
      </c>
      <c r="U2" s="115" t="s">
        <v>613</v>
      </c>
      <c r="V2" s="115" t="s">
        <v>613</v>
      </c>
      <c r="W2" s="115" t="s">
        <v>613</v>
      </c>
      <c r="X2" s="115" t="s">
        <v>613</v>
      </c>
      <c r="Y2" s="115" t="s">
        <v>613</v>
      </c>
      <c r="Z2" s="115" t="s">
        <v>613</v>
      </c>
      <c r="AA2" s="115" t="s">
        <v>613</v>
      </c>
    </row>
    <row r="3" spans="1:27" ht="27" hidden="1" customHeight="1" x14ac:dyDescent="0.25">
      <c r="A3" s="256" t="s">
        <v>163</v>
      </c>
      <c r="B3" s="153"/>
      <c r="C3" s="153" t="s">
        <v>138</v>
      </c>
      <c r="D3" s="153" t="s">
        <v>139</v>
      </c>
      <c r="E3" s="153" t="s">
        <v>140</v>
      </c>
      <c r="F3" s="153" t="s">
        <v>141</v>
      </c>
      <c r="G3" s="153" t="s">
        <v>142</v>
      </c>
      <c r="H3" s="153" t="s">
        <v>143</v>
      </c>
      <c r="I3" s="153" t="s">
        <v>506</v>
      </c>
      <c r="J3" s="153" t="s">
        <v>507</v>
      </c>
      <c r="K3" s="116" t="s">
        <v>144</v>
      </c>
      <c r="L3" s="153" t="s">
        <v>145</v>
      </c>
      <c r="M3" s="153" t="s">
        <v>566</v>
      </c>
      <c r="N3" s="153" t="s">
        <v>567</v>
      </c>
      <c r="O3" s="153" t="s">
        <v>568</v>
      </c>
      <c r="P3" s="153" t="s">
        <v>146</v>
      </c>
      <c r="Q3" s="153" t="s">
        <v>147</v>
      </c>
      <c r="R3" s="153" t="s">
        <v>148</v>
      </c>
      <c r="S3" s="154" t="s">
        <v>518</v>
      </c>
      <c r="T3" s="154" t="s">
        <v>519</v>
      </c>
      <c r="U3" s="154" t="s">
        <v>520</v>
      </c>
      <c r="V3" s="154" t="s">
        <v>521</v>
      </c>
      <c r="W3" s="154" t="s">
        <v>522</v>
      </c>
      <c r="X3" s="154" t="s">
        <v>523</v>
      </c>
      <c r="Y3" s="154" t="s">
        <v>560</v>
      </c>
      <c r="Z3" s="154" t="s">
        <v>561</v>
      </c>
      <c r="AA3" s="122" t="s">
        <v>875</v>
      </c>
    </row>
    <row r="4" spans="1:27" ht="27" hidden="1" customHeight="1" x14ac:dyDescent="0.25">
      <c r="A4" s="256" t="s">
        <v>162</v>
      </c>
      <c r="B4" s="153"/>
      <c r="C4" s="153" t="s">
        <v>149</v>
      </c>
      <c r="D4" s="153" t="s">
        <v>149</v>
      </c>
      <c r="E4" s="153" t="s">
        <v>149</v>
      </c>
      <c r="F4" s="153" t="s">
        <v>149</v>
      </c>
      <c r="G4" s="153" t="s">
        <v>149</v>
      </c>
      <c r="H4" s="153" t="s">
        <v>149</v>
      </c>
      <c r="I4" s="153" t="s">
        <v>149</v>
      </c>
      <c r="J4" s="153" t="s">
        <v>149</v>
      </c>
      <c r="K4" s="153" t="s">
        <v>516</v>
      </c>
      <c r="L4" s="153" t="s">
        <v>516</v>
      </c>
      <c r="M4" s="153" t="s">
        <v>516</v>
      </c>
      <c r="N4" s="153" t="s">
        <v>516</v>
      </c>
      <c r="O4" s="153" t="s">
        <v>516</v>
      </c>
      <c r="P4" s="153" t="s">
        <v>149</v>
      </c>
      <c r="Q4" s="153" t="s">
        <v>150</v>
      </c>
      <c r="R4" s="153" t="s">
        <v>150</v>
      </c>
      <c r="S4" s="153" t="s">
        <v>516</v>
      </c>
      <c r="T4" s="154" t="s">
        <v>516</v>
      </c>
      <c r="U4" s="154" t="s">
        <v>150</v>
      </c>
      <c r="V4" s="154" t="s">
        <v>516</v>
      </c>
      <c r="W4" s="154" t="s">
        <v>150</v>
      </c>
      <c r="X4" s="154" t="s">
        <v>516</v>
      </c>
      <c r="Y4" s="153" t="s">
        <v>516</v>
      </c>
      <c r="Z4" s="153" t="s">
        <v>516</v>
      </c>
      <c r="AA4" s="144" t="s">
        <v>516</v>
      </c>
    </row>
    <row r="5" spans="1:27" ht="27" hidden="1" customHeight="1" x14ac:dyDescent="0.25">
      <c r="A5" s="256" t="s">
        <v>395</v>
      </c>
      <c r="B5" s="155"/>
      <c r="C5" s="154" t="s">
        <v>160</v>
      </c>
      <c r="D5" s="116" t="s">
        <v>172</v>
      </c>
      <c r="E5" s="116"/>
      <c r="F5" s="116" t="s">
        <v>505</v>
      </c>
      <c r="G5" s="116" t="s">
        <v>512</v>
      </c>
      <c r="H5" s="116" t="s">
        <v>513</v>
      </c>
      <c r="I5" s="116" t="s">
        <v>514</v>
      </c>
      <c r="J5" s="116" t="s">
        <v>515</v>
      </c>
      <c r="K5" s="116" t="s">
        <v>517</v>
      </c>
      <c r="L5" s="154" t="s">
        <v>179</v>
      </c>
      <c r="M5" s="115" t="s">
        <v>572</v>
      </c>
      <c r="N5" s="115" t="s">
        <v>573</v>
      </c>
      <c r="O5" s="115" t="s">
        <v>574</v>
      </c>
      <c r="P5" s="116" t="s">
        <v>161</v>
      </c>
      <c r="Q5" s="154" t="s">
        <v>180</v>
      </c>
      <c r="R5" s="154" t="s">
        <v>181</v>
      </c>
      <c r="S5" s="154" t="s">
        <v>528</v>
      </c>
      <c r="T5" s="154" t="s">
        <v>529</v>
      </c>
      <c r="U5" s="154" t="s">
        <v>528</v>
      </c>
      <c r="V5" s="154" t="s">
        <v>529</v>
      </c>
      <c r="W5" s="154" t="s">
        <v>528</v>
      </c>
      <c r="X5" s="154" t="s">
        <v>529</v>
      </c>
      <c r="Y5" s="154" t="s">
        <v>564</v>
      </c>
      <c r="Z5" s="154" t="s">
        <v>565</v>
      </c>
      <c r="AA5" s="115" t="s">
        <v>876</v>
      </c>
    </row>
    <row r="6" spans="1:27" ht="27" hidden="1" customHeight="1" x14ac:dyDescent="0.25">
      <c r="A6" s="256" t="s">
        <v>166</v>
      </c>
      <c r="B6" s="115"/>
      <c r="C6" s="115" t="s">
        <v>134</v>
      </c>
      <c r="D6" s="115" t="s">
        <v>134</v>
      </c>
      <c r="E6" s="115" t="s">
        <v>339</v>
      </c>
      <c r="F6" s="115" t="s">
        <v>134</v>
      </c>
      <c r="G6" s="115" t="s">
        <v>134</v>
      </c>
      <c r="H6" s="115" t="s">
        <v>134</v>
      </c>
      <c r="I6" s="115" t="s">
        <v>134</v>
      </c>
      <c r="J6" s="115" t="s">
        <v>134</v>
      </c>
      <c r="K6" s="154" t="s">
        <v>178</v>
      </c>
      <c r="L6" s="115" t="s">
        <v>134</v>
      </c>
      <c r="M6" s="154" t="s">
        <v>597</v>
      </c>
      <c r="N6" s="115" t="s">
        <v>134</v>
      </c>
      <c r="O6" s="115" t="s">
        <v>134</v>
      </c>
      <c r="P6" s="115" t="s">
        <v>134</v>
      </c>
      <c r="Q6" s="115" t="s">
        <v>134</v>
      </c>
      <c r="R6" s="115" t="s">
        <v>134</v>
      </c>
      <c r="S6" s="154" t="s">
        <v>674</v>
      </c>
      <c r="T6" s="115" t="s">
        <v>134</v>
      </c>
      <c r="U6" s="154" t="s">
        <v>674</v>
      </c>
      <c r="V6" s="115" t="s">
        <v>134</v>
      </c>
      <c r="W6" s="154" t="s">
        <v>674</v>
      </c>
      <c r="X6" s="115" t="s">
        <v>134</v>
      </c>
      <c r="Y6" s="115" t="s">
        <v>134</v>
      </c>
      <c r="Z6" s="115" t="s">
        <v>134</v>
      </c>
      <c r="AA6" s="122" t="s">
        <v>134</v>
      </c>
    </row>
    <row r="7" spans="1:27" ht="27" hidden="1" customHeight="1" x14ac:dyDescent="0.25">
      <c r="A7" s="256" t="s">
        <v>167</v>
      </c>
      <c r="B7" s="115"/>
      <c r="C7" s="115" t="s">
        <v>169</v>
      </c>
      <c r="D7" s="115" t="s">
        <v>169</v>
      </c>
      <c r="E7" s="115" t="s">
        <v>171</v>
      </c>
      <c r="F7" s="115" t="s">
        <v>173</v>
      </c>
      <c r="G7" s="115" t="s">
        <v>173</v>
      </c>
      <c r="H7" s="115" t="s">
        <v>173</v>
      </c>
      <c r="I7" s="115" t="s">
        <v>173</v>
      </c>
      <c r="J7" s="115" t="s">
        <v>173</v>
      </c>
      <c r="K7" s="154" t="s">
        <v>171</v>
      </c>
      <c r="L7" s="115" t="s">
        <v>173</v>
      </c>
      <c r="M7" s="154" t="s">
        <v>171</v>
      </c>
      <c r="N7" s="115" t="s">
        <v>169</v>
      </c>
      <c r="O7" s="115" t="s">
        <v>169</v>
      </c>
      <c r="P7" s="115" t="s">
        <v>169</v>
      </c>
      <c r="Q7" s="115" t="s">
        <v>173</v>
      </c>
      <c r="R7" s="115" t="s">
        <v>173</v>
      </c>
      <c r="S7" s="154" t="s">
        <v>171</v>
      </c>
      <c r="T7" s="115" t="s">
        <v>169</v>
      </c>
      <c r="U7" s="154" t="s">
        <v>171</v>
      </c>
      <c r="V7" s="115" t="s">
        <v>169</v>
      </c>
      <c r="W7" s="154" t="s">
        <v>171</v>
      </c>
      <c r="X7" s="115" t="s">
        <v>169</v>
      </c>
      <c r="Y7" s="115" t="s">
        <v>169</v>
      </c>
      <c r="Z7" s="115" t="s">
        <v>169</v>
      </c>
      <c r="AA7" s="122" t="s">
        <v>169</v>
      </c>
    </row>
    <row r="8" spans="1:27" ht="27" hidden="1" customHeight="1" x14ac:dyDescent="0.25">
      <c r="A8" s="256" t="s">
        <v>168</v>
      </c>
      <c r="B8" s="115"/>
      <c r="C8" s="115">
        <v>80</v>
      </c>
      <c r="D8" s="115">
        <v>20</v>
      </c>
      <c r="E8" s="115" t="s">
        <v>134</v>
      </c>
      <c r="F8" s="115" t="s">
        <v>174</v>
      </c>
      <c r="G8" s="115" t="s">
        <v>174</v>
      </c>
      <c r="H8" s="115" t="s">
        <v>174</v>
      </c>
      <c r="I8" s="115" t="s">
        <v>174</v>
      </c>
      <c r="J8" s="115" t="s">
        <v>174</v>
      </c>
      <c r="K8" s="154" t="s">
        <v>134</v>
      </c>
      <c r="L8" s="115" t="s">
        <v>174</v>
      </c>
      <c r="M8" s="154" t="s">
        <v>134</v>
      </c>
      <c r="N8" s="115">
        <v>255</v>
      </c>
      <c r="O8" s="115">
        <v>1500</v>
      </c>
      <c r="P8" s="115">
        <v>1500</v>
      </c>
      <c r="Q8" s="115" t="s">
        <v>174</v>
      </c>
      <c r="R8" s="115" t="s">
        <v>174</v>
      </c>
      <c r="S8" s="154" t="s">
        <v>134</v>
      </c>
      <c r="T8" s="115">
        <v>250</v>
      </c>
      <c r="U8" s="154" t="s">
        <v>134</v>
      </c>
      <c r="V8" s="115">
        <v>250</v>
      </c>
      <c r="W8" s="154" t="s">
        <v>134</v>
      </c>
      <c r="X8" s="115">
        <v>250</v>
      </c>
      <c r="Y8" s="115">
        <v>250</v>
      </c>
      <c r="Z8" s="115">
        <v>250</v>
      </c>
      <c r="AA8" s="122">
        <v>255</v>
      </c>
    </row>
    <row r="9" spans="1:27" ht="27" hidden="1" customHeight="1" x14ac:dyDescent="0.25">
      <c r="A9" s="256" t="s">
        <v>396</v>
      </c>
      <c r="B9" s="153"/>
      <c r="C9" s="153"/>
      <c r="D9" s="153"/>
      <c r="E9" s="153"/>
      <c r="F9" s="153"/>
      <c r="G9" s="153"/>
      <c r="H9" s="153"/>
      <c r="I9" s="116"/>
      <c r="J9" s="153"/>
      <c r="K9" s="153" t="s">
        <v>610</v>
      </c>
      <c r="L9" s="153" t="s">
        <v>610</v>
      </c>
      <c r="M9" s="153" t="s">
        <v>611</v>
      </c>
      <c r="N9" s="153" t="s">
        <v>609</v>
      </c>
      <c r="O9" s="153"/>
      <c r="P9" s="122"/>
      <c r="Q9" s="122"/>
      <c r="R9" s="122"/>
      <c r="S9" s="122"/>
      <c r="T9" s="122"/>
      <c r="U9" s="122"/>
      <c r="V9" s="122"/>
      <c r="W9" s="122"/>
      <c r="X9" s="122"/>
      <c r="Y9" s="122"/>
      <c r="Z9" s="122"/>
      <c r="AA9" s="144" t="s">
        <v>877</v>
      </c>
    </row>
    <row r="10" spans="1:27" ht="35.15" hidden="1" customHeight="1" x14ac:dyDescent="0.25">
      <c r="A10" s="257" t="s">
        <v>752</v>
      </c>
      <c r="B10" s="258"/>
      <c r="C10" s="259" t="s">
        <v>1038</v>
      </c>
      <c r="D10" s="259" t="s">
        <v>756</v>
      </c>
      <c r="E10" s="259" t="s">
        <v>757</v>
      </c>
      <c r="F10" s="259" t="s">
        <v>996</v>
      </c>
      <c r="G10" s="259" t="s">
        <v>997</v>
      </c>
      <c r="H10" s="260" t="s">
        <v>998</v>
      </c>
      <c r="I10" s="260" t="s">
        <v>999</v>
      </c>
      <c r="J10" s="260" t="s">
        <v>1000</v>
      </c>
      <c r="K10" s="259"/>
      <c r="L10" s="259"/>
      <c r="M10" s="259"/>
      <c r="N10" s="259"/>
      <c r="O10" s="258"/>
      <c r="P10" s="259" t="s">
        <v>760</v>
      </c>
      <c r="Q10" s="259" t="s">
        <v>761</v>
      </c>
      <c r="R10" s="259" t="s">
        <v>762</v>
      </c>
      <c r="S10" s="261"/>
      <c r="T10" s="261"/>
      <c r="U10" s="261"/>
      <c r="V10" s="261"/>
      <c r="W10" s="261"/>
      <c r="X10" s="261"/>
      <c r="Y10" s="261"/>
      <c r="Z10" s="261"/>
      <c r="AA10" s="262"/>
    </row>
    <row r="11" spans="1:27" ht="12.5" x14ac:dyDescent="0.25">
      <c r="A11" s="263"/>
      <c r="B11" s="264"/>
      <c r="C11" s="265">
        <f>Cover!$C$2</f>
        <v>0</v>
      </c>
      <c r="D11" s="264"/>
      <c r="E11" s="264"/>
      <c r="F11" s="264"/>
      <c r="G11" s="264"/>
      <c r="H11" s="264"/>
      <c r="I11" s="266"/>
      <c r="J11" s="264"/>
      <c r="K11" s="264"/>
      <c r="L11" s="264"/>
      <c r="M11" s="264"/>
      <c r="N11" s="264"/>
      <c r="O11" s="264"/>
      <c r="P11" s="267"/>
      <c r="Q11" s="267"/>
      <c r="R11" s="267"/>
      <c r="S11" s="267"/>
      <c r="T11" s="267"/>
      <c r="U11" s="267"/>
      <c r="V11" s="267"/>
      <c r="W11" s="267"/>
      <c r="X11" s="267"/>
      <c r="Y11" s="267"/>
      <c r="Z11" s="267"/>
      <c r="AA11" s="268"/>
    </row>
    <row r="12" spans="1:27" ht="46" x14ac:dyDescent="0.25">
      <c r="A12" s="269" t="s">
        <v>164</v>
      </c>
      <c r="B12" s="270"/>
      <c r="C12" s="271" t="s">
        <v>7</v>
      </c>
      <c r="D12" s="271" t="s">
        <v>152</v>
      </c>
      <c r="E12" s="271" t="s">
        <v>153</v>
      </c>
      <c r="F12" s="271" t="s">
        <v>154</v>
      </c>
      <c r="G12" s="271" t="s">
        <v>508</v>
      </c>
      <c r="H12" s="271" t="s">
        <v>509</v>
      </c>
      <c r="I12" s="271" t="s">
        <v>510</v>
      </c>
      <c r="J12" s="271" t="s">
        <v>511</v>
      </c>
      <c r="K12" s="271" t="s">
        <v>155</v>
      </c>
      <c r="L12" s="271" t="s">
        <v>156</v>
      </c>
      <c r="M12" s="271" t="s">
        <v>569</v>
      </c>
      <c r="N12" s="271" t="s">
        <v>570</v>
      </c>
      <c r="O12" s="271" t="s">
        <v>571</v>
      </c>
      <c r="P12" s="271" t="s">
        <v>157</v>
      </c>
      <c r="Q12" s="310" t="s">
        <v>158</v>
      </c>
      <c r="R12" s="310" t="s">
        <v>159</v>
      </c>
      <c r="S12" s="271" t="s">
        <v>675</v>
      </c>
      <c r="T12" s="271" t="s">
        <v>524</v>
      </c>
      <c r="U12" s="310" t="s">
        <v>741</v>
      </c>
      <c r="V12" s="271" t="s">
        <v>526</v>
      </c>
      <c r="W12" s="310" t="s">
        <v>742</v>
      </c>
      <c r="X12" s="271" t="s">
        <v>527</v>
      </c>
      <c r="Y12" s="271" t="s">
        <v>562</v>
      </c>
      <c r="Z12" s="271" t="s">
        <v>563</v>
      </c>
      <c r="AA12" s="271" t="s">
        <v>876</v>
      </c>
    </row>
    <row r="13" spans="1:27" ht="12.75" customHeight="1" x14ac:dyDescent="0.3">
      <c r="A13" s="229" t="s">
        <v>165</v>
      </c>
      <c r="B13" s="241"/>
      <c r="C13" s="272"/>
      <c r="D13" s="272"/>
      <c r="E13" s="242"/>
      <c r="F13" s="273"/>
      <c r="G13" s="274"/>
      <c r="H13" s="273"/>
      <c r="I13" s="248"/>
      <c r="J13" s="248"/>
      <c r="K13" s="242"/>
      <c r="L13" s="248"/>
      <c r="M13" s="275"/>
      <c r="N13" s="276"/>
      <c r="O13" s="276"/>
      <c r="P13" s="220"/>
      <c r="Q13" s="254"/>
      <c r="R13" s="254"/>
      <c r="S13" s="220"/>
      <c r="T13" s="220"/>
      <c r="U13" s="220"/>
      <c r="V13" s="220"/>
      <c r="W13" s="220"/>
      <c r="X13" s="220"/>
      <c r="Y13" s="220"/>
      <c r="Z13" s="220"/>
      <c r="AA13" s="244"/>
    </row>
    <row r="14" spans="1:27" ht="12.75" customHeight="1" x14ac:dyDescent="0.25">
      <c r="A14" s="229"/>
      <c r="B14" s="241"/>
      <c r="C14" s="272"/>
      <c r="D14" s="272"/>
      <c r="E14" s="242"/>
      <c r="F14" s="273"/>
      <c r="G14" s="273"/>
      <c r="H14" s="273"/>
      <c r="I14" s="248"/>
      <c r="J14" s="248"/>
      <c r="K14" s="242"/>
      <c r="L14" s="248"/>
      <c r="M14" s="275"/>
      <c r="N14" s="276"/>
      <c r="O14" s="276"/>
      <c r="P14" s="220"/>
      <c r="Q14" s="254"/>
      <c r="R14" s="254"/>
      <c r="S14" s="220"/>
      <c r="T14" s="220"/>
      <c r="U14" s="220"/>
      <c r="V14" s="220"/>
      <c r="W14" s="220"/>
      <c r="X14" s="220"/>
      <c r="Y14" s="220"/>
      <c r="Z14" s="220"/>
      <c r="AA14" s="220"/>
    </row>
    <row r="15" spans="1:27" ht="12.75" customHeight="1" x14ac:dyDescent="0.25">
      <c r="A15" s="229"/>
      <c r="B15" s="241"/>
      <c r="C15" s="272"/>
      <c r="D15" s="272"/>
      <c r="E15" s="242"/>
      <c r="F15" s="273"/>
      <c r="G15" s="273"/>
      <c r="H15" s="273"/>
      <c r="I15" s="248"/>
      <c r="J15" s="248"/>
      <c r="K15" s="242"/>
      <c r="L15" s="248"/>
      <c r="M15" s="275"/>
      <c r="N15" s="276"/>
      <c r="O15" s="276"/>
      <c r="P15" s="220"/>
      <c r="Q15" s="254"/>
      <c r="R15" s="254"/>
      <c r="S15" s="220"/>
      <c r="T15" s="220"/>
      <c r="U15" s="220"/>
      <c r="V15" s="220"/>
      <c r="W15" s="220"/>
      <c r="X15" s="220"/>
      <c r="Y15" s="220"/>
      <c r="Z15" s="220"/>
      <c r="AA15" s="220"/>
    </row>
    <row r="16" spans="1:27" ht="12.75" customHeight="1" x14ac:dyDescent="0.25">
      <c r="A16" s="229"/>
      <c r="B16" s="241"/>
      <c r="C16" s="272"/>
      <c r="D16" s="272"/>
      <c r="E16" s="242"/>
      <c r="F16" s="273"/>
      <c r="G16" s="273"/>
      <c r="H16" s="273"/>
      <c r="I16" s="248"/>
      <c r="J16" s="248"/>
      <c r="K16" s="242"/>
      <c r="L16" s="248"/>
      <c r="M16" s="275"/>
      <c r="N16" s="276"/>
      <c r="O16" s="276"/>
      <c r="P16" s="220"/>
      <c r="Q16" s="254"/>
      <c r="R16" s="254"/>
      <c r="S16" s="220"/>
      <c r="T16" s="220"/>
      <c r="U16" s="220"/>
      <c r="V16" s="220"/>
      <c r="W16" s="220"/>
      <c r="X16" s="220"/>
      <c r="Y16" s="220"/>
      <c r="Z16" s="220"/>
      <c r="AA16" s="220"/>
    </row>
    <row r="17" spans="1:27" ht="12.75" customHeight="1" x14ac:dyDescent="0.25">
      <c r="A17" s="229"/>
      <c r="B17" s="241"/>
      <c r="C17" s="272"/>
      <c r="D17" s="272"/>
      <c r="E17" s="242"/>
      <c r="F17" s="273"/>
      <c r="G17" s="273"/>
      <c r="H17" s="273"/>
      <c r="I17" s="248"/>
      <c r="J17" s="248"/>
      <c r="K17" s="242"/>
      <c r="L17" s="248"/>
      <c r="M17" s="275"/>
      <c r="N17" s="220"/>
      <c r="O17" s="220"/>
      <c r="P17" s="220"/>
      <c r="Q17" s="254"/>
      <c r="R17" s="254"/>
      <c r="S17" s="220"/>
      <c r="T17" s="220"/>
      <c r="U17" s="220"/>
      <c r="V17" s="220"/>
      <c r="W17" s="220"/>
      <c r="X17" s="220"/>
      <c r="Y17" s="220"/>
      <c r="Z17" s="220"/>
      <c r="AA17" s="220"/>
    </row>
    <row r="18" spans="1:27" ht="12.75" customHeight="1" x14ac:dyDescent="0.25">
      <c r="A18" s="229"/>
      <c r="B18" s="241"/>
      <c r="C18" s="272"/>
      <c r="D18" s="272"/>
      <c r="E18" s="242"/>
      <c r="F18" s="273"/>
      <c r="G18" s="273"/>
      <c r="H18" s="273"/>
      <c r="I18" s="248"/>
      <c r="J18" s="248"/>
      <c r="K18" s="242"/>
      <c r="L18" s="248"/>
      <c r="M18" s="275"/>
      <c r="N18" s="220"/>
      <c r="O18" s="220"/>
      <c r="P18" s="220"/>
      <c r="Q18" s="254"/>
      <c r="R18" s="254"/>
      <c r="S18" s="220"/>
      <c r="T18" s="220"/>
      <c r="U18" s="220"/>
      <c r="V18" s="220"/>
      <c r="W18" s="220"/>
      <c r="X18" s="220"/>
      <c r="Y18" s="220"/>
      <c r="Z18" s="220"/>
      <c r="AA18" s="220"/>
    </row>
    <row r="19" spans="1:27" ht="12.75" customHeight="1" x14ac:dyDescent="0.25">
      <c r="A19" s="229"/>
      <c r="B19" s="241"/>
      <c r="C19" s="272"/>
      <c r="D19" s="272"/>
      <c r="E19" s="242"/>
      <c r="F19" s="273"/>
      <c r="G19" s="273"/>
      <c r="H19" s="273"/>
      <c r="I19" s="248"/>
      <c r="J19" s="248"/>
      <c r="K19" s="242"/>
      <c r="L19" s="248"/>
      <c r="M19" s="275"/>
      <c r="N19" s="220"/>
      <c r="O19" s="220"/>
      <c r="P19" s="220"/>
      <c r="Q19" s="254"/>
      <c r="R19" s="254"/>
      <c r="S19" s="220"/>
      <c r="T19" s="220"/>
      <c r="U19" s="220"/>
      <c r="V19" s="220"/>
      <c r="W19" s="220"/>
      <c r="X19" s="220"/>
      <c r="Y19" s="220"/>
      <c r="Z19" s="220"/>
      <c r="AA19" s="220"/>
    </row>
    <row r="20" spans="1:27" ht="12.75" customHeight="1" x14ac:dyDescent="0.25">
      <c r="A20" s="229"/>
      <c r="B20" s="241"/>
      <c r="C20" s="272"/>
      <c r="D20" s="272"/>
      <c r="E20" s="242"/>
      <c r="F20" s="273"/>
      <c r="G20" s="273"/>
      <c r="H20" s="273"/>
      <c r="I20" s="248"/>
      <c r="J20" s="248"/>
      <c r="K20" s="242"/>
      <c r="L20" s="248"/>
      <c r="M20" s="275"/>
      <c r="N20" s="220"/>
      <c r="O20" s="220"/>
      <c r="P20" s="220"/>
      <c r="Q20" s="254"/>
      <c r="R20" s="254"/>
      <c r="S20" s="220"/>
      <c r="T20" s="220"/>
      <c r="U20" s="220"/>
      <c r="V20" s="220"/>
      <c r="W20" s="220"/>
      <c r="X20" s="220"/>
      <c r="Y20" s="220"/>
      <c r="Z20" s="220"/>
      <c r="AA20" s="220"/>
    </row>
    <row r="21" spans="1:27" ht="12.75" customHeight="1" x14ac:dyDescent="0.25">
      <c r="A21" s="229"/>
      <c r="B21" s="241"/>
      <c r="C21" s="272"/>
      <c r="D21" s="272"/>
      <c r="E21" s="242"/>
      <c r="F21" s="273"/>
      <c r="G21" s="273"/>
      <c r="H21" s="273"/>
      <c r="I21" s="248"/>
      <c r="J21" s="248"/>
      <c r="K21" s="242"/>
      <c r="L21" s="248"/>
      <c r="M21" s="275"/>
      <c r="N21" s="220"/>
      <c r="O21" s="220"/>
      <c r="P21" s="220"/>
      <c r="Q21" s="254"/>
      <c r="R21" s="254"/>
      <c r="S21" s="220"/>
      <c r="T21" s="220"/>
      <c r="U21" s="220"/>
      <c r="V21" s="220"/>
      <c r="W21" s="220"/>
      <c r="X21" s="220"/>
      <c r="Y21" s="220"/>
      <c r="Z21" s="220"/>
      <c r="AA21" s="220"/>
    </row>
    <row r="22" spans="1:27" ht="12.75" customHeight="1" x14ac:dyDescent="0.25">
      <c r="A22" s="229"/>
      <c r="B22" s="241"/>
      <c r="C22" s="272"/>
      <c r="D22" s="272"/>
      <c r="E22" s="242"/>
      <c r="F22" s="273"/>
      <c r="G22" s="273"/>
      <c r="H22" s="273"/>
      <c r="I22" s="248"/>
      <c r="J22" s="248"/>
      <c r="K22" s="242"/>
      <c r="L22" s="248"/>
      <c r="M22" s="275"/>
      <c r="N22" s="220"/>
      <c r="O22" s="220"/>
      <c r="P22" s="220"/>
      <c r="Q22" s="254"/>
      <c r="R22" s="254"/>
      <c r="S22" s="220"/>
      <c r="T22" s="220"/>
      <c r="U22" s="220"/>
      <c r="V22" s="220"/>
      <c r="W22" s="220"/>
      <c r="X22" s="220"/>
      <c r="Y22" s="220"/>
      <c r="Z22" s="220"/>
      <c r="AA22" s="220"/>
    </row>
    <row r="23" spans="1:27" ht="12.75" customHeight="1" x14ac:dyDescent="0.25">
      <c r="A23" s="229"/>
      <c r="B23" s="241"/>
      <c r="C23" s="272"/>
      <c r="D23" s="272"/>
      <c r="E23" s="242"/>
      <c r="F23" s="273"/>
      <c r="G23" s="273"/>
      <c r="H23" s="273"/>
      <c r="I23" s="248"/>
      <c r="J23" s="248"/>
      <c r="K23" s="242"/>
      <c r="L23" s="248"/>
      <c r="M23" s="275"/>
      <c r="N23" s="220"/>
      <c r="O23" s="220"/>
      <c r="P23" s="220"/>
      <c r="Q23" s="254"/>
      <c r="R23" s="254"/>
      <c r="S23" s="220"/>
      <c r="T23" s="220"/>
      <c r="U23" s="220"/>
      <c r="V23" s="220"/>
      <c r="W23" s="220"/>
      <c r="X23" s="220"/>
      <c r="Y23" s="220"/>
      <c r="Z23" s="220"/>
      <c r="AA23" s="220"/>
    </row>
    <row r="24" spans="1:27" ht="12.75" customHeight="1" x14ac:dyDescent="0.25">
      <c r="A24" s="229"/>
      <c r="B24" s="241"/>
      <c r="C24" s="272"/>
      <c r="D24" s="272"/>
      <c r="E24" s="242"/>
      <c r="F24" s="273"/>
      <c r="G24" s="273"/>
      <c r="H24" s="273"/>
      <c r="I24" s="248"/>
      <c r="J24" s="248"/>
      <c r="K24" s="242"/>
      <c r="L24" s="248"/>
      <c r="M24" s="275"/>
      <c r="N24" s="220"/>
      <c r="O24" s="220"/>
      <c r="P24" s="220"/>
      <c r="Q24" s="254"/>
      <c r="R24" s="254"/>
      <c r="S24" s="220"/>
      <c r="T24" s="220"/>
      <c r="U24" s="220"/>
      <c r="V24" s="220"/>
      <c r="W24" s="220"/>
      <c r="X24" s="220"/>
      <c r="Y24" s="220"/>
      <c r="Z24" s="220"/>
      <c r="AA24" s="220"/>
    </row>
    <row r="25" spans="1:27" ht="12.75" customHeight="1" x14ac:dyDescent="0.25">
      <c r="A25" s="229"/>
      <c r="B25" s="241"/>
      <c r="C25" s="272"/>
      <c r="D25" s="272"/>
      <c r="E25" s="242"/>
      <c r="F25" s="273"/>
      <c r="G25" s="273"/>
      <c r="H25" s="273"/>
      <c r="I25" s="248"/>
      <c r="J25" s="248"/>
      <c r="K25" s="242"/>
      <c r="L25" s="248"/>
      <c r="M25" s="275"/>
      <c r="N25" s="220"/>
      <c r="O25" s="220"/>
      <c r="P25" s="220"/>
      <c r="Q25" s="254"/>
      <c r="R25" s="254"/>
      <c r="S25" s="220"/>
      <c r="T25" s="220"/>
      <c r="U25" s="220"/>
      <c r="V25" s="220"/>
      <c r="W25" s="220"/>
      <c r="X25" s="220"/>
      <c r="Y25" s="220"/>
      <c r="Z25" s="220"/>
      <c r="AA25" s="220"/>
    </row>
    <row r="26" spans="1:27" ht="12.75" customHeight="1" x14ac:dyDescent="0.25">
      <c r="A26" s="229"/>
      <c r="B26" s="241"/>
      <c r="C26" s="272"/>
      <c r="D26" s="272"/>
      <c r="E26" s="242"/>
      <c r="F26" s="273"/>
      <c r="G26" s="273"/>
      <c r="H26" s="273"/>
      <c r="I26" s="248"/>
      <c r="J26" s="248"/>
      <c r="K26" s="242"/>
      <c r="L26" s="248"/>
      <c r="M26" s="275"/>
      <c r="N26" s="220"/>
      <c r="O26" s="220"/>
      <c r="P26" s="220"/>
      <c r="Q26" s="254"/>
      <c r="R26" s="254"/>
      <c r="S26" s="220"/>
      <c r="T26" s="220"/>
      <c r="U26" s="220"/>
      <c r="V26" s="220"/>
      <c r="W26" s="220"/>
      <c r="X26" s="220"/>
      <c r="Y26" s="220"/>
      <c r="Z26" s="220"/>
      <c r="AA26" s="220"/>
    </row>
    <row r="27" spans="1:27" ht="12.75" customHeight="1" x14ac:dyDescent="0.25">
      <c r="A27" s="229"/>
      <c r="B27" s="241"/>
      <c r="C27" s="272"/>
      <c r="D27" s="272"/>
      <c r="E27" s="242"/>
      <c r="F27" s="273"/>
      <c r="G27" s="273"/>
      <c r="H27" s="273"/>
      <c r="I27" s="248"/>
      <c r="J27" s="248"/>
      <c r="K27" s="242"/>
      <c r="L27" s="248"/>
      <c r="M27" s="275"/>
      <c r="N27" s="220"/>
      <c r="O27" s="220"/>
      <c r="P27" s="220"/>
      <c r="Q27" s="254"/>
      <c r="R27" s="254"/>
      <c r="S27" s="220"/>
      <c r="T27" s="220"/>
      <c r="U27" s="220"/>
      <c r="V27" s="220"/>
      <c r="W27" s="220"/>
      <c r="X27" s="220"/>
      <c r="Y27" s="220"/>
      <c r="Z27" s="220"/>
      <c r="AA27" s="220"/>
    </row>
    <row r="28" spans="1:27" ht="12.75" customHeight="1" x14ac:dyDescent="0.25">
      <c r="A28" s="229"/>
      <c r="B28" s="241"/>
      <c r="C28" s="272"/>
      <c r="D28" s="272"/>
      <c r="E28" s="242"/>
      <c r="F28" s="273"/>
      <c r="G28" s="273"/>
      <c r="H28" s="273"/>
      <c r="I28" s="248"/>
      <c r="J28" s="248"/>
      <c r="K28" s="242"/>
      <c r="L28" s="248"/>
      <c r="M28" s="275"/>
      <c r="N28" s="220"/>
      <c r="O28" s="220"/>
      <c r="P28" s="220"/>
      <c r="Q28" s="254"/>
      <c r="R28" s="254"/>
      <c r="S28" s="220"/>
      <c r="T28" s="220"/>
      <c r="U28" s="220"/>
      <c r="V28" s="220"/>
      <c r="W28" s="220"/>
      <c r="X28" s="220"/>
      <c r="Y28" s="220"/>
      <c r="Z28" s="220"/>
      <c r="AA28" s="220"/>
    </row>
    <row r="29" spans="1:27" ht="12.75" customHeight="1" x14ac:dyDescent="0.25">
      <c r="A29" s="229"/>
      <c r="B29" s="241"/>
      <c r="C29" s="272"/>
      <c r="D29" s="272"/>
      <c r="E29" s="242"/>
      <c r="F29" s="273"/>
      <c r="G29" s="273"/>
      <c r="H29" s="273"/>
      <c r="I29" s="248"/>
      <c r="J29" s="248"/>
      <c r="K29" s="242"/>
      <c r="L29" s="248"/>
      <c r="M29" s="275"/>
      <c r="N29" s="220"/>
      <c r="O29" s="220"/>
      <c r="P29" s="220"/>
      <c r="Q29" s="254"/>
      <c r="R29" s="254"/>
      <c r="S29" s="220"/>
      <c r="T29" s="220"/>
      <c r="U29" s="220"/>
      <c r="V29" s="220"/>
      <c r="W29" s="220"/>
      <c r="X29" s="220"/>
      <c r="Y29" s="220"/>
      <c r="Z29" s="220"/>
      <c r="AA29" s="220"/>
    </row>
    <row r="30" spans="1:27" ht="12.75" customHeight="1" x14ac:dyDescent="0.25">
      <c r="A30" s="229"/>
      <c r="B30" s="241"/>
      <c r="C30" s="272"/>
      <c r="D30" s="272"/>
      <c r="E30" s="242"/>
      <c r="F30" s="273"/>
      <c r="G30" s="273"/>
      <c r="H30" s="273"/>
      <c r="I30" s="248"/>
      <c r="J30" s="248"/>
      <c r="K30" s="242"/>
      <c r="L30" s="248"/>
      <c r="M30" s="275"/>
      <c r="N30" s="220"/>
      <c r="O30" s="220"/>
      <c r="P30" s="220"/>
      <c r="Q30" s="254"/>
      <c r="R30" s="254"/>
      <c r="S30" s="220"/>
      <c r="T30" s="220"/>
      <c r="U30" s="220"/>
      <c r="V30" s="220"/>
      <c r="W30" s="220"/>
      <c r="X30" s="220"/>
      <c r="Y30" s="220"/>
      <c r="Z30" s="220"/>
      <c r="AA30" s="220"/>
    </row>
    <row r="31" spans="1:27" ht="12.75" customHeight="1" x14ac:dyDescent="0.25">
      <c r="A31" s="229"/>
      <c r="B31" s="241"/>
      <c r="C31" s="272"/>
      <c r="D31" s="272"/>
      <c r="E31" s="242"/>
      <c r="F31" s="273"/>
      <c r="G31" s="273"/>
      <c r="H31" s="273"/>
      <c r="I31" s="248"/>
      <c r="J31" s="248"/>
      <c r="K31" s="242"/>
      <c r="L31" s="248"/>
      <c r="M31" s="275"/>
      <c r="N31" s="220"/>
      <c r="O31" s="220"/>
      <c r="P31" s="220"/>
      <c r="Q31" s="254"/>
      <c r="R31" s="254"/>
      <c r="S31" s="220"/>
      <c r="T31" s="220"/>
      <c r="U31" s="220"/>
      <c r="V31" s="220"/>
      <c r="W31" s="220"/>
      <c r="X31" s="220"/>
      <c r="Y31" s="220"/>
      <c r="Z31" s="220"/>
      <c r="AA31" s="220"/>
    </row>
    <row r="32" spans="1:27" ht="12.75" customHeight="1" x14ac:dyDescent="0.25">
      <c r="A32" s="229"/>
      <c r="B32" s="241"/>
      <c r="C32" s="272"/>
      <c r="D32" s="272"/>
      <c r="E32" s="242"/>
      <c r="F32" s="273"/>
      <c r="G32" s="273"/>
      <c r="H32" s="273"/>
      <c r="I32" s="248"/>
      <c r="J32" s="248"/>
      <c r="K32" s="242"/>
      <c r="L32" s="248"/>
      <c r="M32" s="275"/>
      <c r="N32" s="220"/>
      <c r="O32" s="220"/>
      <c r="P32" s="220"/>
      <c r="Q32" s="254"/>
      <c r="R32" s="254"/>
      <c r="S32" s="220"/>
      <c r="T32" s="220"/>
      <c r="U32" s="220"/>
      <c r="V32" s="220"/>
      <c r="W32" s="220"/>
      <c r="X32" s="220"/>
      <c r="Y32" s="220"/>
      <c r="Z32" s="220"/>
      <c r="AA32" s="220"/>
    </row>
    <row r="33" spans="1:27" ht="12.75" customHeight="1" x14ac:dyDescent="0.25">
      <c r="A33" s="229"/>
      <c r="B33" s="241"/>
      <c r="C33" s="272"/>
      <c r="D33" s="272"/>
      <c r="E33" s="242"/>
      <c r="F33" s="273"/>
      <c r="G33" s="273"/>
      <c r="H33" s="273"/>
      <c r="I33" s="248"/>
      <c r="J33" s="248"/>
      <c r="K33" s="242"/>
      <c r="L33" s="248"/>
      <c r="M33" s="275"/>
      <c r="N33" s="220"/>
      <c r="O33" s="220"/>
      <c r="P33" s="220"/>
      <c r="Q33" s="254"/>
      <c r="R33" s="254"/>
      <c r="S33" s="220"/>
      <c r="T33" s="220"/>
      <c r="U33" s="220"/>
      <c r="V33" s="220"/>
      <c r="W33" s="220"/>
      <c r="X33" s="220"/>
      <c r="Y33" s="220"/>
      <c r="Z33" s="220"/>
      <c r="AA33" s="220"/>
    </row>
    <row r="34" spans="1:27" ht="12.75" customHeight="1" x14ac:dyDescent="0.25">
      <c r="A34" s="229"/>
      <c r="B34" s="241"/>
      <c r="C34" s="272"/>
      <c r="D34" s="272"/>
      <c r="E34" s="242"/>
      <c r="F34" s="273"/>
      <c r="G34" s="273"/>
      <c r="H34" s="273"/>
      <c r="I34" s="248"/>
      <c r="J34" s="248"/>
      <c r="K34" s="242"/>
      <c r="L34" s="248"/>
      <c r="M34" s="275"/>
      <c r="N34" s="220"/>
      <c r="O34" s="220"/>
      <c r="P34" s="220"/>
      <c r="Q34" s="254"/>
      <c r="R34" s="254"/>
      <c r="S34" s="220"/>
      <c r="T34" s="220"/>
      <c r="U34" s="220"/>
      <c r="V34" s="220"/>
      <c r="W34" s="220"/>
      <c r="X34" s="220"/>
      <c r="Y34" s="220"/>
      <c r="Z34" s="220"/>
      <c r="AA34" s="220"/>
    </row>
    <row r="35" spans="1:27" ht="12.75" customHeight="1" x14ac:dyDescent="0.25">
      <c r="A35" s="229"/>
      <c r="B35" s="241"/>
      <c r="C35" s="272"/>
      <c r="D35" s="272"/>
      <c r="E35" s="242"/>
      <c r="F35" s="273"/>
      <c r="G35" s="273"/>
      <c r="H35" s="273"/>
      <c r="I35" s="248"/>
      <c r="J35" s="248"/>
      <c r="K35" s="242"/>
      <c r="L35" s="248"/>
      <c r="M35" s="275"/>
      <c r="N35" s="220"/>
      <c r="O35" s="220"/>
      <c r="P35" s="220"/>
      <c r="Q35" s="254"/>
      <c r="R35" s="254"/>
      <c r="S35" s="220"/>
      <c r="T35" s="220"/>
      <c r="U35" s="220"/>
      <c r="V35" s="220"/>
      <c r="W35" s="220"/>
      <c r="X35" s="220"/>
      <c r="Y35" s="220"/>
      <c r="Z35" s="220"/>
      <c r="AA35" s="220"/>
    </row>
    <row r="36" spans="1:27" ht="12.75" customHeight="1" x14ac:dyDescent="0.25">
      <c r="A36" s="229"/>
      <c r="B36" s="241"/>
      <c r="C36" s="272"/>
      <c r="D36" s="272"/>
      <c r="E36" s="242"/>
      <c r="F36" s="273"/>
      <c r="G36" s="273"/>
      <c r="H36" s="273"/>
      <c r="I36" s="248"/>
      <c r="J36" s="248"/>
      <c r="K36" s="242"/>
      <c r="L36" s="248"/>
      <c r="M36" s="275"/>
      <c r="N36" s="220"/>
      <c r="O36" s="220"/>
      <c r="P36" s="220"/>
      <c r="Q36" s="254"/>
      <c r="R36" s="254"/>
      <c r="S36" s="220"/>
      <c r="T36" s="220"/>
      <c r="U36" s="220"/>
      <c r="V36" s="220"/>
      <c r="W36" s="220"/>
      <c r="X36" s="220"/>
      <c r="Y36" s="220"/>
      <c r="Z36" s="220"/>
      <c r="AA36" s="220"/>
    </row>
    <row r="37" spans="1:27" ht="12.75" customHeight="1" x14ac:dyDescent="0.25">
      <c r="A37" s="229"/>
      <c r="B37" s="241"/>
      <c r="C37" s="272"/>
      <c r="D37" s="272"/>
      <c r="E37" s="242"/>
      <c r="F37" s="273"/>
      <c r="G37" s="273"/>
      <c r="H37" s="273"/>
      <c r="I37" s="248"/>
      <c r="J37" s="248"/>
      <c r="K37" s="242"/>
      <c r="L37" s="248"/>
      <c r="M37" s="275"/>
      <c r="N37" s="220"/>
      <c r="O37" s="220"/>
      <c r="P37" s="220"/>
      <c r="Q37" s="254"/>
      <c r="R37" s="254"/>
      <c r="S37" s="220"/>
      <c r="T37" s="220"/>
      <c r="U37" s="220"/>
      <c r="V37" s="220"/>
      <c r="W37" s="220"/>
      <c r="X37" s="220"/>
      <c r="Y37" s="220"/>
      <c r="Z37" s="220"/>
      <c r="AA37" s="220"/>
    </row>
    <row r="38" spans="1:27" ht="12.75" customHeight="1" x14ac:dyDescent="0.25">
      <c r="A38" s="229"/>
      <c r="B38" s="229"/>
      <c r="C38" s="220"/>
      <c r="D38" s="220"/>
      <c r="E38" s="242"/>
      <c r="F38" s="254"/>
      <c r="G38" s="254"/>
      <c r="H38" s="254"/>
      <c r="I38" s="246"/>
      <c r="J38" s="254"/>
      <c r="K38" s="237"/>
      <c r="L38" s="246"/>
      <c r="M38" s="237"/>
      <c r="N38" s="220"/>
      <c r="O38" s="220"/>
      <c r="P38" s="220"/>
      <c r="Q38" s="254"/>
      <c r="R38" s="254"/>
      <c r="S38" s="220"/>
      <c r="T38" s="220"/>
      <c r="U38" s="220"/>
      <c r="V38" s="220"/>
      <c r="W38" s="220"/>
      <c r="X38" s="220"/>
      <c r="Y38" s="220"/>
      <c r="Z38" s="220"/>
      <c r="AA38" s="220"/>
    </row>
    <row r="39" spans="1:27" ht="12.75" customHeight="1" x14ac:dyDescent="0.25">
      <c r="A39" s="229"/>
      <c r="B39" s="229"/>
      <c r="C39" s="220"/>
      <c r="D39" s="220"/>
      <c r="E39" s="242"/>
      <c r="F39" s="254"/>
      <c r="G39" s="254"/>
      <c r="H39" s="254"/>
      <c r="I39" s="246"/>
      <c r="J39" s="254"/>
      <c r="K39" s="237"/>
      <c r="L39" s="246"/>
      <c r="M39" s="237"/>
      <c r="N39" s="220"/>
      <c r="O39" s="220"/>
      <c r="P39" s="220"/>
      <c r="Q39" s="254"/>
      <c r="R39" s="254"/>
      <c r="S39" s="220"/>
      <c r="T39" s="220"/>
      <c r="U39" s="220"/>
      <c r="V39" s="220"/>
      <c r="W39" s="220"/>
      <c r="X39" s="220"/>
      <c r="Y39" s="220"/>
      <c r="Z39" s="220"/>
      <c r="AA39" s="220"/>
    </row>
    <row r="40" spans="1:27" ht="12.75" customHeight="1" x14ac:dyDescent="0.25">
      <c r="A40" s="229"/>
      <c r="B40" s="229"/>
      <c r="C40" s="220"/>
      <c r="D40" s="220"/>
      <c r="E40" s="242"/>
      <c r="F40" s="254"/>
      <c r="G40" s="254"/>
      <c r="H40" s="254"/>
      <c r="I40" s="246"/>
      <c r="J40" s="254"/>
      <c r="K40" s="237"/>
      <c r="L40" s="246"/>
      <c r="M40" s="237"/>
      <c r="N40" s="220"/>
      <c r="O40" s="220"/>
      <c r="P40" s="220"/>
      <c r="Q40" s="254"/>
      <c r="R40" s="254"/>
      <c r="S40" s="220"/>
      <c r="T40" s="220"/>
      <c r="U40" s="220"/>
      <c r="V40" s="220"/>
      <c r="W40" s="220"/>
      <c r="X40" s="220"/>
      <c r="Y40" s="220"/>
      <c r="Z40" s="220"/>
      <c r="AA40" s="220"/>
    </row>
    <row r="41" spans="1:27" ht="12.75" customHeight="1" x14ac:dyDescent="0.25">
      <c r="A41" s="229"/>
      <c r="B41" s="229"/>
      <c r="C41" s="220"/>
      <c r="D41" s="220"/>
      <c r="E41" s="242"/>
      <c r="F41" s="254"/>
      <c r="G41" s="254"/>
      <c r="H41" s="254"/>
      <c r="I41" s="246"/>
      <c r="J41" s="254"/>
      <c r="K41" s="237"/>
      <c r="L41" s="246"/>
      <c r="M41" s="237"/>
      <c r="N41" s="220"/>
      <c r="O41" s="220"/>
      <c r="P41" s="220"/>
      <c r="Q41" s="254"/>
      <c r="R41" s="254"/>
      <c r="S41" s="220"/>
      <c r="T41" s="220"/>
      <c r="U41" s="220"/>
      <c r="V41" s="220"/>
      <c r="W41" s="220"/>
      <c r="X41" s="220"/>
      <c r="Y41" s="220"/>
      <c r="Z41" s="220"/>
      <c r="AA41" s="220"/>
    </row>
    <row r="42" spans="1:27" ht="12.75" customHeight="1" x14ac:dyDescent="0.25">
      <c r="A42" s="229"/>
      <c r="B42" s="229"/>
      <c r="C42" s="220"/>
      <c r="D42" s="220"/>
      <c r="E42" s="242"/>
      <c r="F42" s="254"/>
      <c r="G42" s="254"/>
      <c r="H42" s="254"/>
      <c r="I42" s="246"/>
      <c r="J42" s="254"/>
      <c r="K42" s="237"/>
      <c r="L42" s="246"/>
      <c r="M42" s="237"/>
      <c r="N42" s="220"/>
      <c r="O42" s="220"/>
      <c r="P42" s="220"/>
      <c r="Q42" s="254"/>
      <c r="R42" s="254"/>
      <c r="S42" s="220"/>
      <c r="T42" s="220"/>
      <c r="U42" s="220"/>
      <c r="V42" s="220"/>
      <c r="W42" s="220"/>
      <c r="X42" s="220"/>
      <c r="Y42" s="220"/>
      <c r="Z42" s="220"/>
      <c r="AA42" s="220"/>
    </row>
    <row r="43" spans="1:27" ht="12.75" customHeight="1" x14ac:dyDescent="0.25">
      <c r="A43" s="229"/>
      <c r="B43" s="229"/>
      <c r="C43" s="220"/>
      <c r="D43" s="220"/>
      <c r="E43" s="242"/>
      <c r="F43" s="254"/>
      <c r="G43" s="254"/>
      <c r="H43" s="254"/>
      <c r="I43" s="246"/>
      <c r="J43" s="254"/>
      <c r="K43" s="237"/>
      <c r="L43" s="246"/>
      <c r="M43" s="237"/>
      <c r="N43" s="220"/>
      <c r="O43" s="220"/>
      <c r="P43" s="220"/>
      <c r="Q43" s="254"/>
      <c r="R43" s="254"/>
      <c r="S43" s="220"/>
      <c r="T43" s="220"/>
      <c r="U43" s="220"/>
      <c r="V43" s="220"/>
      <c r="W43" s="220"/>
      <c r="X43" s="220"/>
      <c r="Y43" s="220"/>
      <c r="Z43" s="220"/>
      <c r="AA43" s="220"/>
    </row>
    <row r="44" spans="1:27" ht="12.75" customHeight="1" x14ac:dyDescent="0.25">
      <c r="A44" s="229"/>
      <c r="B44" s="229"/>
      <c r="C44" s="220"/>
      <c r="D44" s="220"/>
      <c r="E44" s="242"/>
      <c r="F44" s="254"/>
      <c r="G44" s="254"/>
      <c r="H44" s="254"/>
      <c r="I44" s="246"/>
      <c r="J44" s="254"/>
      <c r="K44" s="237"/>
      <c r="L44" s="246"/>
      <c r="M44" s="237"/>
      <c r="N44" s="220"/>
      <c r="O44" s="220"/>
      <c r="P44" s="220"/>
      <c r="Q44" s="254"/>
      <c r="R44" s="254"/>
      <c r="S44" s="220"/>
      <c r="T44" s="220"/>
      <c r="U44" s="220"/>
      <c r="V44" s="220"/>
      <c r="W44" s="220"/>
      <c r="X44" s="220"/>
      <c r="Y44" s="220"/>
      <c r="Z44" s="220"/>
      <c r="AA44" s="220"/>
    </row>
    <row r="45" spans="1:27" ht="12.75" customHeight="1" x14ac:dyDescent="0.25">
      <c r="A45" s="229"/>
      <c r="B45" s="229"/>
      <c r="C45" s="220"/>
      <c r="D45" s="220"/>
      <c r="E45" s="242"/>
      <c r="F45" s="254"/>
      <c r="G45" s="254"/>
      <c r="H45" s="254"/>
      <c r="I45" s="246"/>
      <c r="J45" s="254"/>
      <c r="K45" s="237"/>
      <c r="L45" s="246"/>
      <c r="M45" s="237"/>
      <c r="N45" s="220"/>
      <c r="O45" s="220"/>
      <c r="P45" s="220"/>
      <c r="Q45" s="254"/>
      <c r="R45" s="254"/>
      <c r="S45" s="220"/>
      <c r="T45" s="220"/>
      <c r="U45" s="220"/>
      <c r="V45" s="220"/>
      <c r="W45" s="220"/>
      <c r="X45" s="220"/>
      <c r="Y45" s="220"/>
      <c r="Z45" s="220"/>
      <c r="AA45" s="220"/>
    </row>
    <row r="46" spans="1:27" ht="12.75" customHeight="1" x14ac:dyDescent="0.25">
      <c r="A46" s="229"/>
      <c r="B46" s="229"/>
      <c r="C46" s="220"/>
      <c r="D46" s="220"/>
      <c r="E46" s="242"/>
      <c r="F46" s="254"/>
      <c r="G46" s="254"/>
      <c r="H46" s="254"/>
      <c r="I46" s="246"/>
      <c r="J46" s="254"/>
      <c r="K46" s="237"/>
      <c r="L46" s="246"/>
      <c r="M46" s="237"/>
      <c r="N46" s="220"/>
      <c r="O46" s="220"/>
      <c r="P46" s="220"/>
      <c r="Q46" s="254"/>
      <c r="R46" s="254"/>
      <c r="S46" s="220"/>
      <c r="T46" s="220"/>
      <c r="U46" s="220"/>
      <c r="V46" s="220"/>
      <c r="W46" s="220"/>
      <c r="X46" s="220"/>
      <c r="Y46" s="220"/>
      <c r="Z46" s="220"/>
      <c r="AA46" s="220"/>
    </row>
    <row r="47" spans="1:27" ht="12.75" customHeight="1" x14ac:dyDescent="0.25">
      <c r="A47" s="229"/>
      <c r="B47" s="229"/>
      <c r="C47" s="220"/>
      <c r="D47" s="220"/>
      <c r="E47" s="242"/>
      <c r="F47" s="254"/>
      <c r="G47" s="254"/>
      <c r="H47" s="254"/>
      <c r="I47" s="246"/>
      <c r="J47" s="254"/>
      <c r="K47" s="237"/>
      <c r="L47" s="246"/>
      <c r="M47" s="237"/>
      <c r="N47" s="220"/>
      <c r="O47" s="220"/>
      <c r="P47" s="220"/>
      <c r="Q47" s="254"/>
      <c r="R47" s="254"/>
      <c r="S47" s="220"/>
      <c r="T47" s="220"/>
      <c r="U47" s="220"/>
      <c r="V47" s="220"/>
      <c r="W47" s="220"/>
      <c r="X47" s="220"/>
      <c r="Y47" s="220"/>
      <c r="Z47" s="220"/>
      <c r="AA47" s="220"/>
    </row>
    <row r="48" spans="1:27" ht="12.75" customHeight="1" x14ac:dyDescent="0.25">
      <c r="A48" s="229"/>
      <c r="B48" s="229"/>
      <c r="C48" s="220"/>
      <c r="D48" s="220"/>
      <c r="E48" s="242"/>
      <c r="F48" s="254"/>
      <c r="G48" s="254"/>
      <c r="H48" s="254"/>
      <c r="I48" s="246"/>
      <c r="J48" s="254"/>
      <c r="K48" s="237"/>
      <c r="L48" s="246"/>
      <c r="M48" s="237"/>
      <c r="N48" s="220"/>
      <c r="O48" s="220"/>
      <c r="P48" s="220"/>
      <c r="Q48" s="254"/>
      <c r="R48" s="254"/>
      <c r="S48" s="220"/>
      <c r="T48" s="220"/>
      <c r="U48" s="220"/>
      <c r="V48" s="220"/>
      <c r="W48" s="220"/>
      <c r="X48" s="220"/>
      <c r="Y48" s="220"/>
      <c r="Z48" s="220"/>
      <c r="AA48" s="220"/>
    </row>
    <row r="49" spans="1:27" ht="12.75" customHeight="1" x14ac:dyDescent="0.25">
      <c r="A49" s="229"/>
      <c r="B49" s="229"/>
      <c r="C49" s="220"/>
      <c r="D49" s="220"/>
      <c r="E49" s="242"/>
      <c r="F49" s="254"/>
      <c r="G49" s="254"/>
      <c r="H49" s="254"/>
      <c r="I49" s="246"/>
      <c r="J49" s="254"/>
      <c r="K49" s="237"/>
      <c r="L49" s="246"/>
      <c r="M49" s="237"/>
      <c r="N49" s="220"/>
      <c r="O49" s="220"/>
      <c r="P49" s="220"/>
      <c r="Q49" s="254"/>
      <c r="R49" s="254"/>
      <c r="S49" s="220"/>
      <c r="T49" s="220"/>
      <c r="U49" s="220"/>
      <c r="V49" s="220"/>
      <c r="W49" s="220"/>
      <c r="X49" s="220"/>
      <c r="Y49" s="220"/>
      <c r="Z49" s="220"/>
      <c r="AA49" s="220"/>
    </row>
    <row r="50" spans="1:27" ht="12.75" customHeight="1" x14ac:dyDescent="0.25">
      <c r="A50" s="229"/>
      <c r="B50" s="229"/>
      <c r="C50" s="220"/>
      <c r="D50" s="220"/>
      <c r="E50" s="242"/>
      <c r="F50" s="254"/>
      <c r="G50" s="254"/>
      <c r="H50" s="254"/>
      <c r="I50" s="246"/>
      <c r="J50" s="254"/>
      <c r="K50" s="237"/>
      <c r="L50" s="246"/>
      <c r="M50" s="237"/>
      <c r="N50" s="220"/>
      <c r="O50" s="220"/>
      <c r="P50" s="220"/>
      <c r="Q50" s="254"/>
      <c r="R50" s="254"/>
      <c r="S50" s="220"/>
      <c r="T50" s="220"/>
      <c r="U50" s="220"/>
      <c r="V50" s="220"/>
      <c r="W50" s="220"/>
      <c r="X50" s="220"/>
      <c r="Y50" s="220"/>
      <c r="Z50" s="220"/>
      <c r="AA50" s="220"/>
    </row>
    <row r="51" spans="1:27" ht="12.75" customHeight="1" x14ac:dyDescent="0.25">
      <c r="A51" s="229"/>
      <c r="B51" s="229"/>
      <c r="C51" s="220"/>
      <c r="D51" s="220"/>
      <c r="E51" s="242"/>
      <c r="F51" s="254"/>
      <c r="G51" s="254"/>
      <c r="H51" s="254"/>
      <c r="I51" s="246"/>
      <c r="J51" s="254"/>
      <c r="K51" s="237"/>
      <c r="L51" s="246"/>
      <c r="M51" s="237"/>
      <c r="N51" s="220"/>
      <c r="O51" s="220"/>
      <c r="P51" s="220"/>
      <c r="Q51" s="254"/>
      <c r="R51" s="254"/>
      <c r="S51" s="220"/>
      <c r="T51" s="220"/>
      <c r="U51" s="220"/>
      <c r="V51" s="220"/>
      <c r="W51" s="220"/>
      <c r="X51" s="220"/>
      <c r="Y51" s="220"/>
      <c r="Z51" s="220"/>
      <c r="AA51" s="220"/>
    </row>
    <row r="52" spans="1:27" ht="12.75" customHeight="1" x14ac:dyDescent="0.25">
      <c r="A52" s="229"/>
      <c r="B52" s="229"/>
      <c r="C52" s="220"/>
      <c r="D52" s="220"/>
      <c r="E52" s="242"/>
      <c r="F52" s="254"/>
      <c r="G52" s="254"/>
      <c r="H52" s="254"/>
      <c r="I52" s="246"/>
      <c r="J52" s="254"/>
      <c r="K52" s="237"/>
      <c r="L52" s="246"/>
      <c r="M52" s="237"/>
      <c r="N52" s="220"/>
      <c r="O52" s="220"/>
      <c r="P52" s="220"/>
      <c r="Q52" s="254"/>
      <c r="R52" s="254"/>
      <c r="S52" s="220"/>
      <c r="T52" s="220"/>
      <c r="U52" s="220"/>
      <c r="V52" s="220"/>
      <c r="W52" s="220"/>
      <c r="X52" s="220"/>
      <c r="Y52" s="220"/>
      <c r="Z52" s="220"/>
      <c r="AA52" s="220"/>
    </row>
    <row r="53" spans="1:27" ht="12.75" customHeight="1" x14ac:dyDescent="0.25">
      <c r="A53" s="229"/>
      <c r="B53" s="229"/>
      <c r="C53" s="220"/>
      <c r="D53" s="220"/>
      <c r="E53" s="242"/>
      <c r="F53" s="254"/>
      <c r="G53" s="254"/>
      <c r="H53" s="254"/>
      <c r="I53" s="246"/>
      <c r="J53" s="254"/>
      <c r="K53" s="237"/>
      <c r="L53" s="246"/>
      <c r="M53" s="237"/>
      <c r="N53" s="220"/>
      <c r="O53" s="220"/>
      <c r="P53" s="220"/>
      <c r="Q53" s="254"/>
      <c r="R53" s="254"/>
      <c r="S53" s="220"/>
      <c r="T53" s="220"/>
      <c r="U53" s="220"/>
      <c r="V53" s="220"/>
      <c r="W53" s="220"/>
      <c r="X53" s="220"/>
      <c r="Y53" s="220"/>
      <c r="Z53" s="220"/>
      <c r="AA53" s="220"/>
    </row>
    <row r="54" spans="1:27" ht="12.75" customHeight="1" x14ac:dyDescent="0.25">
      <c r="A54" s="229"/>
      <c r="B54" s="229"/>
      <c r="C54" s="220"/>
      <c r="D54" s="220"/>
      <c r="E54" s="242"/>
      <c r="F54" s="254"/>
      <c r="G54" s="254"/>
      <c r="H54" s="254"/>
      <c r="I54" s="246"/>
      <c r="J54" s="254"/>
      <c r="K54" s="237"/>
      <c r="L54" s="246"/>
      <c r="M54" s="237"/>
      <c r="N54" s="220"/>
      <c r="O54" s="220"/>
      <c r="P54" s="220"/>
      <c r="Q54" s="254"/>
      <c r="R54" s="254"/>
      <c r="S54" s="220"/>
      <c r="T54" s="220"/>
      <c r="U54" s="220"/>
      <c r="V54" s="220"/>
      <c r="W54" s="220"/>
      <c r="X54" s="220"/>
      <c r="Y54" s="220"/>
      <c r="Z54" s="220"/>
      <c r="AA54" s="220"/>
    </row>
    <row r="55" spans="1:27" ht="12.75" customHeight="1" x14ac:dyDescent="0.25">
      <c r="A55" s="229"/>
      <c r="B55" s="229"/>
      <c r="C55" s="220"/>
      <c r="D55" s="220"/>
      <c r="E55" s="242"/>
      <c r="F55" s="254"/>
      <c r="G55" s="254"/>
      <c r="H55" s="254"/>
      <c r="I55" s="246"/>
      <c r="J55" s="254"/>
      <c r="K55" s="237"/>
      <c r="L55" s="246"/>
      <c r="M55" s="237"/>
      <c r="N55" s="220"/>
      <c r="O55" s="220"/>
      <c r="P55" s="220"/>
      <c r="Q55" s="254"/>
      <c r="R55" s="254"/>
      <c r="S55" s="220"/>
      <c r="T55" s="220"/>
      <c r="U55" s="220"/>
      <c r="V55" s="220"/>
      <c r="W55" s="220"/>
      <c r="X55" s="220"/>
      <c r="Y55" s="220"/>
      <c r="Z55" s="220"/>
      <c r="AA55" s="220"/>
    </row>
    <row r="56" spans="1:27" ht="12.75" customHeight="1" x14ac:dyDescent="0.25">
      <c r="A56" s="229"/>
      <c r="B56" s="229"/>
      <c r="C56" s="220"/>
      <c r="D56" s="220"/>
      <c r="E56" s="242"/>
      <c r="F56" s="254"/>
      <c r="G56" s="254"/>
      <c r="H56" s="254"/>
      <c r="I56" s="246"/>
      <c r="J56" s="254"/>
      <c r="K56" s="237"/>
      <c r="L56" s="246"/>
      <c r="M56" s="237"/>
      <c r="N56" s="220"/>
      <c r="O56" s="220"/>
      <c r="P56" s="220"/>
      <c r="Q56" s="254"/>
      <c r="R56" s="254"/>
      <c r="S56" s="220"/>
      <c r="T56" s="220"/>
      <c r="U56" s="220"/>
      <c r="V56" s="220"/>
      <c r="W56" s="220"/>
      <c r="X56" s="220"/>
      <c r="Y56" s="220"/>
      <c r="Z56" s="220"/>
      <c r="AA56" s="220"/>
    </row>
    <row r="57" spans="1:27" ht="12.75" customHeight="1" x14ac:dyDescent="0.25">
      <c r="A57" s="229"/>
      <c r="B57" s="229"/>
      <c r="C57" s="220"/>
      <c r="D57" s="220"/>
      <c r="E57" s="242"/>
      <c r="F57" s="254"/>
      <c r="G57" s="254"/>
      <c r="H57" s="254"/>
      <c r="I57" s="246"/>
      <c r="J57" s="254"/>
      <c r="K57" s="237"/>
      <c r="L57" s="246"/>
      <c r="M57" s="237"/>
      <c r="N57" s="220"/>
      <c r="O57" s="220"/>
      <c r="P57" s="220"/>
      <c r="Q57" s="254"/>
      <c r="R57" s="254"/>
      <c r="S57" s="220"/>
      <c r="T57" s="220"/>
      <c r="U57" s="220"/>
      <c r="V57" s="220"/>
      <c r="W57" s="220"/>
      <c r="X57" s="220"/>
      <c r="Y57" s="220"/>
      <c r="Z57" s="220"/>
      <c r="AA57" s="220"/>
    </row>
    <row r="58" spans="1:27" ht="12.75" customHeight="1" x14ac:dyDescent="0.25">
      <c r="A58" s="229"/>
      <c r="B58" s="229"/>
      <c r="C58" s="220"/>
      <c r="D58" s="220"/>
      <c r="E58" s="242"/>
      <c r="F58" s="254"/>
      <c r="G58" s="254"/>
      <c r="H58" s="254"/>
      <c r="I58" s="246"/>
      <c r="J58" s="254"/>
      <c r="K58" s="237"/>
      <c r="L58" s="246"/>
      <c r="M58" s="237"/>
      <c r="N58" s="220"/>
      <c r="O58" s="220"/>
      <c r="P58" s="220"/>
      <c r="Q58" s="254"/>
      <c r="R58" s="254"/>
      <c r="S58" s="220"/>
      <c r="T58" s="220"/>
      <c r="U58" s="220"/>
      <c r="V58" s="220"/>
      <c r="W58" s="220"/>
      <c r="X58" s="220"/>
      <c r="Y58" s="220"/>
      <c r="Z58" s="220"/>
      <c r="AA58" s="220"/>
    </row>
    <row r="59" spans="1:27" ht="12.75" customHeight="1" x14ac:dyDescent="0.25">
      <c r="A59" s="229"/>
      <c r="B59" s="229"/>
      <c r="C59" s="220"/>
      <c r="D59" s="220"/>
      <c r="E59" s="242"/>
      <c r="F59" s="254"/>
      <c r="G59" s="254"/>
      <c r="H59" s="254"/>
      <c r="I59" s="246"/>
      <c r="J59" s="254"/>
      <c r="K59" s="237"/>
      <c r="L59" s="246"/>
      <c r="M59" s="237"/>
      <c r="N59" s="220"/>
      <c r="O59" s="220"/>
      <c r="P59" s="220"/>
      <c r="Q59" s="254"/>
      <c r="R59" s="254"/>
      <c r="S59" s="220"/>
      <c r="T59" s="220"/>
      <c r="U59" s="220"/>
      <c r="V59" s="220"/>
      <c r="W59" s="220"/>
      <c r="X59" s="220"/>
      <c r="Y59" s="220"/>
      <c r="Z59" s="220"/>
      <c r="AA59" s="220"/>
    </row>
    <row r="60" spans="1:27" ht="12.75" customHeight="1" x14ac:dyDescent="0.25">
      <c r="A60" s="229"/>
      <c r="B60" s="229"/>
      <c r="C60" s="220"/>
      <c r="D60" s="220"/>
      <c r="E60" s="242"/>
      <c r="F60" s="254"/>
      <c r="G60" s="254"/>
      <c r="H60" s="254"/>
      <c r="I60" s="246"/>
      <c r="J60" s="254"/>
      <c r="K60" s="237"/>
      <c r="L60" s="246"/>
      <c r="M60" s="237"/>
      <c r="N60" s="220"/>
      <c r="O60" s="220"/>
      <c r="P60" s="220"/>
      <c r="Q60" s="254"/>
      <c r="R60" s="254"/>
      <c r="S60" s="220"/>
      <c r="T60" s="220"/>
      <c r="U60" s="220"/>
      <c r="V60" s="220"/>
      <c r="W60" s="220"/>
      <c r="X60" s="220"/>
      <c r="Y60" s="220"/>
      <c r="Z60" s="220"/>
      <c r="AA60" s="220"/>
    </row>
    <row r="61" spans="1:27" ht="12.75" customHeight="1" x14ac:dyDescent="0.25">
      <c r="A61" s="229"/>
      <c r="B61" s="229"/>
      <c r="C61" s="220"/>
      <c r="D61" s="220"/>
      <c r="E61" s="242"/>
      <c r="F61" s="254"/>
      <c r="G61" s="254"/>
      <c r="H61" s="254"/>
      <c r="I61" s="246"/>
      <c r="J61" s="254"/>
      <c r="K61" s="237"/>
      <c r="L61" s="246"/>
      <c r="M61" s="237"/>
      <c r="N61" s="220"/>
      <c r="O61" s="220"/>
      <c r="P61" s="220"/>
      <c r="Q61" s="254"/>
      <c r="R61" s="254"/>
      <c r="S61" s="220"/>
      <c r="T61" s="220"/>
      <c r="U61" s="220"/>
      <c r="V61" s="220"/>
      <c r="W61" s="220"/>
      <c r="X61" s="220"/>
      <c r="Y61" s="220"/>
      <c r="Z61" s="220"/>
      <c r="AA61" s="220"/>
    </row>
    <row r="62" spans="1:27" ht="12.75" customHeight="1" x14ac:dyDescent="0.25">
      <c r="A62" s="229"/>
      <c r="B62" s="229"/>
      <c r="C62" s="220"/>
      <c r="D62" s="220"/>
      <c r="E62" s="242"/>
      <c r="F62" s="254"/>
      <c r="G62" s="254"/>
      <c r="H62" s="254"/>
      <c r="I62" s="246"/>
      <c r="J62" s="254"/>
      <c r="K62" s="237"/>
      <c r="L62" s="246"/>
      <c r="M62" s="237"/>
      <c r="N62" s="220"/>
      <c r="O62" s="220"/>
      <c r="P62" s="220"/>
      <c r="Q62" s="254"/>
      <c r="R62" s="254"/>
      <c r="S62" s="220"/>
      <c r="T62" s="220"/>
      <c r="U62" s="220"/>
      <c r="V62" s="220"/>
      <c r="W62" s="220"/>
      <c r="X62" s="220"/>
      <c r="Y62" s="220"/>
      <c r="Z62" s="220"/>
      <c r="AA62" s="220"/>
    </row>
    <row r="63" spans="1:27" ht="12.75" customHeight="1" x14ac:dyDescent="0.25">
      <c r="A63" s="229"/>
      <c r="B63" s="229"/>
      <c r="C63" s="220"/>
      <c r="D63" s="220"/>
      <c r="E63" s="242"/>
      <c r="F63" s="254"/>
      <c r="G63" s="254"/>
      <c r="H63" s="254"/>
      <c r="I63" s="246"/>
      <c r="J63" s="254"/>
      <c r="K63" s="237"/>
      <c r="L63" s="246"/>
      <c r="M63" s="237"/>
      <c r="N63" s="220"/>
      <c r="O63" s="220"/>
      <c r="P63" s="220"/>
      <c r="Q63" s="254"/>
      <c r="R63" s="254"/>
      <c r="S63" s="220"/>
      <c r="T63" s="220"/>
      <c r="U63" s="220"/>
      <c r="V63" s="220"/>
      <c r="W63" s="220"/>
      <c r="X63" s="220"/>
      <c r="Y63" s="220"/>
      <c r="Z63" s="220"/>
      <c r="AA63" s="220"/>
    </row>
    <row r="64" spans="1:27" ht="12.75" customHeight="1" x14ac:dyDescent="0.25">
      <c r="A64" s="229"/>
      <c r="B64" s="229"/>
      <c r="C64" s="220"/>
      <c r="D64" s="220"/>
      <c r="E64" s="242"/>
      <c r="F64" s="254"/>
      <c r="G64" s="254"/>
      <c r="H64" s="254"/>
      <c r="I64" s="246"/>
      <c r="J64" s="254"/>
      <c r="K64" s="237"/>
      <c r="L64" s="246"/>
      <c r="M64" s="237"/>
      <c r="N64" s="220"/>
      <c r="O64" s="220"/>
      <c r="P64" s="220"/>
      <c r="Q64" s="254"/>
      <c r="R64" s="254"/>
      <c r="S64" s="220"/>
      <c r="T64" s="220"/>
      <c r="U64" s="220"/>
      <c r="V64" s="220"/>
      <c r="W64" s="220"/>
      <c r="X64" s="220"/>
      <c r="Y64" s="220"/>
      <c r="Z64" s="220"/>
      <c r="AA64" s="220"/>
    </row>
    <row r="65" spans="1:27" ht="12.75" customHeight="1" x14ac:dyDescent="0.25">
      <c r="A65" s="229"/>
      <c r="B65" s="229"/>
      <c r="C65" s="220"/>
      <c r="D65" s="220"/>
      <c r="E65" s="242"/>
      <c r="F65" s="254"/>
      <c r="G65" s="254"/>
      <c r="H65" s="254"/>
      <c r="I65" s="246"/>
      <c r="J65" s="254"/>
      <c r="K65" s="237"/>
      <c r="L65" s="246"/>
      <c r="M65" s="237"/>
      <c r="N65" s="220"/>
      <c r="O65" s="220"/>
      <c r="P65" s="220"/>
      <c r="Q65" s="254"/>
      <c r="R65" s="254"/>
      <c r="S65" s="220"/>
      <c r="T65" s="220"/>
      <c r="U65" s="220"/>
      <c r="V65" s="220"/>
      <c r="W65" s="220"/>
      <c r="X65" s="220"/>
      <c r="Y65" s="220"/>
      <c r="Z65" s="220"/>
      <c r="AA65" s="220"/>
    </row>
    <row r="66" spans="1:27" ht="12.75" customHeight="1" x14ac:dyDescent="0.25">
      <c r="A66" s="229"/>
      <c r="B66" s="229"/>
      <c r="C66" s="220"/>
      <c r="D66" s="220"/>
      <c r="E66" s="242"/>
      <c r="F66" s="254"/>
      <c r="G66" s="254"/>
      <c r="H66" s="254"/>
      <c r="I66" s="246"/>
      <c r="J66" s="254"/>
      <c r="K66" s="237"/>
      <c r="L66" s="246"/>
      <c r="M66" s="237"/>
      <c r="N66" s="220"/>
      <c r="O66" s="220"/>
      <c r="P66" s="220"/>
      <c r="Q66" s="254"/>
      <c r="R66" s="254"/>
      <c r="S66" s="220"/>
      <c r="T66" s="220"/>
      <c r="U66" s="220"/>
      <c r="V66" s="220"/>
      <c r="W66" s="220"/>
      <c r="X66" s="220"/>
      <c r="Y66" s="220"/>
      <c r="Z66" s="220"/>
      <c r="AA66" s="220"/>
    </row>
    <row r="67" spans="1:27" ht="12.75" customHeight="1" x14ac:dyDescent="0.25">
      <c r="A67" s="229"/>
      <c r="B67" s="229"/>
      <c r="C67" s="220"/>
      <c r="D67" s="220"/>
      <c r="E67" s="242"/>
      <c r="F67" s="254"/>
      <c r="G67" s="254"/>
      <c r="H67" s="254"/>
      <c r="I67" s="246"/>
      <c r="J67" s="254"/>
      <c r="K67" s="237"/>
      <c r="L67" s="246"/>
      <c r="M67" s="237"/>
      <c r="N67" s="220"/>
      <c r="O67" s="220"/>
      <c r="P67" s="220"/>
      <c r="Q67" s="254"/>
      <c r="R67" s="254"/>
      <c r="S67" s="220"/>
      <c r="T67" s="220"/>
      <c r="U67" s="220"/>
      <c r="V67" s="220"/>
      <c r="W67" s="220"/>
      <c r="X67" s="220"/>
      <c r="Y67" s="220"/>
      <c r="Z67" s="220"/>
      <c r="AA67" s="220"/>
    </row>
    <row r="68" spans="1:27" ht="12.75" customHeight="1" x14ac:dyDescent="0.25">
      <c r="A68" s="229"/>
      <c r="B68" s="229"/>
      <c r="C68" s="220"/>
      <c r="D68" s="220"/>
      <c r="E68" s="242"/>
      <c r="F68" s="254"/>
      <c r="G68" s="254"/>
      <c r="H68" s="254"/>
      <c r="I68" s="246"/>
      <c r="J68" s="254"/>
      <c r="K68" s="237"/>
      <c r="L68" s="246"/>
      <c r="M68" s="237"/>
      <c r="N68" s="220"/>
      <c r="O68" s="220"/>
      <c r="P68" s="220"/>
      <c r="Q68" s="254"/>
      <c r="R68" s="254"/>
      <c r="S68" s="220"/>
      <c r="T68" s="220"/>
      <c r="U68" s="220"/>
      <c r="V68" s="220"/>
      <c r="W68" s="220"/>
      <c r="X68" s="220"/>
      <c r="Y68" s="220"/>
      <c r="Z68" s="220"/>
      <c r="AA68" s="220"/>
    </row>
    <row r="69" spans="1:27" ht="12.75" customHeight="1" x14ac:dyDescent="0.25">
      <c r="A69" s="229"/>
      <c r="B69" s="229"/>
      <c r="C69" s="220"/>
      <c r="D69" s="220"/>
      <c r="E69" s="242"/>
      <c r="F69" s="254"/>
      <c r="G69" s="254"/>
      <c r="H69" s="254"/>
      <c r="I69" s="246"/>
      <c r="J69" s="254"/>
      <c r="K69" s="237"/>
      <c r="L69" s="246"/>
      <c r="M69" s="237"/>
      <c r="N69" s="220"/>
      <c r="O69" s="220"/>
      <c r="P69" s="220"/>
      <c r="Q69" s="254"/>
      <c r="R69" s="254"/>
      <c r="S69" s="220"/>
      <c r="T69" s="220"/>
      <c r="U69" s="220"/>
      <c r="V69" s="220"/>
      <c r="W69" s="220"/>
      <c r="X69" s="220"/>
      <c r="Y69" s="220"/>
      <c r="Z69" s="220"/>
      <c r="AA69" s="220"/>
    </row>
    <row r="70" spans="1:27" ht="12.75" customHeight="1" x14ac:dyDescent="0.25">
      <c r="A70" s="229"/>
      <c r="B70" s="229"/>
      <c r="C70" s="220"/>
      <c r="D70" s="220"/>
      <c r="E70" s="242"/>
      <c r="F70" s="254"/>
      <c r="G70" s="254"/>
      <c r="H70" s="254"/>
      <c r="I70" s="246"/>
      <c r="J70" s="254"/>
      <c r="K70" s="237"/>
      <c r="L70" s="246"/>
      <c r="M70" s="237"/>
      <c r="N70" s="220"/>
      <c r="O70" s="220"/>
      <c r="P70" s="220"/>
      <c r="Q70" s="254"/>
      <c r="R70" s="254"/>
      <c r="S70" s="220"/>
      <c r="T70" s="220"/>
      <c r="U70" s="220"/>
      <c r="V70" s="220"/>
      <c r="W70" s="220"/>
      <c r="X70" s="220"/>
      <c r="Y70" s="220"/>
      <c r="Z70" s="220"/>
      <c r="AA70" s="220"/>
    </row>
    <row r="71" spans="1:27" ht="12.75" customHeight="1" x14ac:dyDescent="0.25">
      <c r="A71" s="229"/>
      <c r="B71" s="229"/>
      <c r="C71" s="220"/>
      <c r="D71" s="220"/>
      <c r="E71" s="242"/>
      <c r="F71" s="254"/>
      <c r="G71" s="254"/>
      <c r="H71" s="254"/>
      <c r="I71" s="246"/>
      <c r="J71" s="254"/>
      <c r="K71" s="237"/>
      <c r="L71" s="246"/>
      <c r="M71" s="237"/>
      <c r="N71" s="220"/>
      <c r="O71" s="220"/>
      <c r="P71" s="220"/>
      <c r="Q71" s="254"/>
      <c r="R71" s="254"/>
      <c r="S71" s="220"/>
      <c r="T71" s="220"/>
      <c r="U71" s="220"/>
      <c r="V71" s="220"/>
      <c r="W71" s="220"/>
      <c r="X71" s="220"/>
      <c r="Y71" s="220"/>
      <c r="Z71" s="220"/>
      <c r="AA71" s="220"/>
    </row>
    <row r="72" spans="1:27" ht="12.75" customHeight="1" x14ac:dyDescent="0.25">
      <c r="A72" s="229"/>
      <c r="B72" s="229"/>
      <c r="C72" s="220"/>
      <c r="D72" s="220"/>
      <c r="E72" s="242"/>
      <c r="F72" s="254"/>
      <c r="G72" s="254"/>
      <c r="H72" s="254"/>
      <c r="I72" s="246"/>
      <c r="J72" s="254"/>
      <c r="K72" s="237"/>
      <c r="L72" s="246"/>
      <c r="M72" s="237"/>
      <c r="N72" s="220"/>
      <c r="O72" s="220"/>
      <c r="P72" s="220"/>
      <c r="Q72" s="254"/>
      <c r="R72" s="254"/>
      <c r="S72" s="220"/>
      <c r="T72" s="220"/>
      <c r="U72" s="220"/>
      <c r="V72" s="220"/>
      <c r="W72" s="220"/>
      <c r="X72" s="220"/>
      <c r="Y72" s="220"/>
      <c r="Z72" s="220"/>
      <c r="AA72" s="220"/>
    </row>
    <row r="73" spans="1:27" ht="12.75" customHeight="1" x14ac:dyDescent="0.25">
      <c r="A73" s="229"/>
      <c r="B73" s="229"/>
      <c r="C73" s="220"/>
      <c r="D73" s="220"/>
      <c r="E73" s="242"/>
      <c r="F73" s="254"/>
      <c r="G73" s="254"/>
      <c r="H73" s="254"/>
      <c r="I73" s="246"/>
      <c r="J73" s="254"/>
      <c r="K73" s="237"/>
      <c r="L73" s="246"/>
      <c r="M73" s="237"/>
      <c r="N73" s="220"/>
      <c r="O73" s="220"/>
      <c r="P73" s="220"/>
      <c r="Q73" s="254"/>
      <c r="R73" s="254"/>
      <c r="S73" s="220"/>
      <c r="T73" s="220"/>
      <c r="U73" s="220"/>
      <c r="V73" s="220"/>
      <c r="W73" s="220"/>
      <c r="X73" s="220"/>
      <c r="Y73" s="220"/>
      <c r="Z73" s="220"/>
      <c r="AA73" s="220"/>
    </row>
    <row r="74" spans="1:27" ht="12.75" customHeight="1" x14ac:dyDescent="0.25">
      <c r="A74" s="229"/>
      <c r="B74" s="229"/>
      <c r="C74" s="220"/>
      <c r="D74" s="220"/>
      <c r="E74" s="242"/>
      <c r="F74" s="254"/>
      <c r="G74" s="254"/>
      <c r="H74" s="254"/>
      <c r="I74" s="246"/>
      <c r="J74" s="254"/>
      <c r="K74" s="237"/>
      <c r="L74" s="246"/>
      <c r="M74" s="237"/>
      <c r="N74" s="220"/>
      <c r="O74" s="220"/>
      <c r="P74" s="220"/>
      <c r="Q74" s="254"/>
      <c r="R74" s="254"/>
      <c r="S74" s="220"/>
      <c r="T74" s="220"/>
      <c r="U74" s="220"/>
      <c r="V74" s="220"/>
      <c r="W74" s="220"/>
      <c r="X74" s="220"/>
      <c r="Y74" s="220"/>
      <c r="Z74" s="220"/>
      <c r="AA74" s="220"/>
    </row>
    <row r="75" spans="1:27" ht="12.75" customHeight="1" x14ac:dyDescent="0.25">
      <c r="A75" s="229"/>
      <c r="B75" s="229"/>
      <c r="C75" s="220"/>
      <c r="D75" s="220"/>
      <c r="E75" s="242"/>
      <c r="F75" s="254"/>
      <c r="G75" s="254"/>
      <c r="H75" s="254"/>
      <c r="I75" s="246"/>
      <c r="J75" s="254"/>
      <c r="K75" s="237"/>
      <c r="L75" s="246"/>
      <c r="M75" s="237"/>
      <c r="N75" s="220"/>
      <c r="O75" s="220"/>
      <c r="P75" s="220"/>
      <c r="Q75" s="254"/>
      <c r="R75" s="254"/>
      <c r="S75" s="220"/>
      <c r="T75" s="220"/>
      <c r="U75" s="220"/>
      <c r="V75" s="220"/>
      <c r="W75" s="220"/>
      <c r="X75" s="220"/>
      <c r="Y75" s="220"/>
      <c r="Z75" s="220"/>
      <c r="AA75" s="220"/>
    </row>
    <row r="76" spans="1:27" ht="12.75" customHeight="1" x14ac:dyDescent="0.25">
      <c r="A76" s="229"/>
      <c r="B76" s="229"/>
      <c r="C76" s="220"/>
      <c r="D76" s="220"/>
      <c r="E76" s="242"/>
      <c r="F76" s="254"/>
      <c r="G76" s="254"/>
      <c r="H76" s="254"/>
      <c r="I76" s="246"/>
      <c r="J76" s="254"/>
      <c r="K76" s="237"/>
      <c r="L76" s="246"/>
      <c r="M76" s="237"/>
      <c r="N76" s="220"/>
      <c r="O76" s="220"/>
      <c r="P76" s="220"/>
      <c r="Q76" s="254"/>
      <c r="R76" s="254"/>
      <c r="S76" s="220"/>
      <c r="T76" s="220"/>
      <c r="U76" s="220"/>
      <c r="V76" s="220"/>
      <c r="W76" s="220"/>
      <c r="X76" s="220"/>
      <c r="Y76" s="220"/>
      <c r="Z76" s="220"/>
      <c r="AA76" s="220"/>
    </row>
    <row r="77" spans="1:27" ht="12.75" customHeight="1" x14ac:dyDescent="0.25">
      <c r="A77" s="229"/>
      <c r="B77" s="229"/>
      <c r="C77" s="220"/>
      <c r="D77" s="220"/>
      <c r="E77" s="242"/>
      <c r="F77" s="254"/>
      <c r="G77" s="254"/>
      <c r="H77" s="254"/>
      <c r="I77" s="246"/>
      <c r="J77" s="254"/>
      <c r="K77" s="237"/>
      <c r="L77" s="246"/>
      <c r="M77" s="237"/>
      <c r="N77" s="220"/>
      <c r="O77" s="220"/>
      <c r="P77" s="220"/>
      <c r="Q77" s="254"/>
      <c r="R77" s="254"/>
      <c r="S77" s="220"/>
      <c r="T77" s="220"/>
      <c r="U77" s="220"/>
      <c r="V77" s="220"/>
      <c r="W77" s="220"/>
      <c r="X77" s="220"/>
      <c r="Y77" s="220"/>
      <c r="Z77" s="220"/>
      <c r="AA77" s="220"/>
    </row>
    <row r="78" spans="1:27" ht="12.75" customHeight="1" x14ac:dyDescent="0.25">
      <c r="A78" s="229"/>
      <c r="B78" s="229"/>
      <c r="C78" s="220"/>
      <c r="D78" s="220"/>
      <c r="E78" s="242"/>
      <c r="F78" s="254"/>
      <c r="G78" s="254"/>
      <c r="H78" s="254"/>
      <c r="I78" s="246"/>
      <c r="J78" s="254"/>
      <c r="K78" s="237"/>
      <c r="L78" s="246"/>
      <c r="M78" s="237"/>
      <c r="N78" s="220"/>
      <c r="O78" s="220"/>
      <c r="P78" s="220"/>
      <c r="Q78" s="254"/>
      <c r="R78" s="254"/>
      <c r="S78" s="220"/>
      <c r="T78" s="220"/>
      <c r="U78" s="220"/>
      <c r="V78" s="220"/>
      <c r="W78" s="220"/>
      <c r="X78" s="220"/>
      <c r="Y78" s="220"/>
      <c r="Z78" s="220"/>
      <c r="AA78" s="220"/>
    </row>
    <row r="79" spans="1:27" ht="12.75" customHeight="1" x14ac:dyDescent="0.25">
      <c r="A79" s="229"/>
      <c r="B79" s="229"/>
      <c r="C79" s="220"/>
      <c r="D79" s="220"/>
      <c r="E79" s="242"/>
      <c r="F79" s="254"/>
      <c r="G79" s="254"/>
      <c r="H79" s="254"/>
      <c r="I79" s="246"/>
      <c r="J79" s="254"/>
      <c r="K79" s="237"/>
      <c r="L79" s="246"/>
      <c r="M79" s="237"/>
      <c r="N79" s="220"/>
      <c r="O79" s="220"/>
      <c r="P79" s="220"/>
      <c r="Q79" s="254"/>
      <c r="R79" s="254"/>
      <c r="S79" s="220"/>
      <c r="T79" s="220"/>
      <c r="U79" s="220"/>
      <c r="V79" s="220"/>
      <c r="W79" s="220"/>
      <c r="X79" s="220"/>
      <c r="Y79" s="220"/>
      <c r="Z79" s="220"/>
      <c r="AA79" s="220"/>
    </row>
    <row r="80" spans="1:27" ht="12.75" customHeight="1" x14ac:dyDescent="0.25">
      <c r="A80" s="229"/>
      <c r="B80" s="229"/>
      <c r="C80" s="220"/>
      <c r="D80" s="220"/>
      <c r="E80" s="242"/>
      <c r="F80" s="254"/>
      <c r="G80" s="254"/>
      <c r="H80" s="254"/>
      <c r="I80" s="246"/>
      <c r="J80" s="254"/>
      <c r="K80" s="237"/>
      <c r="L80" s="246"/>
      <c r="M80" s="237"/>
      <c r="N80" s="220"/>
      <c r="O80" s="220"/>
      <c r="P80" s="220"/>
      <c r="Q80" s="254"/>
      <c r="R80" s="254"/>
      <c r="S80" s="220"/>
      <c r="T80" s="220"/>
      <c r="U80" s="220"/>
      <c r="V80" s="220"/>
      <c r="W80" s="220"/>
      <c r="X80" s="220"/>
      <c r="Y80" s="220"/>
      <c r="Z80" s="220"/>
      <c r="AA80" s="220"/>
    </row>
    <row r="81" spans="1:27" ht="12.75" customHeight="1" x14ac:dyDescent="0.25">
      <c r="A81" s="229"/>
      <c r="B81" s="229"/>
      <c r="C81" s="220"/>
      <c r="D81" s="220"/>
      <c r="E81" s="242"/>
      <c r="F81" s="254"/>
      <c r="G81" s="254"/>
      <c r="H81" s="254"/>
      <c r="I81" s="246"/>
      <c r="J81" s="254"/>
      <c r="K81" s="237"/>
      <c r="L81" s="246"/>
      <c r="M81" s="237"/>
      <c r="N81" s="220"/>
      <c r="O81" s="220"/>
      <c r="P81" s="220"/>
      <c r="Q81" s="254"/>
      <c r="R81" s="254"/>
      <c r="S81" s="220"/>
      <c r="T81" s="220"/>
      <c r="U81" s="220"/>
      <c r="V81" s="220"/>
      <c r="W81" s="220"/>
      <c r="X81" s="220"/>
      <c r="Y81" s="220"/>
      <c r="Z81" s="220"/>
      <c r="AA81" s="220"/>
    </row>
    <row r="82" spans="1:27" ht="12.75" customHeight="1" x14ac:dyDescent="0.25">
      <c r="A82" s="229"/>
      <c r="B82" s="229"/>
      <c r="C82" s="220"/>
      <c r="D82" s="220"/>
      <c r="E82" s="242"/>
      <c r="F82" s="254"/>
      <c r="G82" s="254"/>
      <c r="H82" s="254"/>
      <c r="I82" s="246"/>
      <c r="J82" s="254"/>
      <c r="K82" s="237"/>
      <c r="L82" s="246"/>
      <c r="M82" s="237"/>
      <c r="N82" s="220"/>
      <c r="O82" s="220"/>
      <c r="P82" s="220"/>
      <c r="Q82" s="254"/>
      <c r="R82" s="254"/>
      <c r="S82" s="220"/>
      <c r="T82" s="220"/>
      <c r="U82" s="220"/>
      <c r="V82" s="220"/>
      <c r="W82" s="220"/>
      <c r="X82" s="220"/>
      <c r="Y82" s="220"/>
      <c r="Z82" s="220"/>
      <c r="AA82" s="220"/>
    </row>
    <row r="83" spans="1:27" ht="12.75" customHeight="1" x14ac:dyDescent="0.25">
      <c r="A83" s="229"/>
      <c r="B83" s="229"/>
      <c r="C83" s="220"/>
      <c r="D83" s="220"/>
      <c r="E83" s="242"/>
      <c r="F83" s="254"/>
      <c r="G83" s="254"/>
      <c r="H83" s="254"/>
      <c r="I83" s="246"/>
      <c r="J83" s="254"/>
      <c r="K83" s="237"/>
      <c r="L83" s="246"/>
      <c r="M83" s="237"/>
      <c r="N83" s="220"/>
      <c r="O83" s="220"/>
      <c r="P83" s="220"/>
      <c r="Q83" s="254"/>
      <c r="R83" s="254"/>
      <c r="S83" s="220"/>
      <c r="T83" s="220"/>
      <c r="U83" s="220"/>
      <c r="V83" s="220"/>
      <c r="W83" s="220"/>
      <c r="X83" s="220"/>
      <c r="Y83" s="220"/>
      <c r="Z83" s="220"/>
      <c r="AA83" s="220"/>
    </row>
    <row r="84" spans="1:27" ht="12.75" customHeight="1" x14ac:dyDescent="0.25">
      <c r="A84" s="229"/>
      <c r="B84" s="229"/>
      <c r="C84" s="220"/>
      <c r="D84" s="220"/>
      <c r="E84" s="242"/>
      <c r="F84" s="254"/>
      <c r="G84" s="254"/>
      <c r="H84" s="254"/>
      <c r="I84" s="246"/>
      <c r="J84" s="254"/>
      <c r="K84" s="237"/>
      <c r="L84" s="246"/>
      <c r="M84" s="237"/>
      <c r="N84" s="220"/>
      <c r="O84" s="220"/>
      <c r="P84" s="220"/>
      <c r="Q84" s="254"/>
      <c r="R84" s="254"/>
      <c r="S84" s="220"/>
      <c r="T84" s="220"/>
      <c r="U84" s="220"/>
      <c r="V84" s="220"/>
      <c r="W84" s="220"/>
      <c r="X84" s="220"/>
      <c r="Y84" s="220"/>
      <c r="Z84" s="220"/>
      <c r="AA84" s="220"/>
    </row>
    <row r="85" spans="1:27" ht="12.75" customHeight="1" x14ac:dyDescent="0.25">
      <c r="A85" s="229"/>
      <c r="B85" s="229"/>
      <c r="C85" s="220"/>
      <c r="D85" s="220"/>
      <c r="E85" s="242"/>
      <c r="F85" s="254"/>
      <c r="G85" s="254"/>
      <c r="H85" s="254"/>
      <c r="I85" s="246"/>
      <c r="J85" s="254"/>
      <c r="K85" s="237"/>
      <c r="L85" s="246"/>
      <c r="M85" s="237"/>
      <c r="N85" s="220"/>
      <c r="O85" s="220"/>
      <c r="P85" s="220"/>
      <c r="Q85" s="254"/>
      <c r="R85" s="254"/>
      <c r="S85" s="220"/>
      <c r="T85" s="220"/>
      <c r="U85" s="220"/>
      <c r="V85" s="220"/>
      <c r="W85" s="220"/>
      <c r="X85" s="220"/>
      <c r="Y85" s="220"/>
      <c r="Z85" s="220"/>
      <c r="AA85" s="220"/>
    </row>
    <row r="86" spans="1:27" ht="12.75" customHeight="1" x14ac:dyDescent="0.25">
      <c r="A86" s="229"/>
      <c r="B86" s="229"/>
      <c r="C86" s="220"/>
      <c r="D86" s="220"/>
      <c r="E86" s="242"/>
      <c r="F86" s="254"/>
      <c r="G86" s="254"/>
      <c r="H86" s="254"/>
      <c r="I86" s="246"/>
      <c r="J86" s="254"/>
      <c r="K86" s="237"/>
      <c r="L86" s="246"/>
      <c r="M86" s="237"/>
      <c r="N86" s="220"/>
      <c r="O86" s="220"/>
      <c r="P86" s="220"/>
      <c r="Q86" s="254"/>
      <c r="R86" s="254"/>
      <c r="S86" s="220"/>
      <c r="T86" s="220"/>
      <c r="U86" s="220"/>
      <c r="V86" s="220"/>
      <c r="W86" s="220"/>
      <c r="X86" s="220"/>
      <c r="Y86" s="220"/>
      <c r="Z86" s="220"/>
      <c r="AA86" s="220"/>
    </row>
    <row r="87" spans="1:27" ht="12.75" customHeight="1" x14ac:dyDescent="0.25">
      <c r="A87" s="229"/>
      <c r="B87" s="229"/>
      <c r="C87" s="220"/>
      <c r="D87" s="220"/>
      <c r="E87" s="242"/>
      <c r="F87" s="254"/>
      <c r="G87" s="254"/>
      <c r="H87" s="254"/>
      <c r="I87" s="246"/>
      <c r="J87" s="254"/>
      <c r="K87" s="237"/>
      <c r="L87" s="246"/>
      <c r="M87" s="237"/>
      <c r="N87" s="220"/>
      <c r="O87" s="220"/>
      <c r="P87" s="220"/>
      <c r="Q87" s="254"/>
      <c r="R87" s="254"/>
      <c r="S87" s="220"/>
      <c r="T87" s="220"/>
      <c r="U87" s="220"/>
      <c r="V87" s="220"/>
      <c r="W87" s="220"/>
      <c r="X87" s="220"/>
      <c r="Y87" s="220"/>
      <c r="Z87" s="220"/>
      <c r="AA87" s="220"/>
    </row>
    <row r="88" spans="1:27" ht="12.75" customHeight="1" x14ac:dyDescent="0.25">
      <c r="A88" s="229"/>
      <c r="B88" s="229"/>
      <c r="C88" s="220"/>
      <c r="D88" s="220"/>
      <c r="E88" s="242"/>
      <c r="F88" s="254"/>
      <c r="G88" s="254"/>
      <c r="H88" s="254"/>
      <c r="I88" s="246"/>
      <c r="J88" s="254"/>
      <c r="K88" s="237"/>
      <c r="L88" s="246"/>
      <c r="M88" s="237"/>
      <c r="N88" s="220"/>
      <c r="O88" s="220"/>
      <c r="P88" s="220"/>
      <c r="Q88" s="254"/>
      <c r="R88" s="254"/>
      <c r="S88" s="220"/>
      <c r="T88" s="220"/>
      <c r="U88" s="220"/>
      <c r="V88" s="220"/>
      <c r="W88" s="220"/>
      <c r="X88" s="220"/>
      <c r="Y88" s="220"/>
      <c r="Z88" s="220"/>
      <c r="AA88" s="220"/>
    </row>
    <row r="89" spans="1:27" ht="12.75" customHeight="1" x14ac:dyDescent="0.25">
      <c r="A89" s="229"/>
      <c r="B89" s="229"/>
      <c r="C89" s="220"/>
      <c r="D89" s="220"/>
      <c r="E89" s="242"/>
      <c r="F89" s="254"/>
      <c r="G89" s="254"/>
      <c r="H89" s="254"/>
      <c r="I89" s="246"/>
      <c r="J89" s="254"/>
      <c r="K89" s="237"/>
      <c r="L89" s="246"/>
      <c r="M89" s="237"/>
      <c r="N89" s="220"/>
      <c r="O89" s="220"/>
      <c r="P89" s="220"/>
      <c r="Q89" s="254"/>
      <c r="R89" s="254"/>
      <c r="S89" s="220"/>
      <c r="T89" s="220"/>
      <c r="U89" s="220"/>
      <c r="V89" s="220"/>
      <c r="W89" s="220"/>
      <c r="X89" s="220"/>
      <c r="Y89" s="220"/>
      <c r="Z89" s="220"/>
      <c r="AA89" s="220"/>
    </row>
    <row r="90" spans="1:27" ht="12.75" customHeight="1" x14ac:dyDescent="0.25">
      <c r="A90" s="229"/>
      <c r="B90" s="229"/>
      <c r="C90" s="220"/>
      <c r="D90" s="220"/>
      <c r="E90" s="242"/>
      <c r="F90" s="254"/>
      <c r="G90" s="254"/>
      <c r="H90" s="254"/>
      <c r="I90" s="246"/>
      <c r="J90" s="254"/>
      <c r="K90" s="237"/>
      <c r="L90" s="246"/>
      <c r="M90" s="237"/>
      <c r="N90" s="220"/>
      <c r="O90" s="220"/>
      <c r="P90" s="220"/>
      <c r="Q90" s="254"/>
      <c r="R90" s="254"/>
      <c r="S90" s="220"/>
      <c r="T90" s="220"/>
      <c r="U90" s="220"/>
      <c r="V90" s="220"/>
      <c r="W90" s="220"/>
      <c r="X90" s="220"/>
      <c r="Y90" s="220"/>
      <c r="Z90" s="220"/>
      <c r="AA90" s="220"/>
    </row>
    <row r="91" spans="1:27" ht="12.75" customHeight="1" x14ac:dyDescent="0.25">
      <c r="A91" s="229"/>
      <c r="B91" s="229"/>
      <c r="C91" s="220"/>
      <c r="D91" s="220"/>
      <c r="E91" s="242"/>
      <c r="F91" s="254"/>
      <c r="G91" s="254"/>
      <c r="H91" s="254"/>
      <c r="I91" s="246"/>
      <c r="J91" s="254"/>
      <c r="K91" s="237"/>
      <c r="L91" s="246"/>
      <c r="M91" s="237"/>
      <c r="N91" s="220"/>
      <c r="O91" s="220"/>
      <c r="P91" s="220"/>
      <c r="Q91" s="254"/>
      <c r="R91" s="254"/>
      <c r="S91" s="220"/>
      <c r="T91" s="220"/>
      <c r="U91" s="220"/>
      <c r="V91" s="220"/>
      <c r="W91" s="220"/>
      <c r="X91" s="220"/>
      <c r="Y91" s="220"/>
      <c r="Z91" s="220"/>
      <c r="AA91" s="220"/>
    </row>
    <row r="92" spans="1:27" ht="12.75" customHeight="1" x14ac:dyDescent="0.25">
      <c r="A92" s="229"/>
      <c r="B92" s="229"/>
      <c r="C92" s="220"/>
      <c r="D92" s="220"/>
      <c r="E92" s="242"/>
      <c r="F92" s="254"/>
      <c r="G92" s="254"/>
      <c r="H92" s="254"/>
      <c r="I92" s="246"/>
      <c r="J92" s="254"/>
      <c r="K92" s="237"/>
      <c r="L92" s="246"/>
      <c r="M92" s="237"/>
      <c r="N92" s="220"/>
      <c r="O92" s="220"/>
      <c r="P92" s="220"/>
      <c r="Q92" s="254"/>
      <c r="R92" s="254"/>
      <c r="S92" s="220"/>
      <c r="T92" s="220"/>
      <c r="U92" s="220"/>
      <c r="V92" s="220"/>
      <c r="W92" s="220"/>
      <c r="X92" s="220"/>
      <c r="Y92" s="220"/>
      <c r="Z92" s="220"/>
      <c r="AA92" s="220"/>
    </row>
    <row r="93" spans="1:27" ht="12.75" customHeight="1" x14ac:dyDescent="0.25">
      <c r="A93" s="229"/>
      <c r="B93" s="229"/>
      <c r="C93" s="220"/>
      <c r="D93" s="220"/>
      <c r="E93" s="242"/>
      <c r="F93" s="254"/>
      <c r="G93" s="254"/>
      <c r="H93" s="254"/>
      <c r="I93" s="246"/>
      <c r="J93" s="254"/>
      <c r="K93" s="237"/>
      <c r="L93" s="246"/>
      <c r="M93" s="237"/>
      <c r="N93" s="220"/>
      <c r="O93" s="220"/>
      <c r="P93" s="220"/>
      <c r="Q93" s="254"/>
      <c r="R93" s="254"/>
      <c r="S93" s="220"/>
      <c r="T93" s="220"/>
      <c r="U93" s="220"/>
      <c r="V93" s="220"/>
      <c r="W93" s="220"/>
      <c r="X93" s="220"/>
      <c r="Y93" s="220"/>
      <c r="Z93" s="220"/>
      <c r="AA93" s="220"/>
    </row>
    <row r="94" spans="1:27" ht="12.75" customHeight="1" x14ac:dyDescent="0.25">
      <c r="A94" s="229"/>
      <c r="B94" s="229"/>
      <c r="C94" s="220"/>
      <c r="D94" s="220"/>
      <c r="E94" s="242"/>
      <c r="F94" s="254"/>
      <c r="G94" s="254"/>
      <c r="H94" s="254"/>
      <c r="I94" s="246"/>
      <c r="J94" s="254"/>
      <c r="K94" s="237"/>
      <c r="L94" s="246"/>
      <c r="M94" s="237"/>
      <c r="N94" s="220"/>
      <c r="O94" s="220"/>
      <c r="P94" s="220"/>
      <c r="Q94" s="254"/>
      <c r="R94" s="254"/>
      <c r="S94" s="220"/>
      <c r="T94" s="220"/>
      <c r="U94" s="220"/>
      <c r="V94" s="220"/>
      <c r="W94" s="220"/>
      <c r="X94" s="220"/>
      <c r="Y94" s="220"/>
      <c r="Z94" s="220"/>
      <c r="AA94" s="220"/>
    </row>
    <row r="95" spans="1:27" ht="12.75" customHeight="1" x14ac:dyDescent="0.25">
      <c r="A95" s="229"/>
      <c r="B95" s="229"/>
      <c r="C95" s="220"/>
      <c r="D95" s="220"/>
      <c r="E95" s="242"/>
      <c r="F95" s="254"/>
      <c r="G95" s="254"/>
      <c r="H95" s="254"/>
      <c r="I95" s="246"/>
      <c r="J95" s="254"/>
      <c r="K95" s="237"/>
      <c r="L95" s="246"/>
      <c r="M95" s="237"/>
      <c r="N95" s="220"/>
      <c r="O95" s="220"/>
      <c r="P95" s="220"/>
      <c r="Q95" s="254"/>
      <c r="R95" s="254"/>
      <c r="S95" s="220"/>
      <c r="T95" s="220"/>
      <c r="U95" s="220"/>
      <c r="V95" s="220"/>
      <c r="W95" s="220"/>
      <c r="X95" s="220"/>
      <c r="Y95" s="220"/>
      <c r="Z95" s="220"/>
      <c r="AA95" s="220"/>
    </row>
    <row r="96" spans="1:27" ht="12.75" customHeight="1" x14ac:dyDescent="0.25">
      <c r="A96" s="229"/>
      <c r="B96" s="229"/>
      <c r="C96" s="220"/>
      <c r="D96" s="220"/>
      <c r="E96" s="242"/>
      <c r="F96" s="254"/>
      <c r="G96" s="254"/>
      <c r="H96" s="254"/>
      <c r="I96" s="246"/>
      <c r="J96" s="254"/>
      <c r="K96" s="237"/>
      <c r="L96" s="246"/>
      <c r="M96" s="237"/>
      <c r="N96" s="220"/>
      <c r="O96" s="220"/>
      <c r="P96" s="220"/>
      <c r="Q96" s="254"/>
      <c r="R96" s="254"/>
      <c r="S96" s="220"/>
      <c r="T96" s="220"/>
      <c r="U96" s="220"/>
      <c r="V96" s="220"/>
      <c r="W96" s="220"/>
      <c r="X96" s="220"/>
      <c r="Y96" s="220"/>
      <c r="Z96" s="220"/>
      <c r="AA96" s="220"/>
    </row>
    <row r="97" spans="1:27" ht="12.75" customHeight="1" x14ac:dyDescent="0.25">
      <c r="A97" s="229"/>
      <c r="B97" s="229"/>
      <c r="C97" s="220"/>
      <c r="D97" s="220"/>
      <c r="E97" s="242"/>
      <c r="F97" s="254"/>
      <c r="G97" s="254"/>
      <c r="H97" s="254"/>
      <c r="I97" s="246"/>
      <c r="J97" s="254"/>
      <c r="K97" s="237"/>
      <c r="L97" s="246"/>
      <c r="M97" s="237"/>
      <c r="N97" s="220"/>
      <c r="O97" s="220"/>
      <c r="P97" s="220"/>
      <c r="Q97" s="254"/>
      <c r="R97" s="254"/>
      <c r="S97" s="220"/>
      <c r="T97" s="220"/>
      <c r="U97" s="220"/>
      <c r="V97" s="220"/>
      <c r="W97" s="220"/>
      <c r="X97" s="220"/>
      <c r="Y97" s="220"/>
      <c r="Z97" s="220"/>
      <c r="AA97" s="220"/>
    </row>
    <row r="98" spans="1:27" ht="12.75" customHeight="1" x14ac:dyDescent="0.25">
      <c r="A98" s="229"/>
      <c r="B98" s="229"/>
      <c r="C98" s="220"/>
      <c r="D98" s="220"/>
      <c r="E98" s="242"/>
      <c r="F98" s="254"/>
      <c r="G98" s="254"/>
      <c r="H98" s="254"/>
      <c r="I98" s="246"/>
      <c r="J98" s="254"/>
      <c r="K98" s="237"/>
      <c r="L98" s="246"/>
      <c r="M98" s="237"/>
      <c r="N98" s="220"/>
      <c r="O98" s="220"/>
      <c r="P98" s="220"/>
      <c r="Q98" s="254"/>
      <c r="R98" s="254"/>
      <c r="S98" s="220"/>
      <c r="T98" s="220"/>
      <c r="U98" s="220"/>
      <c r="V98" s="220"/>
      <c r="W98" s="220"/>
      <c r="X98" s="220"/>
      <c r="Y98" s="220"/>
      <c r="Z98" s="220"/>
      <c r="AA98" s="220"/>
    </row>
    <row r="99" spans="1:27" ht="12.75" customHeight="1" x14ac:dyDescent="0.25">
      <c r="A99" s="229"/>
      <c r="B99" s="229"/>
      <c r="C99" s="220"/>
      <c r="D99" s="220"/>
      <c r="E99" s="242"/>
      <c r="F99" s="254"/>
      <c r="G99" s="254"/>
      <c r="H99" s="254"/>
      <c r="I99" s="246"/>
      <c r="J99" s="254"/>
      <c r="K99" s="237"/>
      <c r="L99" s="246"/>
      <c r="M99" s="237"/>
      <c r="N99" s="220"/>
      <c r="O99" s="220"/>
      <c r="P99" s="220"/>
      <c r="Q99" s="254"/>
      <c r="R99" s="254"/>
      <c r="S99" s="220"/>
      <c r="T99" s="220"/>
      <c r="U99" s="220"/>
      <c r="V99" s="220"/>
      <c r="W99" s="220"/>
      <c r="X99" s="220"/>
      <c r="Y99" s="220"/>
      <c r="Z99" s="220"/>
      <c r="AA99" s="220"/>
    </row>
    <row r="100" spans="1:27" ht="12.75" customHeight="1" x14ac:dyDescent="0.25">
      <c r="A100" s="229"/>
      <c r="B100" s="229"/>
      <c r="C100" s="220"/>
      <c r="D100" s="220"/>
      <c r="E100" s="242"/>
      <c r="F100" s="254"/>
      <c r="G100" s="254"/>
      <c r="H100" s="254"/>
      <c r="I100" s="246"/>
      <c r="J100" s="254"/>
      <c r="K100" s="237"/>
      <c r="L100" s="246"/>
      <c r="M100" s="237"/>
      <c r="N100" s="220"/>
      <c r="O100" s="220"/>
      <c r="P100" s="220"/>
      <c r="Q100" s="254"/>
      <c r="R100" s="254"/>
      <c r="S100" s="220"/>
      <c r="T100" s="220"/>
      <c r="U100" s="220"/>
      <c r="V100" s="220"/>
      <c r="W100" s="220"/>
      <c r="X100" s="220"/>
      <c r="Y100" s="220"/>
      <c r="Z100" s="220"/>
      <c r="AA100" s="220"/>
    </row>
    <row r="101" spans="1:27" ht="12.75" customHeight="1" x14ac:dyDescent="0.25">
      <c r="A101" s="229"/>
      <c r="B101" s="229"/>
      <c r="C101" s="220"/>
      <c r="D101" s="220"/>
      <c r="E101" s="242"/>
      <c r="F101" s="254"/>
      <c r="G101" s="254"/>
      <c r="H101" s="254"/>
      <c r="I101" s="246"/>
      <c r="J101" s="254"/>
      <c r="K101" s="237"/>
      <c r="L101" s="246"/>
      <c r="M101" s="237"/>
      <c r="N101" s="220"/>
      <c r="O101" s="220"/>
      <c r="P101" s="220"/>
      <c r="Q101" s="254"/>
      <c r="R101" s="254"/>
      <c r="S101" s="220"/>
      <c r="T101" s="220"/>
      <c r="U101" s="220"/>
      <c r="V101" s="220"/>
      <c r="W101" s="220"/>
      <c r="X101" s="220"/>
      <c r="Y101" s="220"/>
      <c r="Z101" s="220"/>
      <c r="AA101" s="220"/>
    </row>
    <row r="102" spans="1:27" ht="12.75" customHeight="1" x14ac:dyDescent="0.25">
      <c r="A102" s="229"/>
      <c r="B102" s="229"/>
      <c r="C102" s="220"/>
      <c r="D102" s="220"/>
      <c r="E102" s="242"/>
      <c r="F102" s="254"/>
      <c r="G102" s="254"/>
      <c r="H102" s="254"/>
      <c r="I102" s="246"/>
      <c r="J102" s="254"/>
      <c r="K102" s="237"/>
      <c r="L102" s="246"/>
      <c r="M102" s="237"/>
      <c r="N102" s="220"/>
      <c r="O102" s="220"/>
      <c r="P102" s="220"/>
      <c r="Q102" s="254"/>
      <c r="R102" s="254"/>
      <c r="S102" s="220"/>
      <c r="T102" s="220"/>
      <c r="U102" s="220"/>
      <c r="V102" s="220"/>
      <c r="W102" s="220"/>
      <c r="X102" s="220"/>
      <c r="Y102" s="220"/>
      <c r="Z102" s="220"/>
      <c r="AA102" s="220"/>
    </row>
    <row r="103" spans="1:27" ht="12.75" customHeight="1" x14ac:dyDescent="0.25">
      <c r="A103" s="229"/>
      <c r="B103" s="229"/>
      <c r="C103" s="220"/>
      <c r="D103" s="220"/>
      <c r="E103" s="242"/>
      <c r="F103" s="254"/>
      <c r="G103" s="254"/>
      <c r="H103" s="254"/>
      <c r="I103" s="246"/>
      <c r="J103" s="254"/>
      <c r="K103" s="237"/>
      <c r="L103" s="246"/>
      <c r="M103" s="237"/>
      <c r="N103" s="220"/>
      <c r="O103" s="220"/>
      <c r="P103" s="220"/>
      <c r="Q103" s="254"/>
      <c r="R103" s="254"/>
      <c r="S103" s="220"/>
      <c r="T103" s="220"/>
      <c r="U103" s="220"/>
      <c r="V103" s="220"/>
      <c r="W103" s="220"/>
      <c r="X103" s="220"/>
      <c r="Y103" s="220"/>
      <c r="Z103" s="220"/>
      <c r="AA103" s="220"/>
    </row>
    <row r="104" spans="1:27" ht="12.75" customHeight="1" x14ac:dyDescent="0.25">
      <c r="A104" s="229"/>
      <c r="B104" s="229"/>
      <c r="C104" s="220"/>
      <c r="D104" s="220"/>
      <c r="E104" s="242"/>
      <c r="F104" s="254"/>
      <c r="G104" s="254"/>
      <c r="H104" s="254"/>
      <c r="I104" s="246"/>
      <c r="J104" s="254"/>
      <c r="K104" s="237"/>
      <c r="L104" s="246"/>
      <c r="M104" s="237"/>
      <c r="N104" s="220"/>
      <c r="O104" s="220"/>
      <c r="P104" s="220"/>
      <c r="Q104" s="254"/>
      <c r="R104" s="254"/>
      <c r="S104" s="220"/>
      <c r="T104" s="220"/>
      <c r="U104" s="220"/>
      <c r="V104" s="220"/>
      <c r="W104" s="220"/>
      <c r="X104" s="220"/>
      <c r="Y104" s="220"/>
      <c r="Z104" s="220"/>
      <c r="AA104" s="220"/>
    </row>
    <row r="105" spans="1:27" ht="12.75" customHeight="1" x14ac:dyDescent="0.25">
      <c r="A105" s="229"/>
      <c r="B105" s="229"/>
      <c r="C105" s="220"/>
      <c r="D105" s="220"/>
      <c r="E105" s="242"/>
      <c r="F105" s="254"/>
      <c r="G105" s="254"/>
      <c r="H105" s="254"/>
      <c r="I105" s="246"/>
      <c r="J105" s="254"/>
      <c r="K105" s="237"/>
      <c r="L105" s="246"/>
      <c r="M105" s="237"/>
      <c r="N105" s="220"/>
      <c r="O105" s="220"/>
      <c r="P105" s="220"/>
      <c r="Q105" s="254"/>
      <c r="R105" s="254"/>
      <c r="S105" s="220"/>
      <c r="T105" s="220"/>
      <c r="U105" s="220"/>
      <c r="V105" s="220"/>
      <c r="W105" s="220"/>
      <c r="X105" s="220"/>
      <c r="Y105" s="220"/>
      <c r="Z105" s="220"/>
      <c r="AA105" s="220"/>
    </row>
    <row r="106" spans="1:27" ht="12.75" customHeight="1" x14ac:dyDescent="0.25">
      <c r="A106" s="229"/>
      <c r="B106" s="229"/>
      <c r="C106" s="220"/>
      <c r="D106" s="220"/>
      <c r="E106" s="242"/>
      <c r="F106" s="254"/>
      <c r="G106" s="254"/>
      <c r="H106" s="254"/>
      <c r="I106" s="246"/>
      <c r="J106" s="254"/>
      <c r="K106" s="237"/>
      <c r="L106" s="246"/>
      <c r="M106" s="237"/>
      <c r="N106" s="220"/>
      <c r="O106" s="220"/>
      <c r="P106" s="220"/>
      <c r="Q106" s="254"/>
      <c r="R106" s="254"/>
      <c r="S106" s="220"/>
      <c r="T106" s="220"/>
      <c r="U106" s="220"/>
      <c r="V106" s="220"/>
      <c r="W106" s="220"/>
      <c r="X106" s="220"/>
      <c r="Y106" s="220"/>
      <c r="Z106" s="220"/>
      <c r="AA106" s="220"/>
    </row>
    <row r="107" spans="1:27" ht="12.75" customHeight="1" x14ac:dyDescent="0.25">
      <c r="A107" s="229"/>
      <c r="B107" s="229"/>
      <c r="C107" s="220"/>
      <c r="D107" s="220"/>
      <c r="E107" s="242"/>
      <c r="F107" s="254"/>
      <c r="G107" s="254"/>
      <c r="H107" s="254"/>
      <c r="I107" s="246"/>
      <c r="J107" s="254"/>
      <c r="K107" s="237"/>
      <c r="L107" s="246"/>
      <c r="M107" s="237"/>
      <c r="N107" s="220"/>
      <c r="O107" s="220"/>
      <c r="P107" s="220"/>
      <c r="Q107" s="254"/>
      <c r="R107" s="254"/>
      <c r="S107" s="220"/>
      <c r="T107" s="220"/>
      <c r="U107" s="220"/>
      <c r="V107" s="220"/>
      <c r="W107" s="220"/>
      <c r="X107" s="220"/>
      <c r="Y107" s="220"/>
      <c r="Z107" s="220"/>
      <c r="AA107" s="220"/>
    </row>
    <row r="108" spans="1:27" ht="12.75" customHeight="1" x14ac:dyDescent="0.25">
      <c r="A108" s="229"/>
      <c r="B108" s="229"/>
      <c r="C108" s="220"/>
      <c r="D108" s="220"/>
      <c r="E108" s="242"/>
      <c r="F108" s="254"/>
      <c r="G108" s="254"/>
      <c r="H108" s="254"/>
      <c r="I108" s="246"/>
      <c r="J108" s="254"/>
      <c r="K108" s="237"/>
      <c r="L108" s="246"/>
      <c r="M108" s="237"/>
      <c r="N108" s="220"/>
      <c r="O108" s="220"/>
      <c r="P108" s="220"/>
      <c r="Q108" s="254"/>
      <c r="R108" s="254"/>
      <c r="S108" s="220"/>
      <c r="T108" s="220"/>
      <c r="U108" s="220"/>
      <c r="V108" s="220"/>
      <c r="W108" s="220"/>
      <c r="X108" s="220"/>
      <c r="Y108" s="220"/>
      <c r="Z108" s="220"/>
      <c r="AA108" s="220"/>
    </row>
    <row r="109" spans="1:27" ht="12.75" customHeight="1" x14ac:dyDescent="0.25">
      <c r="A109" s="229"/>
      <c r="B109" s="229"/>
      <c r="C109" s="220"/>
      <c r="D109" s="220"/>
      <c r="E109" s="242"/>
      <c r="F109" s="254"/>
      <c r="G109" s="254"/>
      <c r="H109" s="254"/>
      <c r="I109" s="246"/>
      <c r="J109" s="254"/>
      <c r="K109" s="237"/>
      <c r="L109" s="246"/>
      <c r="M109" s="237"/>
      <c r="N109" s="220"/>
      <c r="O109" s="220"/>
      <c r="P109" s="220"/>
      <c r="Q109" s="254"/>
      <c r="R109" s="254"/>
      <c r="S109" s="220"/>
      <c r="T109" s="220"/>
      <c r="U109" s="220"/>
      <c r="V109" s="220"/>
      <c r="W109" s="220"/>
      <c r="X109" s="220"/>
      <c r="Y109" s="220"/>
      <c r="Z109" s="220"/>
      <c r="AA109" s="220"/>
    </row>
    <row r="110" spans="1:27" ht="12.75" customHeight="1" x14ac:dyDescent="0.25">
      <c r="A110" s="229"/>
      <c r="B110" s="229"/>
      <c r="C110" s="220"/>
      <c r="D110" s="220"/>
      <c r="E110" s="242"/>
      <c r="F110" s="254"/>
      <c r="G110" s="254"/>
      <c r="H110" s="254"/>
      <c r="I110" s="246"/>
      <c r="J110" s="254"/>
      <c r="K110" s="237"/>
      <c r="L110" s="246"/>
      <c r="M110" s="237"/>
      <c r="N110" s="220"/>
      <c r="O110" s="220"/>
      <c r="P110" s="220"/>
      <c r="Q110" s="254"/>
      <c r="R110" s="254"/>
      <c r="S110" s="220"/>
      <c r="T110" s="220"/>
      <c r="U110" s="220"/>
      <c r="V110" s="220"/>
      <c r="W110" s="220"/>
      <c r="X110" s="220"/>
      <c r="Y110" s="220"/>
      <c r="Z110" s="220"/>
      <c r="AA110" s="220"/>
    </row>
    <row r="111" spans="1:27" ht="12.75" customHeight="1" x14ac:dyDescent="0.25">
      <c r="A111" s="229"/>
      <c r="B111" s="229"/>
      <c r="C111" s="220"/>
      <c r="D111" s="220"/>
      <c r="E111" s="242"/>
      <c r="F111" s="254"/>
      <c r="G111" s="254"/>
      <c r="H111" s="254"/>
      <c r="I111" s="246"/>
      <c r="J111" s="254"/>
      <c r="K111" s="237"/>
      <c r="L111" s="246"/>
      <c r="M111" s="237"/>
      <c r="N111" s="220"/>
      <c r="O111" s="220"/>
      <c r="P111" s="220"/>
      <c r="Q111" s="254"/>
      <c r="R111" s="254"/>
      <c r="S111" s="220"/>
      <c r="T111" s="220"/>
      <c r="U111" s="220"/>
      <c r="V111" s="220"/>
      <c r="W111" s="220"/>
      <c r="X111" s="220"/>
      <c r="Y111" s="220"/>
      <c r="Z111" s="220"/>
      <c r="AA111" s="220"/>
    </row>
    <row r="112" spans="1:27" ht="12.75" customHeight="1" x14ac:dyDescent="0.25">
      <c r="A112" s="229"/>
      <c r="B112" s="229"/>
      <c r="C112" s="220"/>
      <c r="D112" s="220"/>
      <c r="E112" s="242"/>
      <c r="F112" s="254"/>
      <c r="G112" s="254"/>
      <c r="H112" s="254"/>
      <c r="I112" s="246"/>
      <c r="J112" s="254"/>
      <c r="K112" s="237"/>
      <c r="L112" s="246"/>
      <c r="M112" s="237"/>
      <c r="N112" s="220"/>
      <c r="O112" s="220"/>
      <c r="P112" s="220"/>
      <c r="Q112" s="254"/>
      <c r="R112" s="254"/>
      <c r="S112" s="220"/>
      <c r="T112" s="220"/>
      <c r="U112" s="220"/>
      <c r="V112" s="220"/>
      <c r="W112" s="220"/>
      <c r="X112" s="220"/>
      <c r="Y112" s="220"/>
      <c r="Z112" s="220"/>
      <c r="AA112" s="220"/>
    </row>
    <row r="113" spans="1:27" ht="12.75" customHeight="1" x14ac:dyDescent="0.25">
      <c r="A113" s="229"/>
      <c r="B113" s="229"/>
      <c r="C113" s="220"/>
      <c r="D113" s="220"/>
      <c r="E113" s="242"/>
      <c r="F113" s="254"/>
      <c r="G113" s="254"/>
      <c r="H113" s="254"/>
      <c r="I113" s="246"/>
      <c r="J113" s="254"/>
      <c r="K113" s="237"/>
      <c r="L113" s="246"/>
      <c r="M113" s="237"/>
      <c r="N113" s="220"/>
      <c r="O113" s="220"/>
      <c r="P113" s="220"/>
      <c r="Q113" s="254"/>
      <c r="R113" s="254"/>
      <c r="S113" s="220"/>
      <c r="T113" s="220"/>
      <c r="U113" s="220"/>
      <c r="V113" s="220"/>
      <c r="W113" s="220"/>
      <c r="X113" s="220"/>
      <c r="Y113" s="220"/>
      <c r="Z113" s="220"/>
      <c r="AA113" s="220"/>
    </row>
    <row r="114" spans="1:27" ht="12.75" customHeight="1" x14ac:dyDescent="0.25">
      <c r="A114" s="229"/>
      <c r="B114" s="229"/>
      <c r="C114" s="220"/>
      <c r="D114" s="220"/>
      <c r="E114" s="242"/>
      <c r="F114" s="254"/>
      <c r="G114" s="254"/>
      <c r="H114" s="254"/>
      <c r="I114" s="246"/>
      <c r="J114" s="254"/>
      <c r="K114" s="237"/>
      <c r="L114" s="246"/>
      <c r="M114" s="237"/>
      <c r="N114" s="220"/>
      <c r="O114" s="220"/>
      <c r="P114" s="220"/>
      <c r="Q114" s="254"/>
      <c r="R114" s="254"/>
      <c r="S114" s="220"/>
      <c r="T114" s="220"/>
      <c r="U114" s="220"/>
      <c r="V114" s="220"/>
      <c r="W114" s="220"/>
      <c r="X114" s="220"/>
      <c r="Y114" s="220"/>
      <c r="Z114" s="220"/>
      <c r="AA114" s="220"/>
    </row>
    <row r="115" spans="1:27" ht="12.75" customHeight="1" x14ac:dyDescent="0.25">
      <c r="A115" s="229"/>
      <c r="B115" s="229"/>
      <c r="C115" s="220"/>
      <c r="D115" s="220"/>
      <c r="E115" s="242"/>
      <c r="F115" s="254"/>
      <c r="G115" s="254"/>
      <c r="H115" s="254"/>
      <c r="I115" s="246"/>
      <c r="J115" s="254"/>
      <c r="K115" s="237"/>
      <c r="L115" s="246"/>
      <c r="M115" s="237"/>
      <c r="N115" s="220"/>
      <c r="O115" s="220"/>
      <c r="P115" s="220"/>
      <c r="Q115" s="254"/>
      <c r="R115" s="254"/>
      <c r="S115" s="220"/>
      <c r="T115" s="220"/>
      <c r="U115" s="220"/>
      <c r="V115" s="220"/>
      <c r="W115" s="220"/>
      <c r="X115" s="220"/>
      <c r="Y115" s="220"/>
      <c r="Z115" s="220"/>
      <c r="AA115" s="220"/>
    </row>
    <row r="116" spans="1:27" ht="12.75" customHeight="1" x14ac:dyDescent="0.25">
      <c r="A116" s="229"/>
      <c r="B116" s="229"/>
      <c r="C116" s="220"/>
      <c r="D116" s="220"/>
      <c r="E116" s="242"/>
      <c r="F116" s="254"/>
      <c r="G116" s="254"/>
      <c r="H116" s="254"/>
      <c r="I116" s="246"/>
      <c r="J116" s="254"/>
      <c r="K116" s="237"/>
      <c r="L116" s="246"/>
      <c r="M116" s="237"/>
      <c r="N116" s="220"/>
      <c r="O116" s="220"/>
      <c r="P116" s="220"/>
      <c r="Q116" s="254"/>
      <c r="R116" s="254"/>
      <c r="S116" s="220"/>
      <c r="T116" s="220"/>
      <c r="U116" s="220"/>
      <c r="V116" s="220"/>
      <c r="W116" s="220"/>
      <c r="X116" s="220"/>
      <c r="Y116" s="220"/>
      <c r="Z116" s="220"/>
      <c r="AA116" s="220"/>
    </row>
    <row r="117" spans="1:27" ht="12.75" customHeight="1" x14ac:dyDescent="0.25">
      <c r="A117" s="229"/>
      <c r="B117" s="229"/>
      <c r="C117" s="220"/>
      <c r="D117" s="220"/>
      <c r="E117" s="242"/>
      <c r="F117" s="254"/>
      <c r="G117" s="254"/>
      <c r="H117" s="254"/>
      <c r="I117" s="246"/>
      <c r="J117" s="254"/>
      <c r="K117" s="237"/>
      <c r="L117" s="246"/>
      <c r="M117" s="237"/>
      <c r="N117" s="220"/>
      <c r="O117" s="220"/>
      <c r="P117" s="220"/>
      <c r="Q117" s="254"/>
      <c r="R117" s="254"/>
      <c r="S117" s="220"/>
      <c r="T117" s="220"/>
      <c r="U117" s="220"/>
      <c r="V117" s="220"/>
      <c r="W117" s="220"/>
      <c r="X117" s="220"/>
      <c r="Y117" s="220"/>
      <c r="Z117" s="220"/>
      <c r="AA117" s="220"/>
    </row>
    <row r="118" spans="1:27" ht="12.75" customHeight="1" x14ac:dyDescent="0.25">
      <c r="A118" s="229"/>
      <c r="B118" s="229"/>
      <c r="C118" s="220"/>
      <c r="D118" s="220"/>
      <c r="E118" s="242"/>
      <c r="F118" s="254"/>
      <c r="G118" s="254"/>
      <c r="H118" s="254"/>
      <c r="I118" s="246"/>
      <c r="J118" s="254"/>
      <c r="K118" s="237"/>
      <c r="L118" s="246"/>
      <c r="M118" s="237"/>
      <c r="N118" s="220"/>
      <c r="O118" s="220"/>
      <c r="P118" s="220"/>
      <c r="Q118" s="254"/>
      <c r="R118" s="254"/>
      <c r="S118" s="220"/>
      <c r="T118" s="220"/>
      <c r="U118" s="220"/>
      <c r="V118" s="220"/>
      <c r="W118" s="220"/>
      <c r="X118" s="220"/>
      <c r="Y118" s="220"/>
      <c r="Z118" s="220"/>
      <c r="AA118" s="220"/>
    </row>
    <row r="119" spans="1:27" ht="12.75" customHeight="1" x14ac:dyDescent="0.25">
      <c r="A119" s="229"/>
      <c r="B119" s="229"/>
      <c r="C119" s="220"/>
      <c r="D119" s="220"/>
      <c r="E119" s="242"/>
      <c r="F119" s="254"/>
      <c r="G119" s="254"/>
      <c r="H119" s="254"/>
      <c r="I119" s="246"/>
      <c r="J119" s="254"/>
      <c r="K119" s="237"/>
      <c r="L119" s="246"/>
      <c r="M119" s="237"/>
      <c r="N119" s="220"/>
      <c r="O119" s="220"/>
      <c r="P119" s="220"/>
      <c r="Q119" s="254"/>
      <c r="R119" s="254"/>
      <c r="S119" s="220"/>
      <c r="T119" s="220"/>
      <c r="U119" s="220"/>
      <c r="V119" s="220"/>
      <c r="W119" s="220"/>
      <c r="X119" s="220"/>
      <c r="Y119" s="220"/>
      <c r="Z119" s="220"/>
      <c r="AA119" s="220"/>
    </row>
    <row r="120" spans="1:27" ht="12.75" customHeight="1" x14ac:dyDescent="0.25">
      <c r="A120" s="229"/>
      <c r="B120" s="229"/>
      <c r="C120" s="220"/>
      <c r="D120" s="220"/>
      <c r="E120" s="242"/>
      <c r="F120" s="254"/>
      <c r="G120" s="254"/>
      <c r="H120" s="254"/>
      <c r="I120" s="246"/>
      <c r="J120" s="254"/>
      <c r="K120" s="237"/>
      <c r="L120" s="246"/>
      <c r="M120" s="237"/>
      <c r="N120" s="220"/>
      <c r="O120" s="220"/>
      <c r="P120" s="220"/>
      <c r="Q120" s="254"/>
      <c r="R120" s="254"/>
      <c r="S120" s="220"/>
      <c r="T120" s="220"/>
      <c r="U120" s="220"/>
      <c r="V120" s="220"/>
      <c r="W120" s="220"/>
      <c r="X120" s="220"/>
      <c r="Y120" s="220"/>
      <c r="Z120" s="220"/>
      <c r="AA120" s="220"/>
    </row>
    <row r="121" spans="1:27" ht="12.75" customHeight="1" x14ac:dyDescent="0.25">
      <c r="A121" s="229"/>
      <c r="B121" s="229"/>
      <c r="C121" s="220"/>
      <c r="D121" s="220"/>
      <c r="E121" s="242"/>
      <c r="F121" s="254"/>
      <c r="G121" s="254"/>
      <c r="H121" s="254"/>
      <c r="I121" s="246"/>
      <c r="J121" s="254"/>
      <c r="K121" s="237"/>
      <c r="L121" s="246"/>
      <c r="M121" s="237"/>
      <c r="N121" s="220"/>
      <c r="O121" s="220"/>
      <c r="P121" s="220"/>
      <c r="Q121" s="254"/>
      <c r="R121" s="254"/>
      <c r="S121" s="220"/>
      <c r="T121" s="220"/>
      <c r="U121" s="220"/>
      <c r="V121" s="220"/>
      <c r="W121" s="220"/>
      <c r="X121" s="220"/>
      <c r="Y121" s="220"/>
      <c r="Z121" s="220"/>
      <c r="AA121" s="220"/>
    </row>
    <row r="122" spans="1:27" ht="12.75" customHeight="1" x14ac:dyDescent="0.25">
      <c r="A122" s="229"/>
      <c r="B122" s="229"/>
      <c r="C122" s="220"/>
      <c r="D122" s="220"/>
      <c r="E122" s="242"/>
      <c r="F122" s="254"/>
      <c r="G122" s="254"/>
      <c r="H122" s="254"/>
      <c r="I122" s="246"/>
      <c r="J122" s="254"/>
      <c r="K122" s="237"/>
      <c r="L122" s="246"/>
      <c r="M122" s="237"/>
      <c r="N122" s="220"/>
      <c r="O122" s="220"/>
      <c r="P122" s="220"/>
      <c r="Q122" s="254"/>
      <c r="R122" s="254"/>
      <c r="S122" s="220"/>
      <c r="T122" s="220"/>
      <c r="U122" s="220"/>
      <c r="V122" s="220"/>
      <c r="W122" s="220"/>
      <c r="X122" s="220"/>
      <c r="Y122" s="220"/>
      <c r="Z122" s="220"/>
      <c r="AA122" s="220"/>
    </row>
    <row r="123" spans="1:27" ht="12.75" customHeight="1" x14ac:dyDescent="0.25">
      <c r="A123" s="229"/>
      <c r="B123" s="229"/>
      <c r="C123" s="220"/>
      <c r="D123" s="220"/>
      <c r="E123" s="242"/>
      <c r="F123" s="254"/>
      <c r="G123" s="254"/>
      <c r="H123" s="254"/>
      <c r="I123" s="246"/>
      <c r="J123" s="254"/>
      <c r="K123" s="237"/>
      <c r="L123" s="246"/>
      <c r="M123" s="237"/>
      <c r="N123" s="220"/>
      <c r="O123" s="220"/>
      <c r="P123" s="220"/>
      <c r="Q123" s="254"/>
      <c r="R123" s="254"/>
      <c r="S123" s="220"/>
      <c r="T123" s="220"/>
      <c r="U123" s="220"/>
      <c r="V123" s="220"/>
      <c r="W123" s="220"/>
      <c r="X123" s="220"/>
      <c r="Y123" s="220"/>
      <c r="Z123" s="220"/>
      <c r="AA123" s="220"/>
    </row>
    <row r="124" spans="1:27" ht="12.75" customHeight="1" x14ac:dyDescent="0.25">
      <c r="A124" s="229"/>
      <c r="B124" s="229"/>
      <c r="C124" s="220"/>
      <c r="D124" s="220"/>
      <c r="E124" s="242"/>
      <c r="F124" s="254"/>
      <c r="G124" s="254"/>
      <c r="H124" s="254"/>
      <c r="I124" s="246"/>
      <c r="J124" s="254"/>
      <c r="K124" s="237"/>
      <c r="L124" s="246"/>
      <c r="M124" s="237"/>
      <c r="N124" s="220"/>
      <c r="O124" s="220"/>
      <c r="P124" s="220"/>
      <c r="Q124" s="254"/>
      <c r="R124" s="254"/>
      <c r="S124" s="220"/>
      <c r="T124" s="220"/>
      <c r="U124" s="220"/>
      <c r="V124" s="220"/>
      <c r="W124" s="220"/>
      <c r="X124" s="220"/>
      <c r="Y124" s="220"/>
      <c r="Z124" s="220"/>
      <c r="AA124" s="220"/>
    </row>
    <row r="125" spans="1:27" ht="12.75" customHeight="1" x14ac:dyDescent="0.25">
      <c r="A125" s="229"/>
      <c r="B125" s="229"/>
      <c r="C125" s="220"/>
      <c r="D125" s="220"/>
      <c r="E125" s="242"/>
      <c r="F125" s="254"/>
      <c r="G125" s="254"/>
      <c r="H125" s="254"/>
      <c r="I125" s="246"/>
      <c r="J125" s="254"/>
      <c r="K125" s="237"/>
      <c r="L125" s="246"/>
      <c r="M125" s="237"/>
      <c r="N125" s="220"/>
      <c r="O125" s="220"/>
      <c r="P125" s="220"/>
      <c r="Q125" s="254"/>
      <c r="R125" s="254"/>
      <c r="S125" s="220"/>
      <c r="T125" s="220"/>
      <c r="U125" s="220"/>
      <c r="V125" s="220"/>
      <c r="W125" s="220"/>
      <c r="X125" s="220"/>
      <c r="Y125" s="220"/>
      <c r="Z125" s="220"/>
      <c r="AA125" s="220"/>
    </row>
    <row r="126" spans="1:27" ht="12.75" customHeight="1" x14ac:dyDescent="0.25">
      <c r="A126" s="229"/>
      <c r="B126" s="229"/>
      <c r="C126" s="220"/>
      <c r="D126" s="220"/>
      <c r="E126" s="242"/>
      <c r="F126" s="254"/>
      <c r="G126" s="254"/>
      <c r="H126" s="254"/>
      <c r="I126" s="246"/>
      <c r="J126" s="254"/>
      <c r="K126" s="237"/>
      <c r="L126" s="246"/>
      <c r="M126" s="237"/>
      <c r="N126" s="220"/>
      <c r="O126" s="220"/>
      <c r="P126" s="220"/>
      <c r="Q126" s="254"/>
      <c r="R126" s="254"/>
      <c r="S126" s="220"/>
      <c r="T126" s="220"/>
      <c r="U126" s="220"/>
      <c r="V126" s="220"/>
      <c r="W126" s="220"/>
      <c r="X126" s="220"/>
      <c r="Y126" s="220"/>
      <c r="Z126" s="220"/>
      <c r="AA126" s="220"/>
    </row>
    <row r="127" spans="1:27" ht="12.75" customHeight="1" x14ac:dyDescent="0.25">
      <c r="A127" s="229"/>
      <c r="B127" s="229"/>
      <c r="C127" s="220"/>
      <c r="D127" s="220"/>
      <c r="E127" s="242"/>
      <c r="F127" s="254"/>
      <c r="G127" s="254"/>
      <c r="H127" s="254"/>
      <c r="I127" s="246"/>
      <c r="J127" s="254"/>
      <c r="K127" s="237"/>
      <c r="L127" s="246"/>
      <c r="M127" s="237"/>
      <c r="N127" s="220"/>
      <c r="O127" s="220"/>
      <c r="P127" s="220"/>
      <c r="Q127" s="254"/>
      <c r="R127" s="254"/>
      <c r="S127" s="220"/>
      <c r="T127" s="220"/>
      <c r="U127" s="220"/>
      <c r="V127" s="220"/>
      <c r="W127" s="220"/>
      <c r="X127" s="220"/>
      <c r="Y127" s="220"/>
      <c r="Z127" s="220"/>
      <c r="AA127" s="220"/>
    </row>
    <row r="128" spans="1:27" ht="12.75" customHeight="1" x14ac:dyDescent="0.25">
      <c r="A128" s="229"/>
      <c r="B128" s="229"/>
      <c r="C128" s="220"/>
      <c r="D128" s="220"/>
      <c r="E128" s="242"/>
      <c r="F128" s="254"/>
      <c r="G128" s="254"/>
      <c r="H128" s="254"/>
      <c r="I128" s="246"/>
      <c r="J128" s="254"/>
      <c r="K128" s="237"/>
      <c r="L128" s="246"/>
      <c r="M128" s="237"/>
      <c r="N128" s="220"/>
      <c r="O128" s="220"/>
      <c r="P128" s="220"/>
      <c r="Q128" s="254"/>
      <c r="R128" s="254"/>
      <c r="S128" s="220"/>
      <c r="T128" s="220"/>
      <c r="U128" s="220"/>
      <c r="V128" s="220"/>
      <c r="W128" s="220"/>
      <c r="X128" s="220"/>
      <c r="Y128" s="220"/>
      <c r="Z128" s="220"/>
      <c r="AA128" s="220"/>
    </row>
    <row r="129" spans="1:27" ht="12.75" customHeight="1" x14ac:dyDescent="0.25">
      <c r="A129" s="229"/>
      <c r="B129" s="229"/>
      <c r="C129" s="220"/>
      <c r="D129" s="220"/>
      <c r="E129" s="242"/>
      <c r="F129" s="254"/>
      <c r="G129" s="254"/>
      <c r="H129" s="254"/>
      <c r="I129" s="246"/>
      <c r="J129" s="254"/>
      <c r="K129" s="237"/>
      <c r="L129" s="246"/>
      <c r="M129" s="237"/>
      <c r="N129" s="220"/>
      <c r="O129" s="220"/>
      <c r="P129" s="220"/>
      <c r="Q129" s="254"/>
      <c r="R129" s="254"/>
      <c r="S129" s="220"/>
      <c r="T129" s="220"/>
      <c r="U129" s="220"/>
      <c r="V129" s="220"/>
      <c r="W129" s="220"/>
      <c r="X129" s="220"/>
      <c r="Y129" s="220"/>
      <c r="Z129" s="220"/>
      <c r="AA129" s="220"/>
    </row>
    <row r="130" spans="1:27" ht="12.75" customHeight="1" x14ac:dyDescent="0.25">
      <c r="A130" s="229"/>
      <c r="B130" s="229"/>
      <c r="C130" s="220"/>
      <c r="D130" s="220"/>
      <c r="E130" s="242"/>
      <c r="F130" s="254"/>
      <c r="G130" s="254"/>
      <c r="H130" s="254"/>
      <c r="I130" s="246"/>
      <c r="J130" s="254"/>
      <c r="K130" s="237"/>
      <c r="L130" s="246"/>
      <c r="M130" s="237"/>
      <c r="N130" s="220"/>
      <c r="O130" s="220"/>
      <c r="P130" s="220"/>
      <c r="Q130" s="254"/>
      <c r="R130" s="254"/>
      <c r="S130" s="220"/>
      <c r="T130" s="220"/>
      <c r="U130" s="220"/>
      <c r="V130" s="220"/>
      <c r="W130" s="220"/>
      <c r="X130" s="220"/>
      <c r="Y130" s="220"/>
      <c r="Z130" s="220"/>
      <c r="AA130" s="220"/>
    </row>
    <row r="131" spans="1:27" ht="12.75" customHeight="1" x14ac:dyDescent="0.25">
      <c r="A131" s="229"/>
      <c r="B131" s="229"/>
      <c r="C131" s="220"/>
      <c r="D131" s="220"/>
      <c r="E131" s="242"/>
      <c r="F131" s="254"/>
      <c r="G131" s="254"/>
      <c r="H131" s="254"/>
      <c r="I131" s="246"/>
      <c r="J131" s="254"/>
      <c r="K131" s="237"/>
      <c r="L131" s="246"/>
      <c r="M131" s="237"/>
      <c r="N131" s="220"/>
      <c r="O131" s="220"/>
      <c r="P131" s="220"/>
      <c r="Q131" s="254"/>
      <c r="R131" s="254"/>
      <c r="S131" s="220"/>
      <c r="T131" s="220"/>
      <c r="U131" s="220"/>
      <c r="V131" s="220"/>
      <c r="W131" s="220"/>
      <c r="X131" s="220"/>
      <c r="Y131" s="220"/>
      <c r="Z131" s="220"/>
      <c r="AA131" s="220"/>
    </row>
    <row r="132" spans="1:27" ht="12.75" customHeight="1" x14ac:dyDescent="0.25">
      <c r="A132" s="229"/>
      <c r="B132" s="229"/>
      <c r="C132" s="220"/>
      <c r="D132" s="220"/>
      <c r="E132" s="242"/>
      <c r="F132" s="254"/>
      <c r="G132" s="254"/>
      <c r="H132" s="254"/>
      <c r="I132" s="246"/>
      <c r="J132" s="254"/>
      <c r="K132" s="237"/>
      <c r="L132" s="246"/>
      <c r="M132" s="237"/>
      <c r="N132" s="220"/>
      <c r="O132" s="220"/>
      <c r="P132" s="220"/>
      <c r="Q132" s="254"/>
      <c r="R132" s="254"/>
      <c r="S132" s="220"/>
      <c r="T132" s="220"/>
      <c r="U132" s="220"/>
      <c r="V132" s="220"/>
      <c r="W132" s="220"/>
      <c r="X132" s="220"/>
      <c r="Y132" s="220"/>
      <c r="Z132" s="220"/>
      <c r="AA132" s="220"/>
    </row>
    <row r="133" spans="1:27" ht="12.75" customHeight="1" x14ac:dyDescent="0.25">
      <c r="A133" s="229"/>
      <c r="B133" s="229"/>
      <c r="C133" s="220"/>
      <c r="D133" s="220"/>
      <c r="E133" s="242"/>
      <c r="F133" s="254"/>
      <c r="G133" s="254"/>
      <c r="H133" s="254"/>
      <c r="I133" s="246"/>
      <c r="J133" s="254"/>
      <c r="K133" s="237"/>
      <c r="L133" s="246"/>
      <c r="M133" s="237"/>
      <c r="N133" s="220"/>
      <c r="O133" s="220"/>
      <c r="P133" s="220"/>
      <c r="Q133" s="254"/>
      <c r="R133" s="254"/>
      <c r="S133" s="220"/>
      <c r="T133" s="220"/>
      <c r="U133" s="220"/>
      <c r="V133" s="220"/>
      <c r="W133" s="220"/>
      <c r="X133" s="220"/>
      <c r="Y133" s="220"/>
      <c r="Z133" s="220"/>
      <c r="AA133" s="220"/>
    </row>
    <row r="134" spans="1:27" ht="12.75" customHeight="1" x14ac:dyDescent="0.25">
      <c r="A134" s="229"/>
      <c r="B134" s="229"/>
      <c r="C134" s="220"/>
      <c r="D134" s="220"/>
      <c r="E134" s="242"/>
      <c r="F134" s="254"/>
      <c r="G134" s="254"/>
      <c r="H134" s="254"/>
      <c r="I134" s="246"/>
      <c r="J134" s="254"/>
      <c r="K134" s="237"/>
      <c r="L134" s="246"/>
      <c r="M134" s="237"/>
      <c r="N134" s="220"/>
      <c r="O134" s="220"/>
      <c r="P134" s="220"/>
      <c r="Q134" s="254"/>
      <c r="R134" s="254"/>
      <c r="S134" s="220"/>
      <c r="T134" s="220"/>
      <c r="U134" s="220"/>
      <c r="V134" s="220"/>
      <c r="W134" s="220"/>
      <c r="X134" s="220"/>
      <c r="Y134" s="220"/>
      <c r="Z134" s="220"/>
      <c r="AA134" s="220"/>
    </row>
    <row r="135" spans="1:27" ht="12.75" customHeight="1" x14ac:dyDescent="0.25">
      <c r="A135" s="229"/>
      <c r="B135" s="229"/>
      <c r="C135" s="220"/>
      <c r="D135" s="220"/>
      <c r="E135" s="242"/>
      <c r="F135" s="254"/>
      <c r="G135" s="254"/>
      <c r="H135" s="254"/>
      <c r="I135" s="246"/>
      <c r="J135" s="254"/>
      <c r="K135" s="237"/>
      <c r="L135" s="246"/>
      <c r="M135" s="237"/>
      <c r="N135" s="220"/>
      <c r="O135" s="220"/>
      <c r="P135" s="220"/>
      <c r="Q135" s="254"/>
      <c r="R135" s="254"/>
      <c r="S135" s="220"/>
      <c r="T135" s="220"/>
      <c r="U135" s="220"/>
      <c r="V135" s="220"/>
      <c r="W135" s="220"/>
      <c r="X135" s="220"/>
      <c r="Y135" s="220"/>
      <c r="Z135" s="220"/>
      <c r="AA135" s="220"/>
    </row>
    <row r="136" spans="1:27" ht="12.75" customHeight="1" x14ac:dyDescent="0.25">
      <c r="A136" s="229"/>
      <c r="B136" s="229"/>
      <c r="C136" s="220"/>
      <c r="D136" s="220"/>
      <c r="E136" s="242"/>
      <c r="F136" s="254"/>
      <c r="G136" s="254"/>
      <c r="H136" s="254"/>
      <c r="I136" s="246"/>
      <c r="J136" s="254"/>
      <c r="K136" s="237"/>
      <c r="L136" s="246"/>
      <c r="M136" s="237"/>
      <c r="N136" s="220"/>
      <c r="O136" s="220"/>
      <c r="P136" s="220"/>
      <c r="Q136" s="254"/>
      <c r="R136" s="254"/>
      <c r="S136" s="220"/>
      <c r="T136" s="220"/>
      <c r="U136" s="220"/>
      <c r="V136" s="220"/>
      <c r="W136" s="220"/>
      <c r="X136" s="220"/>
      <c r="Y136" s="220"/>
      <c r="Z136" s="220"/>
      <c r="AA136" s="220"/>
    </row>
    <row r="137" spans="1:27" ht="12.75" customHeight="1" x14ac:dyDescent="0.25">
      <c r="A137" s="229"/>
      <c r="B137" s="229"/>
      <c r="C137" s="220"/>
      <c r="D137" s="220"/>
      <c r="E137" s="242"/>
      <c r="F137" s="254"/>
      <c r="G137" s="254"/>
      <c r="H137" s="254"/>
      <c r="I137" s="246"/>
      <c r="J137" s="254"/>
      <c r="K137" s="237"/>
      <c r="L137" s="246"/>
      <c r="M137" s="237"/>
      <c r="N137" s="220"/>
      <c r="O137" s="220"/>
      <c r="P137" s="220"/>
      <c r="Q137" s="254"/>
      <c r="R137" s="254"/>
      <c r="S137" s="220"/>
      <c r="T137" s="220"/>
      <c r="U137" s="220"/>
      <c r="V137" s="220"/>
      <c r="W137" s="220"/>
      <c r="X137" s="220"/>
      <c r="Y137" s="220"/>
      <c r="Z137" s="220"/>
      <c r="AA137" s="220"/>
    </row>
    <row r="138" spans="1:27" ht="12.75" customHeight="1" x14ac:dyDescent="0.25">
      <c r="A138" s="229"/>
      <c r="B138" s="229"/>
      <c r="C138" s="220"/>
      <c r="D138" s="220"/>
      <c r="E138" s="242"/>
      <c r="F138" s="254"/>
      <c r="G138" s="254"/>
      <c r="H138" s="254"/>
      <c r="I138" s="246"/>
      <c r="J138" s="254"/>
      <c r="K138" s="237"/>
      <c r="L138" s="246"/>
      <c r="M138" s="237"/>
      <c r="N138" s="220"/>
      <c r="O138" s="220"/>
      <c r="P138" s="220"/>
      <c r="Q138" s="254"/>
      <c r="R138" s="254"/>
      <c r="S138" s="220"/>
      <c r="T138" s="220"/>
      <c r="U138" s="220"/>
      <c r="V138" s="220"/>
      <c r="W138" s="220"/>
      <c r="X138" s="220"/>
      <c r="Y138" s="220"/>
      <c r="Z138" s="220"/>
      <c r="AA138" s="220"/>
    </row>
    <row r="139" spans="1:27" ht="12.75" customHeight="1" x14ac:dyDescent="0.25">
      <c r="A139" s="229"/>
      <c r="B139" s="229"/>
      <c r="C139" s="220"/>
      <c r="D139" s="220"/>
      <c r="E139" s="242"/>
      <c r="F139" s="254"/>
      <c r="G139" s="254"/>
      <c r="H139" s="254"/>
      <c r="I139" s="246"/>
      <c r="J139" s="254"/>
      <c r="K139" s="237"/>
      <c r="L139" s="246"/>
      <c r="M139" s="237"/>
      <c r="N139" s="220"/>
      <c r="O139" s="220"/>
      <c r="P139" s="220"/>
      <c r="Q139" s="254"/>
      <c r="R139" s="254"/>
      <c r="S139" s="220"/>
      <c r="T139" s="220"/>
      <c r="U139" s="220"/>
      <c r="V139" s="220"/>
      <c r="W139" s="220"/>
      <c r="X139" s="220"/>
      <c r="Y139" s="220"/>
      <c r="Z139" s="220"/>
      <c r="AA139" s="220"/>
    </row>
    <row r="140" spans="1:27" ht="12.75" customHeight="1" x14ac:dyDescent="0.25">
      <c r="A140" s="229"/>
      <c r="B140" s="229"/>
      <c r="C140" s="220"/>
      <c r="D140" s="220"/>
      <c r="E140" s="242"/>
      <c r="F140" s="254"/>
      <c r="G140" s="254"/>
      <c r="H140" s="254"/>
      <c r="I140" s="246"/>
      <c r="J140" s="254"/>
      <c r="K140" s="237"/>
      <c r="L140" s="246"/>
      <c r="M140" s="237"/>
      <c r="N140" s="220"/>
      <c r="O140" s="220"/>
      <c r="P140" s="220"/>
      <c r="Q140" s="254"/>
      <c r="R140" s="254"/>
      <c r="S140" s="220"/>
      <c r="T140" s="220"/>
      <c r="U140" s="220"/>
      <c r="V140" s="220"/>
      <c r="W140" s="220"/>
      <c r="X140" s="220"/>
      <c r="Y140" s="220"/>
      <c r="Z140" s="220"/>
      <c r="AA140" s="220"/>
    </row>
    <row r="141" spans="1:27" ht="12.75" customHeight="1" x14ac:dyDescent="0.25">
      <c r="A141" s="229"/>
      <c r="B141" s="229"/>
      <c r="C141" s="220"/>
      <c r="D141" s="220"/>
      <c r="E141" s="242"/>
      <c r="F141" s="254"/>
      <c r="G141" s="254"/>
      <c r="H141" s="254"/>
      <c r="I141" s="246"/>
      <c r="J141" s="254"/>
      <c r="K141" s="237"/>
      <c r="L141" s="246"/>
      <c r="M141" s="237"/>
      <c r="N141" s="220"/>
      <c r="O141" s="220"/>
      <c r="P141" s="220"/>
      <c r="Q141" s="254"/>
      <c r="R141" s="254"/>
      <c r="S141" s="220"/>
      <c r="T141" s="220"/>
      <c r="U141" s="220"/>
      <c r="V141" s="220"/>
      <c r="W141" s="220"/>
      <c r="X141" s="220"/>
      <c r="Y141" s="220"/>
      <c r="Z141" s="220"/>
      <c r="AA141" s="220"/>
    </row>
    <row r="142" spans="1:27" ht="12.75" customHeight="1" x14ac:dyDescent="0.25">
      <c r="A142" s="229"/>
      <c r="B142" s="229"/>
      <c r="C142" s="220"/>
      <c r="D142" s="220"/>
      <c r="E142" s="242"/>
      <c r="F142" s="254"/>
      <c r="G142" s="254"/>
      <c r="H142" s="254"/>
      <c r="I142" s="246"/>
      <c r="J142" s="254"/>
      <c r="K142" s="237"/>
      <c r="L142" s="246"/>
      <c r="M142" s="237"/>
      <c r="N142" s="220"/>
      <c r="O142" s="220"/>
      <c r="P142" s="220"/>
      <c r="Q142" s="254"/>
      <c r="R142" s="254"/>
      <c r="S142" s="220"/>
      <c r="T142" s="220"/>
      <c r="U142" s="220"/>
      <c r="V142" s="220"/>
      <c r="W142" s="220"/>
      <c r="X142" s="220"/>
      <c r="Y142" s="220"/>
      <c r="Z142" s="220"/>
      <c r="AA142" s="220"/>
    </row>
    <row r="143" spans="1:27" ht="12.75" customHeight="1" x14ac:dyDescent="0.25">
      <c r="A143" s="229"/>
      <c r="B143" s="229"/>
      <c r="C143" s="220"/>
      <c r="D143" s="220"/>
      <c r="E143" s="242"/>
      <c r="F143" s="254"/>
      <c r="G143" s="254"/>
      <c r="H143" s="254"/>
      <c r="I143" s="246"/>
      <c r="J143" s="254"/>
      <c r="K143" s="237"/>
      <c r="L143" s="246"/>
      <c r="M143" s="237"/>
      <c r="N143" s="220"/>
      <c r="O143" s="220"/>
      <c r="P143" s="220"/>
      <c r="Q143" s="254"/>
      <c r="R143" s="254"/>
      <c r="S143" s="220"/>
      <c r="T143" s="220"/>
      <c r="U143" s="220"/>
      <c r="V143" s="220"/>
      <c r="W143" s="220"/>
      <c r="X143" s="220"/>
      <c r="Y143" s="220"/>
      <c r="Z143" s="220"/>
      <c r="AA143" s="220"/>
    </row>
    <row r="144" spans="1:27" ht="12.75" customHeight="1" x14ac:dyDescent="0.25">
      <c r="A144" s="229"/>
      <c r="B144" s="229"/>
      <c r="C144" s="220"/>
      <c r="D144" s="220"/>
      <c r="E144" s="242"/>
      <c r="F144" s="254"/>
      <c r="G144" s="254"/>
      <c r="H144" s="254"/>
      <c r="I144" s="246"/>
      <c r="J144" s="254"/>
      <c r="K144" s="237"/>
      <c r="L144" s="246"/>
      <c r="M144" s="237"/>
      <c r="N144" s="220"/>
      <c r="O144" s="220"/>
      <c r="P144" s="220"/>
      <c r="Q144" s="254"/>
      <c r="R144" s="254"/>
      <c r="S144" s="220"/>
      <c r="T144" s="220"/>
      <c r="U144" s="220"/>
      <c r="V144" s="220"/>
      <c r="W144" s="220"/>
      <c r="X144" s="220"/>
      <c r="Y144" s="220"/>
      <c r="Z144" s="220"/>
      <c r="AA144" s="220"/>
    </row>
    <row r="145" spans="1:27" ht="12.75" customHeight="1" x14ac:dyDescent="0.25">
      <c r="A145" s="229"/>
      <c r="B145" s="229"/>
      <c r="C145" s="220"/>
      <c r="D145" s="220"/>
      <c r="E145" s="242"/>
      <c r="F145" s="254"/>
      <c r="G145" s="254"/>
      <c r="H145" s="254"/>
      <c r="I145" s="246"/>
      <c r="J145" s="254"/>
      <c r="K145" s="237"/>
      <c r="L145" s="246"/>
      <c r="M145" s="237"/>
      <c r="N145" s="220"/>
      <c r="O145" s="220"/>
      <c r="P145" s="220"/>
      <c r="Q145" s="254"/>
      <c r="R145" s="254"/>
      <c r="S145" s="220"/>
      <c r="T145" s="220"/>
      <c r="U145" s="220"/>
      <c r="V145" s="220"/>
      <c r="W145" s="220"/>
      <c r="X145" s="220"/>
      <c r="Y145" s="220"/>
      <c r="Z145" s="220"/>
      <c r="AA145" s="220"/>
    </row>
    <row r="146" spans="1:27" ht="12.75" customHeight="1" x14ac:dyDescent="0.25">
      <c r="A146" s="229"/>
      <c r="B146" s="229"/>
      <c r="C146" s="220"/>
      <c r="D146" s="220"/>
      <c r="E146" s="242"/>
      <c r="F146" s="254"/>
      <c r="G146" s="254"/>
      <c r="H146" s="254"/>
      <c r="I146" s="246"/>
      <c r="J146" s="254"/>
      <c r="K146" s="237"/>
      <c r="L146" s="246"/>
      <c r="M146" s="237"/>
      <c r="N146" s="220"/>
      <c r="O146" s="220"/>
      <c r="P146" s="220"/>
      <c r="Q146" s="254"/>
      <c r="R146" s="254"/>
      <c r="S146" s="220"/>
      <c r="T146" s="220"/>
      <c r="U146" s="220"/>
      <c r="V146" s="220"/>
      <c r="W146" s="220"/>
      <c r="X146" s="220"/>
      <c r="Y146" s="220"/>
      <c r="Z146" s="220"/>
      <c r="AA146" s="220"/>
    </row>
    <row r="147" spans="1:27" ht="12.75" customHeight="1" x14ac:dyDescent="0.25">
      <c r="A147" s="229"/>
      <c r="B147" s="229"/>
      <c r="C147" s="220"/>
      <c r="D147" s="220"/>
      <c r="E147" s="242"/>
      <c r="F147" s="254"/>
      <c r="G147" s="254"/>
      <c r="H147" s="254"/>
      <c r="I147" s="246"/>
      <c r="J147" s="254"/>
      <c r="K147" s="237"/>
      <c r="L147" s="246"/>
      <c r="M147" s="237"/>
      <c r="N147" s="220"/>
      <c r="O147" s="220"/>
      <c r="P147" s="220"/>
      <c r="Q147" s="254"/>
      <c r="R147" s="254"/>
      <c r="S147" s="220"/>
      <c r="T147" s="220"/>
      <c r="U147" s="220"/>
      <c r="V147" s="220"/>
      <c r="W147" s="220"/>
      <c r="X147" s="220"/>
      <c r="Y147" s="220"/>
      <c r="Z147" s="220"/>
      <c r="AA147" s="220"/>
    </row>
    <row r="148" spans="1:27" ht="12.75" customHeight="1" x14ac:dyDescent="0.25">
      <c r="A148" s="229"/>
      <c r="B148" s="229"/>
      <c r="C148" s="220"/>
      <c r="D148" s="220"/>
      <c r="E148" s="242"/>
      <c r="F148" s="254"/>
      <c r="G148" s="254"/>
      <c r="H148" s="254"/>
      <c r="I148" s="246"/>
      <c r="J148" s="254"/>
      <c r="K148" s="237"/>
      <c r="L148" s="246"/>
      <c r="M148" s="237"/>
      <c r="N148" s="220"/>
      <c r="O148" s="220"/>
      <c r="P148" s="220"/>
      <c r="Q148" s="254"/>
      <c r="R148" s="254"/>
      <c r="S148" s="220"/>
      <c r="T148" s="220"/>
      <c r="U148" s="220"/>
      <c r="V148" s="220"/>
      <c r="W148" s="220"/>
      <c r="X148" s="220"/>
      <c r="Y148" s="220"/>
      <c r="Z148" s="220"/>
      <c r="AA148" s="220"/>
    </row>
    <row r="149" spans="1:27" ht="12.75" customHeight="1" x14ac:dyDescent="0.25">
      <c r="A149" s="229"/>
      <c r="B149" s="229"/>
      <c r="C149" s="220"/>
      <c r="D149" s="220"/>
      <c r="E149" s="242"/>
      <c r="F149" s="254"/>
      <c r="G149" s="254"/>
      <c r="H149" s="254"/>
      <c r="I149" s="246"/>
      <c r="J149" s="254"/>
      <c r="K149" s="237"/>
      <c r="L149" s="246"/>
      <c r="M149" s="237"/>
      <c r="N149" s="220"/>
      <c r="O149" s="220"/>
      <c r="P149" s="220"/>
      <c r="Q149" s="254"/>
      <c r="R149" s="254"/>
      <c r="S149" s="220"/>
      <c r="T149" s="220"/>
      <c r="U149" s="220"/>
      <c r="V149" s="220"/>
      <c r="W149" s="220"/>
      <c r="X149" s="220"/>
      <c r="Y149" s="220"/>
      <c r="Z149" s="220"/>
      <c r="AA149" s="220"/>
    </row>
    <row r="150" spans="1:27" ht="12.75" customHeight="1" x14ac:dyDescent="0.25">
      <c r="A150" s="229"/>
      <c r="B150" s="229"/>
      <c r="C150" s="220"/>
      <c r="D150" s="220"/>
      <c r="E150" s="242"/>
      <c r="F150" s="254"/>
      <c r="G150" s="254"/>
      <c r="H150" s="254"/>
      <c r="I150" s="246"/>
      <c r="J150" s="254"/>
      <c r="K150" s="237"/>
      <c r="L150" s="246"/>
      <c r="M150" s="237"/>
      <c r="N150" s="220"/>
      <c r="O150" s="220"/>
      <c r="P150" s="220"/>
      <c r="Q150" s="254"/>
      <c r="R150" s="254"/>
      <c r="S150" s="220"/>
      <c r="T150" s="220"/>
      <c r="U150" s="220"/>
      <c r="V150" s="220"/>
      <c r="W150" s="220"/>
      <c r="X150" s="220"/>
      <c r="Y150" s="220"/>
      <c r="Z150" s="220"/>
      <c r="AA150" s="220"/>
    </row>
    <row r="151" spans="1:27" ht="12.75" customHeight="1" x14ac:dyDescent="0.25">
      <c r="A151" s="229"/>
      <c r="B151" s="229"/>
      <c r="C151" s="220"/>
      <c r="D151" s="220"/>
      <c r="E151" s="242"/>
      <c r="F151" s="254"/>
      <c r="G151" s="254"/>
      <c r="H151" s="254"/>
      <c r="I151" s="246"/>
      <c r="J151" s="254"/>
      <c r="K151" s="237"/>
      <c r="L151" s="246"/>
      <c r="M151" s="237"/>
      <c r="N151" s="220"/>
      <c r="O151" s="220"/>
      <c r="P151" s="220"/>
      <c r="Q151" s="254"/>
      <c r="R151" s="254"/>
      <c r="S151" s="220"/>
      <c r="T151" s="220"/>
      <c r="U151" s="220"/>
      <c r="V151" s="220"/>
      <c r="W151" s="220"/>
      <c r="X151" s="220"/>
      <c r="Y151" s="220"/>
      <c r="Z151" s="220"/>
      <c r="AA151" s="220"/>
    </row>
    <row r="152" spans="1:27" ht="12.75" customHeight="1" x14ac:dyDescent="0.25">
      <c r="A152" s="229"/>
      <c r="B152" s="229"/>
      <c r="C152" s="220"/>
      <c r="D152" s="220"/>
      <c r="E152" s="242"/>
      <c r="F152" s="254"/>
      <c r="G152" s="254"/>
      <c r="H152" s="254"/>
      <c r="I152" s="246"/>
      <c r="J152" s="254"/>
      <c r="K152" s="237"/>
      <c r="L152" s="246"/>
      <c r="M152" s="237"/>
      <c r="N152" s="220"/>
      <c r="O152" s="220"/>
      <c r="P152" s="220"/>
      <c r="Q152" s="254"/>
      <c r="R152" s="254"/>
      <c r="S152" s="220"/>
      <c r="T152" s="220"/>
      <c r="U152" s="220"/>
      <c r="V152" s="220"/>
      <c r="W152" s="220"/>
      <c r="X152" s="220"/>
      <c r="Y152" s="220"/>
      <c r="Z152" s="220"/>
      <c r="AA152" s="220"/>
    </row>
    <row r="153" spans="1:27" ht="12.75" customHeight="1" x14ac:dyDescent="0.25">
      <c r="A153" s="229"/>
      <c r="B153" s="229"/>
      <c r="C153" s="220"/>
      <c r="D153" s="220"/>
      <c r="E153" s="242"/>
      <c r="F153" s="254"/>
      <c r="G153" s="254"/>
      <c r="H153" s="254"/>
      <c r="I153" s="246"/>
      <c r="J153" s="254"/>
      <c r="K153" s="237"/>
      <c r="L153" s="246"/>
      <c r="M153" s="237"/>
      <c r="N153" s="220"/>
      <c r="O153" s="220"/>
      <c r="P153" s="220"/>
      <c r="Q153" s="254"/>
      <c r="R153" s="254"/>
      <c r="S153" s="220"/>
      <c r="T153" s="220"/>
      <c r="U153" s="220"/>
      <c r="V153" s="220"/>
      <c r="W153" s="220"/>
      <c r="X153" s="220"/>
      <c r="Y153" s="220"/>
      <c r="Z153" s="220"/>
      <c r="AA153" s="220"/>
    </row>
    <row r="154" spans="1:27" ht="12.75" customHeight="1" x14ac:dyDescent="0.25">
      <c r="A154" s="229"/>
      <c r="B154" s="229"/>
      <c r="C154" s="220"/>
      <c r="D154" s="220"/>
      <c r="E154" s="242"/>
      <c r="F154" s="254"/>
      <c r="G154" s="254"/>
      <c r="H154" s="254"/>
      <c r="I154" s="246"/>
      <c r="J154" s="254"/>
      <c r="K154" s="237"/>
      <c r="L154" s="246"/>
      <c r="M154" s="237"/>
      <c r="N154" s="220"/>
      <c r="O154" s="220"/>
      <c r="P154" s="220"/>
      <c r="Q154" s="254"/>
      <c r="R154" s="254"/>
      <c r="S154" s="220"/>
      <c r="T154" s="220"/>
      <c r="U154" s="220"/>
      <c r="V154" s="220"/>
      <c r="W154" s="220"/>
      <c r="X154" s="220"/>
      <c r="Y154" s="220"/>
      <c r="Z154" s="220"/>
      <c r="AA154" s="220"/>
    </row>
    <row r="155" spans="1:27" ht="12.75" customHeight="1" x14ac:dyDescent="0.25">
      <c r="A155" s="229"/>
      <c r="B155" s="229"/>
      <c r="C155" s="220"/>
      <c r="D155" s="220"/>
      <c r="E155" s="242"/>
      <c r="F155" s="254"/>
      <c r="G155" s="254"/>
      <c r="H155" s="254"/>
      <c r="I155" s="246"/>
      <c r="J155" s="254"/>
      <c r="K155" s="237"/>
      <c r="L155" s="246"/>
      <c r="M155" s="237"/>
      <c r="N155" s="220"/>
      <c r="O155" s="220"/>
      <c r="P155" s="220"/>
      <c r="Q155" s="254"/>
      <c r="R155" s="254"/>
      <c r="S155" s="220"/>
      <c r="T155" s="220"/>
      <c r="U155" s="220"/>
      <c r="V155" s="220"/>
      <c r="W155" s="220"/>
      <c r="X155" s="220"/>
      <c r="Y155" s="220"/>
      <c r="Z155" s="220"/>
      <c r="AA155" s="220"/>
    </row>
    <row r="156" spans="1:27" ht="12.75" customHeight="1" x14ac:dyDescent="0.25">
      <c r="A156" s="229"/>
      <c r="B156" s="229"/>
      <c r="C156" s="220"/>
      <c r="D156" s="220"/>
      <c r="E156" s="242"/>
      <c r="F156" s="254"/>
      <c r="G156" s="254"/>
      <c r="H156" s="254"/>
      <c r="I156" s="246"/>
      <c r="J156" s="254"/>
      <c r="K156" s="237"/>
      <c r="L156" s="246"/>
      <c r="M156" s="237"/>
      <c r="N156" s="220"/>
      <c r="O156" s="220"/>
      <c r="P156" s="220"/>
      <c r="Q156" s="254"/>
      <c r="R156" s="254"/>
      <c r="S156" s="220"/>
      <c r="T156" s="220"/>
      <c r="U156" s="220"/>
      <c r="V156" s="220"/>
      <c r="W156" s="220"/>
      <c r="X156" s="220"/>
      <c r="Y156" s="220"/>
      <c r="Z156" s="220"/>
      <c r="AA156" s="220"/>
    </row>
    <row r="157" spans="1:27" ht="12.75" customHeight="1" x14ac:dyDescent="0.25">
      <c r="A157" s="229"/>
      <c r="B157" s="229"/>
      <c r="C157" s="220"/>
      <c r="D157" s="220"/>
      <c r="E157" s="242"/>
      <c r="F157" s="254"/>
      <c r="G157" s="254"/>
      <c r="H157" s="254"/>
      <c r="I157" s="246"/>
      <c r="J157" s="254"/>
      <c r="K157" s="237"/>
      <c r="L157" s="246"/>
      <c r="M157" s="237"/>
      <c r="N157" s="220"/>
      <c r="O157" s="220"/>
      <c r="P157" s="220"/>
      <c r="Q157" s="254"/>
      <c r="R157" s="254"/>
      <c r="S157" s="220"/>
      <c r="T157" s="220"/>
      <c r="U157" s="220"/>
      <c r="V157" s="220"/>
      <c r="W157" s="220"/>
      <c r="X157" s="220"/>
      <c r="Y157" s="220"/>
      <c r="Z157" s="220"/>
      <c r="AA157" s="220"/>
    </row>
    <row r="158" spans="1:27" ht="12.75" customHeight="1" x14ac:dyDescent="0.25">
      <c r="A158" s="229"/>
      <c r="B158" s="229"/>
      <c r="C158" s="220"/>
      <c r="D158" s="220"/>
      <c r="E158" s="242"/>
      <c r="F158" s="254"/>
      <c r="G158" s="254"/>
      <c r="H158" s="254"/>
      <c r="I158" s="246"/>
      <c r="J158" s="254"/>
      <c r="K158" s="237"/>
      <c r="L158" s="246"/>
      <c r="M158" s="237"/>
      <c r="N158" s="220"/>
      <c r="O158" s="220"/>
      <c r="P158" s="220"/>
      <c r="Q158" s="254"/>
      <c r="R158" s="254"/>
      <c r="S158" s="220"/>
      <c r="T158" s="220"/>
      <c r="U158" s="220"/>
      <c r="V158" s="220"/>
      <c r="W158" s="220"/>
      <c r="X158" s="220"/>
      <c r="Y158" s="220"/>
      <c r="Z158" s="220"/>
      <c r="AA158" s="220"/>
    </row>
    <row r="159" spans="1:27" ht="12.75" customHeight="1" x14ac:dyDescent="0.25">
      <c r="A159" s="229"/>
      <c r="B159" s="229"/>
      <c r="C159" s="220"/>
      <c r="D159" s="220"/>
      <c r="E159" s="242"/>
      <c r="F159" s="254"/>
      <c r="G159" s="254"/>
      <c r="H159" s="254"/>
      <c r="I159" s="246"/>
      <c r="J159" s="254"/>
      <c r="K159" s="237"/>
      <c r="L159" s="246"/>
      <c r="M159" s="237"/>
      <c r="N159" s="220"/>
      <c r="O159" s="220"/>
      <c r="P159" s="220"/>
      <c r="Q159" s="254"/>
      <c r="R159" s="254"/>
      <c r="S159" s="220"/>
      <c r="T159" s="220"/>
      <c r="U159" s="220"/>
      <c r="V159" s="220"/>
      <c r="W159" s="220"/>
      <c r="X159" s="220"/>
      <c r="Y159" s="220"/>
      <c r="Z159" s="220"/>
      <c r="AA159" s="220"/>
    </row>
    <row r="160" spans="1:27" ht="12.75" customHeight="1" x14ac:dyDescent="0.25">
      <c r="A160" s="229"/>
      <c r="B160" s="229"/>
      <c r="C160" s="220"/>
      <c r="D160" s="220"/>
      <c r="E160" s="242"/>
      <c r="F160" s="254"/>
      <c r="G160" s="254"/>
      <c r="H160" s="254"/>
      <c r="I160" s="246"/>
      <c r="J160" s="254"/>
      <c r="K160" s="237"/>
      <c r="L160" s="246"/>
      <c r="M160" s="237"/>
      <c r="N160" s="220"/>
      <c r="O160" s="220"/>
      <c r="P160" s="220"/>
      <c r="Q160" s="254"/>
      <c r="R160" s="254"/>
      <c r="S160" s="220"/>
      <c r="T160" s="220"/>
      <c r="U160" s="220"/>
      <c r="V160" s="220"/>
      <c r="W160" s="220"/>
      <c r="X160" s="220"/>
      <c r="Y160" s="220"/>
      <c r="Z160" s="220"/>
      <c r="AA160" s="220"/>
    </row>
    <row r="161" spans="1:27" ht="12.75" customHeight="1" x14ac:dyDescent="0.25">
      <c r="A161" s="229"/>
      <c r="B161" s="229"/>
      <c r="C161" s="220"/>
      <c r="D161" s="220"/>
      <c r="E161" s="242"/>
      <c r="F161" s="254"/>
      <c r="G161" s="254"/>
      <c r="H161" s="254"/>
      <c r="I161" s="246"/>
      <c r="J161" s="254"/>
      <c r="K161" s="237"/>
      <c r="L161" s="246"/>
      <c r="M161" s="237"/>
      <c r="N161" s="220"/>
      <c r="O161" s="220"/>
      <c r="P161" s="220"/>
      <c r="Q161" s="254"/>
      <c r="R161" s="254"/>
      <c r="S161" s="220"/>
      <c r="T161" s="220"/>
      <c r="U161" s="220"/>
      <c r="V161" s="220"/>
      <c r="W161" s="220"/>
      <c r="X161" s="220"/>
      <c r="Y161" s="220"/>
      <c r="Z161" s="220"/>
      <c r="AA161" s="220"/>
    </row>
    <row r="162" spans="1:27" ht="12.75" customHeight="1" x14ac:dyDescent="0.25">
      <c r="A162" s="229"/>
      <c r="B162" s="229"/>
      <c r="C162" s="220"/>
      <c r="D162" s="220"/>
      <c r="E162" s="242"/>
      <c r="F162" s="254"/>
      <c r="G162" s="254"/>
      <c r="H162" s="254"/>
      <c r="I162" s="246"/>
      <c r="J162" s="254"/>
      <c r="K162" s="237"/>
      <c r="L162" s="246"/>
      <c r="M162" s="237"/>
      <c r="N162" s="220"/>
      <c r="O162" s="220"/>
      <c r="P162" s="220"/>
      <c r="Q162" s="254"/>
      <c r="R162" s="254"/>
      <c r="S162" s="220"/>
      <c r="T162" s="220"/>
      <c r="U162" s="220"/>
      <c r="V162" s="220"/>
      <c r="W162" s="220"/>
      <c r="X162" s="220"/>
      <c r="Y162" s="220"/>
      <c r="Z162" s="220"/>
      <c r="AA162" s="220"/>
    </row>
    <row r="163" spans="1:27" ht="12.75" customHeight="1" x14ac:dyDescent="0.25">
      <c r="A163" s="229"/>
      <c r="B163" s="229"/>
      <c r="C163" s="220"/>
      <c r="D163" s="220"/>
      <c r="E163" s="242"/>
      <c r="F163" s="254"/>
      <c r="G163" s="254"/>
      <c r="H163" s="254"/>
      <c r="I163" s="246"/>
      <c r="J163" s="254"/>
      <c r="K163" s="237"/>
      <c r="L163" s="246"/>
      <c r="M163" s="237"/>
      <c r="N163" s="220"/>
      <c r="O163" s="220"/>
      <c r="P163" s="220"/>
      <c r="Q163" s="254"/>
      <c r="R163" s="254"/>
      <c r="S163" s="220"/>
      <c r="T163" s="220"/>
      <c r="U163" s="220"/>
      <c r="V163" s="220"/>
      <c r="W163" s="220"/>
      <c r="X163" s="220"/>
      <c r="Y163" s="220"/>
      <c r="Z163" s="220"/>
      <c r="AA163" s="220"/>
    </row>
    <row r="164" spans="1:27" ht="12.75" customHeight="1" x14ac:dyDescent="0.25">
      <c r="A164" s="229"/>
      <c r="B164" s="229"/>
      <c r="C164" s="220"/>
      <c r="D164" s="220"/>
      <c r="E164" s="242"/>
      <c r="F164" s="254"/>
      <c r="G164" s="254"/>
      <c r="H164" s="254"/>
      <c r="I164" s="246"/>
      <c r="J164" s="254"/>
      <c r="K164" s="237"/>
      <c r="L164" s="246"/>
      <c r="M164" s="237"/>
      <c r="N164" s="220"/>
      <c r="O164" s="220"/>
      <c r="P164" s="220"/>
      <c r="Q164" s="254"/>
      <c r="R164" s="254"/>
      <c r="S164" s="220"/>
      <c r="T164" s="220"/>
      <c r="U164" s="220"/>
      <c r="V164" s="220"/>
      <c r="W164" s="220"/>
      <c r="X164" s="220"/>
      <c r="Y164" s="220"/>
      <c r="Z164" s="220"/>
      <c r="AA164" s="220"/>
    </row>
    <row r="165" spans="1:27" ht="12.75" customHeight="1" x14ac:dyDescent="0.25">
      <c r="A165" s="229"/>
      <c r="B165" s="229"/>
      <c r="C165" s="220"/>
      <c r="D165" s="220"/>
      <c r="E165" s="242"/>
      <c r="F165" s="254"/>
      <c r="G165" s="254"/>
      <c r="H165" s="254"/>
      <c r="I165" s="246"/>
      <c r="J165" s="254"/>
      <c r="K165" s="237"/>
      <c r="L165" s="246"/>
      <c r="M165" s="237"/>
      <c r="N165" s="220"/>
      <c r="O165" s="220"/>
      <c r="P165" s="220"/>
      <c r="Q165" s="254"/>
      <c r="R165" s="254"/>
      <c r="S165" s="220"/>
      <c r="T165" s="220"/>
      <c r="U165" s="220"/>
      <c r="V165" s="220"/>
      <c r="W165" s="220"/>
      <c r="X165" s="220"/>
      <c r="Y165" s="220"/>
      <c r="Z165" s="220"/>
      <c r="AA165" s="220"/>
    </row>
    <row r="166" spans="1:27" ht="12.75" customHeight="1" x14ac:dyDescent="0.25">
      <c r="A166" s="229"/>
      <c r="B166" s="229"/>
      <c r="C166" s="220"/>
      <c r="D166" s="220"/>
      <c r="E166" s="242"/>
      <c r="F166" s="254"/>
      <c r="G166" s="254"/>
      <c r="H166" s="254"/>
      <c r="I166" s="246"/>
      <c r="J166" s="254"/>
      <c r="K166" s="237"/>
      <c r="L166" s="246"/>
      <c r="M166" s="237"/>
      <c r="N166" s="220"/>
      <c r="O166" s="220"/>
      <c r="P166" s="220"/>
      <c r="Q166" s="254"/>
      <c r="R166" s="254"/>
      <c r="S166" s="220"/>
      <c r="T166" s="220"/>
      <c r="U166" s="220"/>
      <c r="V166" s="220"/>
      <c r="W166" s="220"/>
      <c r="X166" s="220"/>
      <c r="Y166" s="220"/>
      <c r="Z166" s="220"/>
      <c r="AA166" s="220"/>
    </row>
    <row r="167" spans="1:27" ht="12.75" customHeight="1" x14ac:dyDescent="0.25">
      <c r="A167" s="229"/>
      <c r="B167" s="229"/>
      <c r="C167" s="220"/>
      <c r="D167" s="220"/>
      <c r="E167" s="242"/>
      <c r="F167" s="254"/>
      <c r="G167" s="254"/>
      <c r="H167" s="254"/>
      <c r="I167" s="246"/>
      <c r="J167" s="254"/>
      <c r="K167" s="237"/>
      <c r="L167" s="246"/>
      <c r="M167" s="237"/>
      <c r="N167" s="220"/>
      <c r="O167" s="220"/>
      <c r="P167" s="220"/>
      <c r="Q167" s="254"/>
      <c r="R167" s="254"/>
      <c r="S167" s="220"/>
      <c r="T167" s="220"/>
      <c r="U167" s="220"/>
      <c r="V167" s="220"/>
      <c r="W167" s="220"/>
      <c r="X167" s="220"/>
      <c r="Y167" s="220"/>
      <c r="Z167" s="220"/>
      <c r="AA167" s="220"/>
    </row>
    <row r="168" spans="1:27" ht="12.75" customHeight="1" x14ac:dyDescent="0.25">
      <c r="A168" s="229"/>
      <c r="B168" s="229"/>
      <c r="C168" s="220"/>
      <c r="D168" s="220"/>
      <c r="E168" s="242"/>
      <c r="F168" s="254"/>
      <c r="G168" s="254"/>
      <c r="H168" s="254"/>
      <c r="I168" s="246"/>
      <c r="J168" s="254"/>
      <c r="K168" s="237"/>
      <c r="L168" s="246"/>
      <c r="M168" s="237"/>
      <c r="N168" s="220"/>
      <c r="O168" s="220"/>
      <c r="P168" s="220"/>
      <c r="Q168" s="254"/>
      <c r="R168" s="254"/>
      <c r="S168" s="220"/>
      <c r="T168" s="220"/>
      <c r="U168" s="220"/>
      <c r="V168" s="220"/>
      <c r="W168" s="220"/>
      <c r="X168" s="220"/>
      <c r="Y168" s="220"/>
      <c r="Z168" s="220"/>
      <c r="AA168" s="220"/>
    </row>
    <row r="169" spans="1:27" ht="12.75" customHeight="1" x14ac:dyDescent="0.25">
      <c r="A169" s="229"/>
      <c r="B169" s="229"/>
      <c r="C169" s="220"/>
      <c r="D169" s="220"/>
      <c r="E169" s="242"/>
      <c r="F169" s="254"/>
      <c r="G169" s="254"/>
      <c r="H169" s="254"/>
      <c r="I169" s="246"/>
      <c r="J169" s="254"/>
      <c r="K169" s="237"/>
      <c r="L169" s="246"/>
      <c r="M169" s="237"/>
      <c r="N169" s="220"/>
      <c r="O169" s="220"/>
      <c r="P169" s="220"/>
      <c r="Q169" s="254"/>
      <c r="R169" s="254"/>
      <c r="S169" s="220"/>
      <c r="T169" s="220"/>
      <c r="U169" s="220"/>
      <c r="V169" s="220"/>
      <c r="W169" s="220"/>
      <c r="X169" s="220"/>
      <c r="Y169" s="220"/>
      <c r="Z169" s="220"/>
      <c r="AA169" s="220"/>
    </row>
    <row r="170" spans="1:27" ht="12.75" customHeight="1" x14ac:dyDescent="0.25">
      <c r="A170" s="229"/>
      <c r="B170" s="229"/>
      <c r="C170" s="220"/>
      <c r="D170" s="220"/>
      <c r="E170" s="242"/>
      <c r="F170" s="254"/>
      <c r="G170" s="254"/>
      <c r="H170" s="254"/>
      <c r="I170" s="246"/>
      <c r="J170" s="254"/>
      <c r="K170" s="237"/>
      <c r="L170" s="246"/>
      <c r="M170" s="237"/>
      <c r="N170" s="220"/>
      <c r="O170" s="220"/>
      <c r="P170" s="220"/>
      <c r="Q170" s="254"/>
      <c r="R170" s="254"/>
      <c r="S170" s="220"/>
      <c r="T170" s="220"/>
      <c r="U170" s="220"/>
      <c r="V170" s="220"/>
      <c r="W170" s="220"/>
      <c r="X170" s="220"/>
      <c r="Y170" s="220"/>
      <c r="Z170" s="220"/>
      <c r="AA170" s="220"/>
    </row>
    <row r="171" spans="1:27" ht="12.75" customHeight="1" x14ac:dyDescent="0.25">
      <c r="A171" s="229"/>
      <c r="B171" s="229"/>
      <c r="C171" s="220"/>
      <c r="D171" s="220"/>
      <c r="E171" s="242"/>
      <c r="F171" s="254"/>
      <c r="G171" s="254"/>
      <c r="H171" s="254"/>
      <c r="I171" s="246"/>
      <c r="J171" s="254"/>
      <c r="K171" s="237"/>
      <c r="L171" s="246"/>
      <c r="M171" s="237"/>
      <c r="N171" s="220"/>
      <c r="O171" s="220"/>
      <c r="P171" s="220"/>
      <c r="Q171" s="254"/>
      <c r="R171" s="254"/>
      <c r="S171" s="220"/>
      <c r="T171" s="220"/>
      <c r="U171" s="220"/>
      <c r="V171" s="220"/>
      <c r="W171" s="220"/>
      <c r="X171" s="220"/>
      <c r="Y171" s="220"/>
      <c r="Z171" s="220"/>
      <c r="AA171" s="220"/>
    </row>
    <row r="172" spans="1:27" ht="12.75" customHeight="1" x14ac:dyDescent="0.25">
      <c r="A172" s="229"/>
      <c r="B172" s="229"/>
      <c r="C172" s="220"/>
      <c r="D172" s="220"/>
      <c r="E172" s="242"/>
      <c r="F172" s="254"/>
      <c r="G172" s="254"/>
      <c r="H172" s="254"/>
      <c r="I172" s="246"/>
      <c r="J172" s="254"/>
      <c r="K172" s="237"/>
      <c r="L172" s="246"/>
      <c r="M172" s="237"/>
      <c r="N172" s="220"/>
      <c r="O172" s="220"/>
      <c r="P172" s="220"/>
      <c r="Q172" s="254"/>
      <c r="R172" s="254"/>
      <c r="S172" s="220"/>
      <c r="T172" s="220"/>
      <c r="U172" s="220"/>
      <c r="V172" s="220"/>
      <c r="W172" s="220"/>
      <c r="X172" s="220"/>
      <c r="Y172" s="220"/>
      <c r="Z172" s="220"/>
      <c r="AA172" s="220"/>
    </row>
    <row r="173" spans="1:27" ht="12.75" customHeight="1" x14ac:dyDescent="0.25">
      <c r="A173" s="229"/>
      <c r="B173" s="229"/>
      <c r="C173" s="220"/>
      <c r="D173" s="220"/>
      <c r="E173" s="242"/>
      <c r="F173" s="254"/>
      <c r="G173" s="254"/>
      <c r="H173" s="254"/>
      <c r="I173" s="246"/>
      <c r="J173" s="254"/>
      <c r="K173" s="237"/>
      <c r="L173" s="246"/>
      <c r="M173" s="237"/>
      <c r="N173" s="220"/>
      <c r="O173" s="220"/>
      <c r="P173" s="220"/>
      <c r="Q173" s="254"/>
      <c r="R173" s="254"/>
      <c r="S173" s="220"/>
      <c r="T173" s="220"/>
      <c r="U173" s="220"/>
      <c r="V173" s="220"/>
      <c r="W173" s="220"/>
      <c r="X173" s="220"/>
      <c r="Y173" s="220"/>
      <c r="Z173" s="220"/>
      <c r="AA173" s="220"/>
    </row>
    <row r="174" spans="1:27" ht="12.75" customHeight="1" x14ac:dyDescent="0.25">
      <c r="A174" s="229"/>
      <c r="B174" s="229"/>
      <c r="C174" s="220"/>
      <c r="D174" s="220"/>
      <c r="E174" s="242"/>
      <c r="F174" s="254"/>
      <c r="G174" s="254"/>
      <c r="H174" s="254"/>
      <c r="I174" s="246"/>
      <c r="J174" s="254"/>
      <c r="K174" s="237"/>
      <c r="L174" s="246"/>
      <c r="M174" s="237"/>
      <c r="N174" s="220"/>
      <c r="O174" s="220"/>
      <c r="P174" s="220"/>
      <c r="Q174" s="254"/>
      <c r="R174" s="254"/>
      <c r="S174" s="220"/>
      <c r="T174" s="220"/>
      <c r="U174" s="220"/>
      <c r="V174" s="220"/>
      <c r="W174" s="220"/>
      <c r="X174" s="220"/>
      <c r="Y174" s="220"/>
      <c r="Z174" s="220"/>
      <c r="AA174" s="220"/>
    </row>
    <row r="175" spans="1:27" ht="12.75" customHeight="1" x14ac:dyDescent="0.25">
      <c r="A175" s="229"/>
      <c r="B175" s="229"/>
      <c r="C175" s="220"/>
      <c r="D175" s="220"/>
      <c r="E175" s="242"/>
      <c r="F175" s="254"/>
      <c r="G175" s="254"/>
      <c r="H175" s="254"/>
      <c r="I175" s="246"/>
      <c r="J175" s="254"/>
      <c r="K175" s="237"/>
      <c r="L175" s="246"/>
      <c r="M175" s="237"/>
      <c r="N175" s="220"/>
      <c r="O175" s="220"/>
      <c r="P175" s="220"/>
      <c r="Q175" s="254"/>
      <c r="R175" s="254"/>
      <c r="S175" s="220"/>
      <c r="T175" s="220"/>
      <c r="U175" s="220"/>
      <c r="V175" s="220"/>
      <c r="W175" s="220"/>
      <c r="X175" s="220"/>
      <c r="Y175" s="220"/>
      <c r="Z175" s="220"/>
      <c r="AA175" s="220"/>
    </row>
    <row r="176" spans="1:27" ht="12.75" customHeight="1" x14ac:dyDescent="0.25">
      <c r="A176" s="229"/>
      <c r="B176" s="229"/>
      <c r="C176" s="220"/>
      <c r="D176" s="220"/>
      <c r="E176" s="242"/>
      <c r="F176" s="254"/>
      <c r="G176" s="254"/>
      <c r="H176" s="254"/>
      <c r="I176" s="246"/>
      <c r="J176" s="254"/>
      <c r="K176" s="237"/>
      <c r="L176" s="246"/>
      <c r="M176" s="237"/>
      <c r="N176" s="220"/>
      <c r="O176" s="220"/>
      <c r="P176" s="220"/>
      <c r="Q176" s="254"/>
      <c r="R176" s="254"/>
      <c r="S176" s="220"/>
      <c r="T176" s="220"/>
      <c r="U176" s="220"/>
      <c r="V176" s="220"/>
      <c r="W176" s="220"/>
      <c r="X176" s="220"/>
      <c r="Y176" s="220"/>
      <c r="Z176" s="220"/>
      <c r="AA176" s="220"/>
    </row>
    <row r="177" spans="1:27" ht="12.75" customHeight="1" x14ac:dyDescent="0.25">
      <c r="A177" s="229"/>
      <c r="B177" s="229"/>
      <c r="C177" s="220"/>
      <c r="D177" s="220"/>
      <c r="E177" s="242"/>
      <c r="F177" s="254"/>
      <c r="G177" s="254"/>
      <c r="H177" s="254"/>
      <c r="I177" s="246"/>
      <c r="J177" s="254"/>
      <c r="K177" s="237"/>
      <c r="L177" s="246"/>
      <c r="M177" s="237"/>
      <c r="N177" s="220"/>
      <c r="O177" s="220"/>
      <c r="P177" s="220"/>
      <c r="Q177" s="254"/>
      <c r="R177" s="254"/>
      <c r="S177" s="220"/>
      <c r="T177" s="220"/>
      <c r="U177" s="220"/>
      <c r="V177" s="220"/>
      <c r="W177" s="220"/>
      <c r="X177" s="220"/>
      <c r="Y177" s="220"/>
      <c r="Z177" s="220"/>
      <c r="AA177" s="220"/>
    </row>
    <row r="178" spans="1:27" ht="12.75" customHeight="1" x14ac:dyDescent="0.25">
      <c r="A178" s="229"/>
      <c r="B178" s="229"/>
      <c r="C178" s="220"/>
      <c r="D178" s="220"/>
      <c r="E178" s="242"/>
      <c r="F178" s="254"/>
      <c r="G178" s="254"/>
      <c r="H178" s="254"/>
      <c r="I178" s="246"/>
      <c r="J178" s="254"/>
      <c r="K178" s="237"/>
      <c r="L178" s="246"/>
      <c r="M178" s="237"/>
      <c r="N178" s="220"/>
      <c r="O178" s="220"/>
      <c r="P178" s="220"/>
      <c r="Q178" s="254"/>
      <c r="R178" s="254"/>
      <c r="S178" s="220"/>
      <c r="T178" s="220"/>
      <c r="U178" s="220"/>
      <c r="V178" s="220"/>
      <c r="W178" s="220"/>
      <c r="X178" s="220"/>
      <c r="Y178" s="220"/>
      <c r="Z178" s="220"/>
      <c r="AA178" s="220"/>
    </row>
    <row r="179" spans="1:27" ht="12.75" customHeight="1" x14ac:dyDescent="0.25">
      <c r="A179" s="229"/>
      <c r="B179" s="229"/>
      <c r="C179" s="220"/>
      <c r="D179" s="220"/>
      <c r="E179" s="242"/>
      <c r="F179" s="254"/>
      <c r="G179" s="254"/>
      <c r="H179" s="254"/>
      <c r="I179" s="246"/>
      <c r="J179" s="254"/>
      <c r="K179" s="237"/>
      <c r="L179" s="246"/>
      <c r="M179" s="237"/>
      <c r="N179" s="220"/>
      <c r="O179" s="220"/>
      <c r="P179" s="220"/>
      <c r="Q179" s="254"/>
      <c r="R179" s="254"/>
      <c r="S179" s="220"/>
      <c r="T179" s="220"/>
      <c r="U179" s="220"/>
      <c r="V179" s="220"/>
      <c r="W179" s="220"/>
      <c r="X179" s="220"/>
      <c r="Y179" s="220"/>
      <c r="Z179" s="220"/>
      <c r="AA179" s="220"/>
    </row>
    <row r="180" spans="1:27" ht="12.75" customHeight="1" x14ac:dyDescent="0.25">
      <c r="A180" s="229"/>
      <c r="B180" s="229"/>
      <c r="C180" s="220"/>
      <c r="D180" s="220"/>
      <c r="E180" s="242"/>
      <c r="F180" s="254"/>
      <c r="G180" s="254"/>
      <c r="H180" s="254"/>
      <c r="I180" s="246"/>
      <c r="J180" s="254"/>
      <c r="K180" s="237"/>
      <c r="L180" s="246"/>
      <c r="M180" s="237"/>
      <c r="N180" s="220"/>
      <c r="O180" s="220"/>
      <c r="P180" s="220"/>
      <c r="Q180" s="254"/>
      <c r="R180" s="254"/>
      <c r="S180" s="220"/>
      <c r="T180" s="220"/>
      <c r="U180" s="220"/>
      <c r="V180" s="220"/>
      <c r="W180" s="220"/>
      <c r="X180" s="220"/>
      <c r="Y180" s="220"/>
      <c r="Z180" s="220"/>
      <c r="AA180" s="220"/>
    </row>
    <row r="181" spans="1:27" ht="12.75" customHeight="1" x14ac:dyDescent="0.25">
      <c r="A181" s="229"/>
      <c r="B181" s="229"/>
      <c r="C181" s="220"/>
      <c r="D181" s="220"/>
      <c r="E181" s="242"/>
      <c r="F181" s="254"/>
      <c r="G181" s="254"/>
      <c r="H181" s="254"/>
      <c r="I181" s="246"/>
      <c r="J181" s="254"/>
      <c r="K181" s="237"/>
      <c r="L181" s="246"/>
      <c r="M181" s="237"/>
      <c r="N181" s="220"/>
      <c r="O181" s="220"/>
      <c r="P181" s="220"/>
      <c r="Q181" s="254"/>
      <c r="R181" s="254"/>
      <c r="S181" s="220"/>
      <c r="T181" s="220"/>
      <c r="U181" s="220"/>
      <c r="V181" s="220"/>
      <c r="W181" s="220"/>
      <c r="X181" s="220"/>
      <c r="Y181" s="220"/>
      <c r="Z181" s="220"/>
      <c r="AA181" s="220"/>
    </row>
    <row r="182" spans="1:27" ht="12.75" customHeight="1" x14ac:dyDescent="0.25">
      <c r="A182" s="229"/>
      <c r="B182" s="229"/>
      <c r="C182" s="220"/>
      <c r="D182" s="220"/>
      <c r="E182" s="242"/>
      <c r="F182" s="254"/>
      <c r="G182" s="254"/>
      <c r="H182" s="254"/>
      <c r="I182" s="246"/>
      <c r="J182" s="254"/>
      <c r="K182" s="237"/>
      <c r="L182" s="246"/>
      <c r="M182" s="237"/>
      <c r="N182" s="220"/>
      <c r="O182" s="220"/>
      <c r="P182" s="220"/>
      <c r="Q182" s="254"/>
      <c r="R182" s="254"/>
      <c r="S182" s="220"/>
      <c r="T182" s="220"/>
      <c r="U182" s="220"/>
      <c r="V182" s="220"/>
      <c r="W182" s="220"/>
      <c r="X182" s="220"/>
      <c r="Y182" s="220"/>
      <c r="Z182" s="220"/>
      <c r="AA182" s="220"/>
    </row>
    <row r="183" spans="1:27" ht="12.75" customHeight="1" x14ac:dyDescent="0.25">
      <c r="A183" s="229"/>
      <c r="B183" s="229"/>
      <c r="C183" s="220"/>
      <c r="D183" s="220"/>
      <c r="E183" s="242"/>
      <c r="F183" s="254"/>
      <c r="G183" s="254"/>
      <c r="H183" s="254"/>
      <c r="I183" s="246"/>
      <c r="J183" s="254"/>
      <c r="K183" s="237"/>
      <c r="L183" s="246"/>
      <c r="M183" s="237"/>
      <c r="N183" s="220"/>
      <c r="O183" s="220"/>
      <c r="P183" s="220"/>
      <c r="Q183" s="254"/>
      <c r="R183" s="254"/>
      <c r="S183" s="220"/>
      <c r="T183" s="220"/>
      <c r="U183" s="220"/>
      <c r="V183" s="220"/>
      <c r="W183" s="220"/>
      <c r="X183" s="220"/>
      <c r="Y183" s="220"/>
      <c r="Z183" s="220"/>
      <c r="AA183" s="220"/>
    </row>
    <row r="184" spans="1:27" ht="12.75" customHeight="1" x14ac:dyDescent="0.25">
      <c r="A184" s="229"/>
      <c r="B184" s="229"/>
      <c r="C184" s="220"/>
      <c r="D184" s="220"/>
      <c r="E184" s="242"/>
      <c r="F184" s="254"/>
      <c r="G184" s="254"/>
      <c r="H184" s="254"/>
      <c r="I184" s="246"/>
      <c r="J184" s="254"/>
      <c r="K184" s="237"/>
      <c r="L184" s="246"/>
      <c r="M184" s="237"/>
      <c r="N184" s="220"/>
      <c r="O184" s="220"/>
      <c r="P184" s="220"/>
      <c r="Q184" s="254"/>
      <c r="R184" s="254"/>
      <c r="S184" s="220"/>
      <c r="T184" s="220"/>
      <c r="U184" s="220"/>
      <c r="V184" s="220"/>
      <c r="W184" s="220"/>
      <c r="X184" s="220"/>
      <c r="Y184" s="220"/>
      <c r="Z184" s="220"/>
      <c r="AA184" s="220"/>
    </row>
    <row r="185" spans="1:27" ht="12.75" customHeight="1" x14ac:dyDescent="0.25">
      <c r="A185" s="229"/>
      <c r="B185" s="229"/>
      <c r="C185" s="220"/>
      <c r="D185" s="220"/>
      <c r="E185" s="242"/>
      <c r="F185" s="254"/>
      <c r="G185" s="254"/>
      <c r="H185" s="254"/>
      <c r="I185" s="246"/>
      <c r="J185" s="254"/>
      <c r="K185" s="237"/>
      <c r="L185" s="246"/>
      <c r="M185" s="237"/>
      <c r="N185" s="220"/>
      <c r="O185" s="220"/>
      <c r="P185" s="220"/>
      <c r="Q185" s="254"/>
      <c r="R185" s="254"/>
      <c r="S185" s="220"/>
      <c r="T185" s="220"/>
      <c r="U185" s="220"/>
      <c r="V185" s="220"/>
      <c r="W185" s="220"/>
      <c r="X185" s="220"/>
      <c r="Y185" s="220"/>
      <c r="Z185" s="220"/>
      <c r="AA185" s="220"/>
    </row>
    <row r="186" spans="1:27" ht="12.75" customHeight="1" x14ac:dyDescent="0.25">
      <c r="A186" s="229"/>
      <c r="B186" s="229"/>
      <c r="C186" s="220"/>
      <c r="D186" s="220"/>
      <c r="E186" s="242"/>
      <c r="F186" s="254"/>
      <c r="G186" s="254"/>
      <c r="H186" s="254"/>
      <c r="I186" s="246"/>
      <c r="J186" s="254"/>
      <c r="K186" s="237"/>
      <c r="L186" s="246"/>
      <c r="M186" s="237"/>
      <c r="N186" s="220"/>
      <c r="O186" s="220"/>
      <c r="P186" s="220"/>
      <c r="Q186" s="254"/>
      <c r="R186" s="254"/>
      <c r="S186" s="220"/>
      <c r="T186" s="220"/>
      <c r="U186" s="220"/>
      <c r="V186" s="220"/>
      <c r="W186" s="220"/>
      <c r="X186" s="220"/>
      <c r="Y186" s="220"/>
      <c r="Z186" s="220"/>
      <c r="AA186" s="220"/>
    </row>
    <row r="187" spans="1:27" ht="12.75" customHeight="1" x14ac:dyDescent="0.25">
      <c r="A187" s="229"/>
      <c r="B187" s="229"/>
      <c r="C187" s="220"/>
      <c r="D187" s="220"/>
      <c r="E187" s="242"/>
      <c r="F187" s="254"/>
      <c r="G187" s="254"/>
      <c r="H187" s="254"/>
      <c r="I187" s="246"/>
      <c r="J187" s="254"/>
      <c r="K187" s="237"/>
      <c r="L187" s="246"/>
      <c r="M187" s="237"/>
      <c r="N187" s="220"/>
      <c r="O187" s="220"/>
      <c r="P187" s="220"/>
      <c r="Q187" s="254"/>
      <c r="R187" s="254"/>
      <c r="S187" s="220"/>
      <c r="T187" s="220"/>
      <c r="U187" s="220"/>
      <c r="V187" s="220"/>
      <c r="W187" s="220"/>
      <c r="X187" s="220"/>
      <c r="Y187" s="220"/>
      <c r="Z187" s="220"/>
      <c r="AA187" s="220"/>
    </row>
    <row r="188" spans="1:27" ht="12.75" customHeight="1" x14ac:dyDescent="0.25">
      <c r="A188" s="229"/>
      <c r="B188" s="229"/>
      <c r="C188" s="220"/>
      <c r="D188" s="220"/>
      <c r="E188" s="242"/>
      <c r="F188" s="254"/>
      <c r="G188" s="254"/>
      <c r="H188" s="254"/>
      <c r="I188" s="246"/>
      <c r="J188" s="254"/>
      <c r="K188" s="237"/>
      <c r="L188" s="246"/>
      <c r="M188" s="237"/>
      <c r="N188" s="220"/>
      <c r="O188" s="220"/>
      <c r="P188" s="220"/>
      <c r="Q188" s="254"/>
      <c r="R188" s="254"/>
      <c r="S188" s="220"/>
      <c r="T188" s="220"/>
      <c r="U188" s="220"/>
      <c r="V188" s="220"/>
      <c r="W188" s="220"/>
      <c r="X188" s="220"/>
      <c r="Y188" s="220"/>
      <c r="Z188" s="220"/>
      <c r="AA188" s="220"/>
    </row>
    <row r="189" spans="1:27" ht="12.75" customHeight="1" x14ac:dyDescent="0.25">
      <c r="A189" s="229"/>
      <c r="B189" s="229"/>
      <c r="C189" s="220"/>
      <c r="D189" s="220"/>
      <c r="E189" s="242"/>
      <c r="F189" s="254"/>
      <c r="G189" s="254"/>
      <c r="H189" s="254"/>
      <c r="I189" s="246"/>
      <c r="J189" s="254"/>
      <c r="K189" s="237"/>
      <c r="L189" s="246"/>
      <c r="M189" s="237"/>
      <c r="N189" s="220"/>
      <c r="O189" s="220"/>
      <c r="P189" s="220"/>
      <c r="Q189" s="254"/>
      <c r="R189" s="254"/>
      <c r="S189" s="220"/>
      <c r="T189" s="220"/>
      <c r="U189" s="220"/>
      <c r="V189" s="220"/>
      <c r="W189" s="220"/>
      <c r="X189" s="220"/>
      <c r="Y189" s="220"/>
      <c r="Z189" s="220"/>
      <c r="AA189" s="220"/>
    </row>
    <row r="190" spans="1:27" ht="12.75" customHeight="1" x14ac:dyDescent="0.25">
      <c r="A190" s="229"/>
      <c r="B190" s="229"/>
      <c r="C190" s="220"/>
      <c r="D190" s="220"/>
      <c r="E190" s="242"/>
      <c r="F190" s="254"/>
      <c r="G190" s="254"/>
      <c r="H190" s="254"/>
      <c r="I190" s="246"/>
      <c r="J190" s="254"/>
      <c r="K190" s="237"/>
      <c r="L190" s="246"/>
      <c r="M190" s="237"/>
      <c r="N190" s="220"/>
      <c r="O190" s="220"/>
      <c r="P190" s="220"/>
      <c r="Q190" s="254"/>
      <c r="R190" s="254"/>
      <c r="S190" s="220"/>
      <c r="T190" s="220"/>
      <c r="U190" s="220"/>
      <c r="V190" s="220"/>
      <c r="W190" s="220"/>
      <c r="X190" s="220"/>
      <c r="Y190" s="220"/>
      <c r="Z190" s="220"/>
      <c r="AA190" s="220"/>
    </row>
    <row r="191" spans="1:27" ht="12.75" customHeight="1" x14ac:dyDescent="0.25">
      <c r="A191" s="229"/>
      <c r="B191" s="229"/>
      <c r="C191" s="220"/>
      <c r="D191" s="220"/>
      <c r="E191" s="242"/>
      <c r="F191" s="254"/>
      <c r="G191" s="254"/>
      <c r="H191" s="254"/>
      <c r="I191" s="246"/>
      <c r="J191" s="254"/>
      <c r="K191" s="237"/>
      <c r="L191" s="246"/>
      <c r="M191" s="237"/>
      <c r="N191" s="220"/>
      <c r="O191" s="220"/>
      <c r="P191" s="220"/>
      <c r="Q191" s="254"/>
      <c r="R191" s="254"/>
      <c r="S191" s="220"/>
      <c r="T191" s="220"/>
      <c r="U191" s="220"/>
      <c r="V191" s="220"/>
      <c r="W191" s="220"/>
      <c r="X191" s="220"/>
      <c r="Y191" s="220"/>
      <c r="Z191" s="220"/>
      <c r="AA191" s="220"/>
    </row>
    <row r="192" spans="1:27" ht="12.75" customHeight="1" x14ac:dyDescent="0.25">
      <c r="A192" s="229"/>
      <c r="B192" s="229"/>
      <c r="C192" s="220"/>
      <c r="D192" s="220"/>
      <c r="E192" s="242"/>
      <c r="F192" s="254"/>
      <c r="G192" s="254"/>
      <c r="H192" s="254"/>
      <c r="I192" s="246"/>
      <c r="J192" s="254"/>
      <c r="K192" s="237"/>
      <c r="L192" s="246"/>
      <c r="M192" s="237"/>
      <c r="N192" s="220"/>
      <c r="O192" s="220"/>
      <c r="P192" s="220"/>
      <c r="Q192" s="254"/>
      <c r="R192" s="254"/>
      <c r="S192" s="220"/>
      <c r="T192" s="220"/>
      <c r="U192" s="220"/>
      <c r="V192" s="220"/>
      <c r="W192" s="220"/>
      <c r="X192" s="220"/>
      <c r="Y192" s="220"/>
      <c r="Z192" s="220"/>
      <c r="AA192" s="220"/>
    </row>
    <row r="193" spans="1:27" ht="12.75" customHeight="1" x14ac:dyDescent="0.25">
      <c r="A193" s="229"/>
      <c r="B193" s="229"/>
      <c r="C193" s="220"/>
      <c r="D193" s="220"/>
      <c r="E193" s="242"/>
      <c r="F193" s="254"/>
      <c r="G193" s="254"/>
      <c r="H193" s="254"/>
      <c r="I193" s="246"/>
      <c r="J193" s="254"/>
      <c r="K193" s="237"/>
      <c r="L193" s="246"/>
      <c r="M193" s="237"/>
      <c r="N193" s="220"/>
      <c r="O193" s="220"/>
      <c r="P193" s="220"/>
      <c r="Q193" s="254"/>
      <c r="R193" s="254"/>
      <c r="S193" s="220"/>
      <c r="T193" s="220"/>
      <c r="U193" s="220"/>
      <c r="V193" s="220"/>
      <c r="W193" s="220"/>
      <c r="X193" s="220"/>
      <c r="Y193" s="220"/>
      <c r="Z193" s="220"/>
      <c r="AA193" s="220"/>
    </row>
    <row r="194" spans="1:27" ht="12.75" customHeight="1" x14ac:dyDescent="0.25">
      <c r="A194" s="229"/>
      <c r="B194" s="229"/>
      <c r="C194" s="220"/>
      <c r="D194" s="220"/>
      <c r="E194" s="242"/>
      <c r="F194" s="254"/>
      <c r="G194" s="254"/>
      <c r="H194" s="254"/>
      <c r="I194" s="246"/>
      <c r="J194" s="254"/>
      <c r="K194" s="237"/>
      <c r="L194" s="246"/>
      <c r="M194" s="237"/>
      <c r="N194" s="220"/>
      <c r="O194" s="220"/>
      <c r="P194" s="220"/>
      <c r="Q194" s="254"/>
      <c r="R194" s="254"/>
      <c r="S194" s="220"/>
      <c r="T194" s="220"/>
      <c r="U194" s="220"/>
      <c r="V194" s="220"/>
      <c r="W194" s="220"/>
      <c r="X194" s="220"/>
      <c r="Y194" s="220"/>
      <c r="Z194" s="220"/>
      <c r="AA194" s="220"/>
    </row>
    <row r="195" spans="1:27" ht="12.75" customHeight="1" x14ac:dyDescent="0.25">
      <c r="A195" s="229"/>
      <c r="B195" s="229"/>
      <c r="C195" s="220"/>
      <c r="D195" s="220"/>
      <c r="E195" s="242"/>
      <c r="F195" s="254"/>
      <c r="G195" s="254"/>
      <c r="H195" s="254"/>
      <c r="I195" s="246"/>
      <c r="J195" s="254"/>
      <c r="K195" s="237"/>
      <c r="L195" s="246"/>
      <c r="M195" s="237"/>
      <c r="N195" s="220"/>
      <c r="O195" s="220"/>
      <c r="P195" s="220"/>
      <c r="Q195" s="254"/>
      <c r="R195" s="254"/>
      <c r="S195" s="220"/>
      <c r="T195" s="220"/>
      <c r="U195" s="220"/>
      <c r="V195" s="220"/>
      <c r="W195" s="220"/>
      <c r="X195" s="220"/>
      <c r="Y195" s="220"/>
      <c r="Z195" s="220"/>
      <c r="AA195" s="220"/>
    </row>
    <row r="196" spans="1:27" ht="12.75" customHeight="1" x14ac:dyDescent="0.25">
      <c r="A196" s="229"/>
      <c r="B196" s="229"/>
      <c r="C196" s="220"/>
      <c r="D196" s="220"/>
      <c r="E196" s="242"/>
      <c r="F196" s="254"/>
      <c r="G196" s="254"/>
      <c r="H196" s="254"/>
      <c r="I196" s="246"/>
      <c r="J196" s="254"/>
      <c r="K196" s="237"/>
      <c r="L196" s="246"/>
      <c r="M196" s="237"/>
      <c r="N196" s="220"/>
      <c r="O196" s="220"/>
      <c r="P196" s="220"/>
      <c r="Q196" s="254"/>
      <c r="R196" s="254"/>
      <c r="S196" s="220"/>
      <c r="T196" s="220"/>
      <c r="U196" s="220"/>
      <c r="V196" s="220"/>
      <c r="W196" s="220"/>
      <c r="X196" s="220"/>
      <c r="Y196" s="220"/>
      <c r="Z196" s="220"/>
      <c r="AA196" s="220"/>
    </row>
    <row r="197" spans="1:27" ht="12.75" customHeight="1" x14ac:dyDescent="0.25">
      <c r="A197" s="229"/>
      <c r="B197" s="229"/>
      <c r="C197" s="220"/>
      <c r="D197" s="220"/>
      <c r="E197" s="242"/>
      <c r="F197" s="254"/>
      <c r="G197" s="254"/>
      <c r="H197" s="254"/>
      <c r="I197" s="246"/>
      <c r="J197" s="254"/>
      <c r="K197" s="237"/>
      <c r="L197" s="246"/>
      <c r="M197" s="237"/>
      <c r="N197" s="220"/>
      <c r="O197" s="220"/>
      <c r="P197" s="220"/>
      <c r="Q197" s="254"/>
      <c r="R197" s="254"/>
      <c r="S197" s="220"/>
      <c r="T197" s="220"/>
      <c r="U197" s="220"/>
      <c r="V197" s="220"/>
      <c r="W197" s="220"/>
      <c r="X197" s="220"/>
      <c r="Y197" s="220"/>
      <c r="Z197" s="220"/>
      <c r="AA197" s="220"/>
    </row>
    <row r="198" spans="1:27" ht="12.75" customHeight="1" x14ac:dyDescent="0.25">
      <c r="A198" s="229"/>
      <c r="B198" s="229"/>
      <c r="C198" s="220"/>
      <c r="D198" s="220"/>
      <c r="E198" s="242"/>
      <c r="F198" s="254"/>
      <c r="G198" s="254"/>
      <c r="H198" s="254"/>
      <c r="I198" s="246"/>
      <c r="J198" s="254"/>
      <c r="K198" s="237"/>
      <c r="L198" s="246"/>
      <c r="M198" s="237"/>
      <c r="N198" s="220"/>
      <c r="O198" s="220"/>
      <c r="P198" s="220"/>
      <c r="Q198" s="254"/>
      <c r="R198" s="254"/>
      <c r="S198" s="220"/>
      <c r="T198" s="220"/>
      <c r="U198" s="220"/>
      <c r="V198" s="220"/>
      <c r="W198" s="220"/>
      <c r="X198" s="220"/>
      <c r="Y198" s="220"/>
      <c r="Z198" s="220"/>
      <c r="AA198" s="220"/>
    </row>
    <row r="199" spans="1:27" ht="12.75" customHeight="1" x14ac:dyDescent="0.25">
      <c r="A199" s="229"/>
      <c r="B199" s="229"/>
      <c r="C199" s="220"/>
      <c r="D199" s="220"/>
      <c r="E199" s="242"/>
      <c r="F199" s="254"/>
      <c r="G199" s="254"/>
      <c r="H199" s="254"/>
      <c r="I199" s="246"/>
      <c r="J199" s="254"/>
      <c r="K199" s="237"/>
      <c r="L199" s="246"/>
      <c r="M199" s="237"/>
      <c r="N199" s="220"/>
      <c r="O199" s="220"/>
      <c r="P199" s="220"/>
      <c r="Q199" s="254"/>
      <c r="R199" s="254"/>
      <c r="S199" s="220"/>
      <c r="T199" s="220"/>
      <c r="U199" s="220"/>
      <c r="V199" s="220"/>
      <c r="W199" s="220"/>
      <c r="X199" s="220"/>
      <c r="Y199" s="220"/>
      <c r="Z199" s="220"/>
      <c r="AA199" s="220"/>
    </row>
    <row r="200" spans="1:27" ht="12.75" customHeight="1" x14ac:dyDescent="0.25">
      <c r="A200" s="229"/>
      <c r="B200" s="229"/>
      <c r="C200" s="220"/>
      <c r="D200" s="220"/>
      <c r="E200" s="242"/>
      <c r="F200" s="254"/>
      <c r="G200" s="254"/>
      <c r="H200" s="254"/>
      <c r="I200" s="246"/>
      <c r="J200" s="254"/>
      <c r="K200" s="237"/>
      <c r="L200" s="246"/>
      <c r="M200" s="237"/>
      <c r="N200" s="220"/>
      <c r="O200" s="220"/>
      <c r="P200" s="220"/>
      <c r="Q200" s="254"/>
      <c r="R200" s="254"/>
      <c r="S200" s="220"/>
      <c r="T200" s="220"/>
      <c r="U200" s="220"/>
      <c r="V200" s="220"/>
      <c r="W200" s="220"/>
      <c r="X200" s="220"/>
      <c r="Y200" s="220"/>
      <c r="Z200" s="220"/>
      <c r="AA200" s="220"/>
    </row>
    <row r="201" spans="1:27" ht="12.75" customHeight="1" x14ac:dyDescent="0.25">
      <c r="C201" s="190"/>
      <c r="D201" s="190"/>
      <c r="E201" s="196"/>
      <c r="F201" s="193"/>
      <c r="G201" s="193"/>
      <c r="H201" s="193"/>
      <c r="I201" s="197"/>
      <c r="J201" s="193"/>
      <c r="K201" s="198"/>
      <c r="L201" s="197"/>
      <c r="M201" s="198"/>
      <c r="N201" s="190"/>
      <c r="O201" s="190"/>
      <c r="P201" s="190"/>
      <c r="Q201" s="193"/>
      <c r="R201" s="193"/>
      <c r="S201" s="195"/>
      <c r="T201" s="190"/>
      <c r="U201" s="195"/>
      <c r="V201" s="190"/>
      <c r="W201" s="195"/>
      <c r="X201" s="190"/>
      <c r="Y201" s="190"/>
      <c r="Z201" s="190"/>
    </row>
  </sheetData>
  <sheetProtection algorithmName="SHA-512" hashValue="WeIc+oEvJBl912p4FrDsF/YswVKJO3NpBvX0sqTKHeJ+AenzpMWQHC+JJIUobHUNO2eZtaV+tZJHVq6ktgHAmg==" saltValue="oEdipcfGfd7IAqm3Tvldtg==" spinCount="100000" sheet="1" objects="1" scenarios="1" formatCells="0" formatRows="0"/>
  <dataConsolidate/>
  <conditionalFormatting sqref="X13:X200">
    <cfRule type="expression" priority="3">
      <formula>RIGHT($W13,7)="specify"</formula>
    </cfRule>
    <cfRule type="expression" dxfId="27" priority="4">
      <formula>RIGHT($W13,7)&lt;&gt;"specify"</formula>
    </cfRule>
  </conditionalFormatting>
  <conditionalFormatting sqref="V13:V200">
    <cfRule type="expression" priority="5">
      <formula>RIGHT($U13,7)="specify"</formula>
    </cfRule>
    <cfRule type="expression" dxfId="26" priority="6">
      <formula>RIGHT($U13,7)&lt;&gt;"specify"</formula>
    </cfRule>
  </conditionalFormatting>
  <conditionalFormatting sqref="T13:T200">
    <cfRule type="expression" priority="7">
      <formula>RIGHT($S13,7)="specify"</formula>
    </cfRule>
    <cfRule type="expression" dxfId="25" priority="8">
      <formula>RIGHT($S13,7)&lt;&gt;"specify"</formula>
    </cfRule>
  </conditionalFormatting>
  <conditionalFormatting sqref="O13:O200">
    <cfRule type="expression" priority="9" stopIfTrue="1">
      <formula>AND($L13&gt;=1000000,LEFT($M13,5)="Other")</formula>
    </cfRule>
    <cfRule type="expression" dxfId="24" priority="10">
      <formula>$L13&lt;10000000</formula>
    </cfRule>
    <cfRule type="expression" priority="11">
      <formula>$L13&gt;=10000000</formula>
    </cfRule>
  </conditionalFormatting>
  <conditionalFormatting sqref="N13:N200">
    <cfRule type="expression" priority="12">
      <formula>LEFT($M13,5)="Other"</formula>
    </cfRule>
    <cfRule type="expression" dxfId="23" priority="13">
      <formula>LEFT($M13,5)&lt;&gt;"Other"</formula>
    </cfRule>
  </conditionalFormatting>
  <conditionalFormatting sqref="L13:M200">
    <cfRule type="expression" priority="14">
      <formula>$K13="Yes"</formula>
    </cfRule>
    <cfRule type="expression" dxfId="22" priority="15">
      <formula>$K13&lt;&gt;"Yes"</formula>
    </cfRule>
  </conditionalFormatting>
  <conditionalFormatting sqref="J13:J200">
    <cfRule type="expression" dxfId="21" priority="16">
      <formula>I13="No"</formula>
    </cfRule>
    <cfRule type="expression" dxfId="20" priority="17">
      <formula>I13="Yes"</formula>
    </cfRule>
  </conditionalFormatting>
  <conditionalFormatting sqref="AA13:AA200">
    <cfRule type="expression" priority="1">
      <formula>$E13="Cancelled"</formula>
    </cfRule>
    <cfRule type="expression" dxfId="19" priority="2">
      <formula>$E13&lt;&gt;"Cancelled"</formula>
    </cfRule>
  </conditionalFormatting>
  <dataValidations count="26">
    <dataValidation type="textLength" operator="lessThanOrEqual" allowBlank="1" showInputMessage="1" showErrorMessage="1" errorTitle="Max Length Exceed" error="Value cannot exceed 80 characters." sqref="C201" xr:uid="{FBBDB39D-84C9-4236-BCF2-DB31C4A6953C}">
      <formula1>80</formula1>
    </dataValidation>
    <dataValidation type="textLength" operator="lessThanOrEqual" allowBlank="1" showInputMessage="1" showErrorMessage="1" errorTitle="Max Length Exceed" error="Value cannot exceed 20 characters." sqref="D201" xr:uid="{27174EE9-C7ED-4159-BB8D-D19B6B7AD003}">
      <formula1>20</formula1>
    </dataValidation>
    <dataValidation type="decimal" operator="lessThanOrEqual" allowBlank="1" showInputMessage="1" showErrorMessage="1" errorTitle="Maximum Exceeded" error="Value cannot exceed 999,999,999,999.99" sqref="J201 L201 F201 G201 H201 I201 Q201 R201" xr:uid="{7E5B534A-4358-4623-906F-90254C6FD93A}">
      <formula1>999999999999.99</formula1>
    </dataValidation>
    <dataValidation type="textLength" operator="lessThanOrEqual" allowBlank="1" showInputMessage="1" showErrorMessage="1" errorTitle="Max Length Exceed" error="Value cannot exceed 255 characters." sqref="N201" xr:uid="{D74B61A4-6B41-492D-B89A-06E950E59083}">
      <formula1>255</formula1>
    </dataValidation>
    <dataValidation type="textLength" operator="lessThanOrEqual" allowBlank="1" showInputMessage="1" showErrorMessage="1" errorTitle="Max Length Exceed" error="Value cannot exceed 1500 characters." sqref="O201 P201" xr:uid="{87049028-4B8B-4993-98EA-A659E13A7D3E}">
      <formula1>1500</formula1>
    </dataValidation>
    <dataValidation type="textLength" operator="lessThanOrEqual" allowBlank="1" showInputMessage="1" showErrorMessage="1" errorTitle="Max Length Exceed" error="Value cannot exceed 250 characters." sqref="V201 T201 X201 Y201 Z201" xr:uid="{B1FDA35F-D4CB-4FB6-A11C-1C58E36F86E2}">
      <formula1>250</formula1>
    </dataValidation>
    <dataValidation type="list" allowBlank="1" showInputMessage="1" showErrorMessage="1" sqref="E13:E200" xr:uid="{3E09C52C-AC92-4EDE-AF52-0E3AA7EC3474}">
      <formula1>Status</formula1>
    </dataValidation>
    <dataValidation type="textLength" operator="lessThanOrEqual" allowBlank="1" showInputMessage="1" showErrorMessage="1" errorTitle="Max Length Exceed" error="Value cannot exceed 80 characters." sqref="C13:C200" xr:uid="{6C7E0E5F-EFAE-4FF4-98D1-B9BFFCEB6BA0}">
      <formula1>80</formula1>
    </dataValidation>
    <dataValidation type="textLength" operator="lessThanOrEqual" allowBlank="1" showInputMessage="1" showErrorMessage="1" errorTitle="Max Length Exceed" error="Value cannot exceed 20 characters." sqref="D13:D200" xr:uid="{75F9AFE0-3D2C-49A7-9529-917BB43FAA1B}">
      <formula1>20</formula1>
    </dataValidation>
    <dataValidation type="decimal" operator="lessThanOrEqual" allowBlank="1" showInputMessage="1" showErrorMessage="1" errorTitle="Maximum Exceeded" error="Value cannot exceed 999,999,999,999.99" sqref="F13:F200" xr:uid="{AA6E403E-B259-4C02-9624-A48736708951}">
      <formula1>999999999999.99</formula1>
    </dataValidation>
    <dataValidation type="decimal" operator="lessThanOrEqual" allowBlank="1" showInputMessage="1" showErrorMessage="1" errorTitle="Maximum Exceeded" error="Value cannot exceed 999,999,999,999.99" sqref="G13:G200" xr:uid="{0F157FDA-13F5-40BA-AAED-EC026ADA1003}">
      <formula1>999999999999.99</formula1>
    </dataValidation>
    <dataValidation type="decimal" operator="lessThanOrEqual" allowBlank="1" showInputMessage="1" showErrorMessage="1" errorTitle="Maximum Exceeded" error="Value cannot exceed 999,999,999,999.99" sqref="H13:H200" xr:uid="{AF05CB3C-0F9B-4CA1-8146-61C5CAF8EA29}">
      <formula1>999999999999.99</formula1>
    </dataValidation>
    <dataValidation type="decimal" operator="lessThanOrEqual" allowBlank="1" showInputMessage="1" showErrorMessage="1" errorTitle="Maximum Exceeded" error="Value cannot exceed 999,999,999,999.99" sqref="I13:I200" xr:uid="{A4CFB59B-9126-49C6-97C2-4A432D1DD558}">
      <formula1>999999999999.99</formula1>
    </dataValidation>
    <dataValidation type="decimal" operator="lessThanOrEqual" allowBlank="1" showInputMessage="1" showErrorMessage="1" errorTitle="Maximum Exceeded" error="Value cannot exceed 999,999,999,999.99" sqref="J13:J200" xr:uid="{95E90EED-7D45-4885-9D82-0EAAC2923877}">
      <formula1>999999999999.99</formula1>
    </dataValidation>
    <dataValidation type="decimal" operator="lessThanOrEqual" allowBlank="1" showInputMessage="1" showErrorMessage="1" errorTitle="Maximum Exceeded" error="Value cannot exceed 999,999,999,999.99" sqref="L13:L200" xr:uid="{BC57388B-6412-45E5-B5D1-C06BC5F13331}">
      <formula1>999999999999.99</formula1>
    </dataValidation>
    <dataValidation type="textLength" operator="lessThanOrEqual" allowBlank="1" showInputMessage="1" showErrorMessage="1" errorTitle="Max Length Exceed" error="Value cannot exceed 255 characters." sqref="N13:N200" xr:uid="{2F6AE8C6-57F2-41EA-ADD9-BBB74CB0827F}">
      <formula1>255</formula1>
    </dataValidation>
    <dataValidation type="textLength" operator="lessThanOrEqual" allowBlank="1" showInputMessage="1" showErrorMessage="1" errorTitle="Max Length Exceed" error="Value cannot exceed 1500 characters." sqref="O13:O200" xr:uid="{B119E061-A95C-4748-AEF2-9CEA229F3254}">
      <formula1>1500</formula1>
    </dataValidation>
    <dataValidation type="textLength" operator="lessThanOrEqual" allowBlank="1" showInputMessage="1" showErrorMessage="1" errorTitle="Max Length Exceed" error="Value cannot exceed 1500 characters." sqref="P13:P200" xr:uid="{78D69D3A-980E-44C5-8FFB-FF62644CAF07}">
      <formula1>1500</formula1>
    </dataValidation>
    <dataValidation type="decimal" operator="lessThanOrEqual" allowBlank="1" showInputMessage="1" showErrorMessage="1" errorTitle="Maximum Exceeded" error="Value cannot exceed 999,999,999,999.99" sqref="Q13:Q200" xr:uid="{58D14A61-B427-4E9F-9200-A49C6080CB36}">
      <formula1>999999999999.99</formula1>
    </dataValidation>
    <dataValidation type="decimal" operator="lessThanOrEqual" allowBlank="1" showInputMessage="1" showErrorMessage="1" errorTitle="Maximum Exceeded" error="Value cannot exceed 999,999,999,999.99" sqref="R13:R200" xr:uid="{68566BF6-0011-41A8-BB27-7F315F5FA6DD}">
      <formula1>999999999999.99</formula1>
    </dataValidation>
    <dataValidation type="textLength" operator="lessThanOrEqual" allowBlank="1" showInputMessage="1" showErrorMessage="1" errorTitle="Max Length Exceed" error="Value cannot exceed 250 characters." sqref="T13:T200" xr:uid="{166F5E52-0CFE-413B-A335-D2F7D24A7EAD}">
      <formula1>250</formula1>
    </dataValidation>
    <dataValidation type="textLength" operator="lessThanOrEqual" allowBlank="1" showInputMessage="1" showErrorMessage="1" errorTitle="Max Length Exceed" error="Value cannot exceed 250 characters." sqref="V13:V200" xr:uid="{54AF6A06-DBD3-4815-8F28-63D098410662}">
      <formula1>250</formula1>
    </dataValidation>
    <dataValidation type="textLength" operator="lessThanOrEqual" allowBlank="1" showInputMessage="1" showErrorMessage="1" errorTitle="Max Length Exceed" error="Value cannot exceed 250 characters." sqref="X13:X200" xr:uid="{D5B5B743-5155-4795-B34F-5C6B6138933A}">
      <formula1>250</formula1>
    </dataValidation>
    <dataValidation type="textLength" operator="lessThanOrEqual" allowBlank="1" showInputMessage="1" showErrorMessage="1" errorTitle="Max Length Exceed" error="Value cannot exceed 250 characters." sqref="Y13:Y200" xr:uid="{19DA1845-1DC7-4773-9072-B4F7495F4FA4}">
      <formula1>250</formula1>
    </dataValidation>
    <dataValidation type="textLength" operator="lessThanOrEqual" allowBlank="1" showInputMessage="1" showErrorMessage="1" errorTitle="Max Length Exceed" error="Value cannot exceed 250 characters." sqref="Z13:Z200" xr:uid="{A9EB8082-5022-43D4-BA09-A554D22CE3DB}">
      <formula1>250</formula1>
    </dataValidation>
    <dataValidation type="textLength" operator="lessThanOrEqual" allowBlank="1" showInputMessage="1" showErrorMessage="1" errorTitle="Max Length Exceed" error="Value cannot exceed 255 characters." sqref="AA13:AA200" xr:uid="{96AF90CD-0214-4D0F-92C2-D848576E471F}">
      <formula1>255</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r:uid="{91BA0793-E023-4E79-8C75-8EDF3058682D}">
          <x14:formula1>
            <xm:f>Dropdowns!$G$3:$G$6</xm:f>
          </x14:formula1>
          <xm:sqref>E201</xm:sqref>
        </x14:dataValidation>
        <x14:dataValidation type="list" allowBlank="1" showInputMessage="1" showErrorMessage="1" xr:uid="{A470E8C5-3307-45BD-8517-6809EE63E296}">
          <x14:formula1>
            <xm:f>Dropdowns!$H$3:$H$4</xm:f>
          </x14:formula1>
          <xm:sqref>K13:K201</xm:sqref>
        </x14:dataValidation>
        <x14:dataValidation type="list" allowBlank="1" showInputMessage="1" showErrorMessage="1" xr:uid="{CABA1B14-D9B4-46A4-889E-73A691F7500D}">
          <x14:formula1>
            <xm:f>Dropdowns!$N$3:$N$28</xm:f>
          </x14:formula1>
          <xm:sqref>M13:M201</xm:sqref>
        </x14:dataValidation>
        <x14:dataValidation type="list" allowBlank="1" showInputMessage="1" showErrorMessage="1" xr:uid="{DDB009A1-DBFB-4651-A71F-2726DA68BD0D}">
          <x14:formula1>
            <xm:f>Dropdowns!$M$3:$M$30</xm:f>
          </x14:formula1>
          <xm:sqref>S13:S201 W13:W201 U13:U201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6F848F-DE74-6B45-8ECF-1F240ED92762}">
  <sheetPr codeName="Sheet41"/>
  <dimension ref="A1:AC200"/>
  <sheetViews>
    <sheetView showGridLines="0" zoomScale="110" zoomScaleNormal="110" workbookViewId="0">
      <pane xSplit="5" ySplit="12" topLeftCell="F13" activePane="bottomRight" state="frozen"/>
      <selection pane="topRight" activeCell="E1" sqref="E1"/>
      <selection pane="bottomLeft" activeCell="A12" sqref="A12"/>
      <selection pane="bottomRight" sqref="A1:XFD10"/>
    </sheetView>
  </sheetViews>
  <sheetFormatPr defaultColWidth="14.453125" defaultRowHeight="12.75" customHeight="1" x14ac:dyDescent="0.25"/>
  <cols>
    <col min="1" max="1" width="15.7265625" style="161" hidden="1" customWidth="1"/>
    <col min="2" max="2" width="4.1796875" style="161" hidden="1" customWidth="1"/>
    <col min="3" max="3" width="20.7265625" style="201" customWidth="1"/>
    <col min="4" max="4" width="20.1796875" style="201" customWidth="1"/>
    <col min="5" max="6" width="31.81640625" style="200" customWidth="1"/>
    <col min="7" max="7" width="32.26953125" style="200" customWidth="1"/>
    <col min="8" max="8" width="36.81640625" style="161" customWidth="1"/>
    <col min="9" max="9" width="24.26953125" style="161" customWidth="1"/>
    <col min="10" max="10" width="23.81640625" style="161" customWidth="1"/>
    <col min="11" max="11" width="22.7265625" style="161" bestFit="1" customWidth="1"/>
    <col min="12" max="12" width="11.453125" style="161" customWidth="1"/>
    <col min="13" max="13" width="11.54296875" style="201" bestFit="1" customWidth="1"/>
    <col min="14" max="15" width="11.54296875" style="201" customWidth="1"/>
    <col min="16" max="16" width="18.54296875" style="161" customWidth="1"/>
    <col min="17" max="17" width="25.26953125" style="161" customWidth="1"/>
    <col min="18" max="18" width="28.7265625" style="161" customWidth="1"/>
    <col min="19" max="19" width="32.7265625" style="161" customWidth="1"/>
    <col min="20" max="20" width="19.7265625" style="161" customWidth="1"/>
    <col min="21" max="21" width="19.7265625" style="199" customWidth="1"/>
    <col min="22" max="22" width="19.7265625" style="161" customWidth="1"/>
    <col min="23" max="23" width="19.7265625" style="199" customWidth="1"/>
    <col min="24" max="24" width="19.7265625" style="161" customWidth="1"/>
    <col min="25" max="25" width="19.7265625" style="199" customWidth="1"/>
    <col min="26" max="29" width="19.7265625" style="161" customWidth="1"/>
    <col min="30" max="16384" width="14.453125" style="161"/>
  </cols>
  <sheetData>
    <row r="1" spans="1:29" ht="27" hidden="1" customHeight="1" x14ac:dyDescent="0.25">
      <c r="A1" s="111"/>
      <c r="B1" s="122"/>
      <c r="C1" s="122"/>
      <c r="D1" s="122"/>
      <c r="E1" s="122"/>
      <c r="F1" s="122"/>
      <c r="G1" s="122"/>
      <c r="H1" s="122"/>
      <c r="I1" s="122"/>
      <c r="J1" s="122"/>
      <c r="K1" s="122"/>
      <c r="L1" s="122"/>
      <c r="M1" s="122"/>
      <c r="N1" s="122"/>
      <c r="O1" s="122"/>
      <c r="P1" s="122"/>
      <c r="Q1" s="122"/>
      <c r="R1" s="122"/>
      <c r="S1" s="122"/>
      <c r="T1" s="122"/>
      <c r="U1" s="122"/>
      <c r="V1" s="122"/>
      <c r="W1" s="122"/>
      <c r="X1" s="122"/>
      <c r="Y1" s="122"/>
      <c r="Z1" s="122"/>
      <c r="AA1" s="122"/>
      <c r="AB1" s="122"/>
      <c r="AC1" s="122"/>
    </row>
    <row r="2" spans="1:29" ht="27" hidden="1" customHeight="1" x14ac:dyDescent="0.25">
      <c r="A2" s="109" t="s">
        <v>394</v>
      </c>
      <c r="B2" s="123"/>
      <c r="C2" s="144" t="s">
        <v>397</v>
      </c>
      <c r="D2" s="144" t="s">
        <v>397</v>
      </c>
      <c r="E2" s="144" t="s">
        <v>397</v>
      </c>
      <c r="F2" s="144" t="s">
        <v>397</v>
      </c>
      <c r="G2" s="144" t="s">
        <v>397</v>
      </c>
      <c r="H2" s="144" t="s">
        <v>397</v>
      </c>
      <c r="I2" s="144" t="s">
        <v>397</v>
      </c>
      <c r="J2" s="144" t="s">
        <v>397</v>
      </c>
      <c r="K2" s="144" t="s">
        <v>397</v>
      </c>
      <c r="L2" s="144" t="s">
        <v>397</v>
      </c>
      <c r="M2" s="144" t="s">
        <v>397</v>
      </c>
      <c r="N2" s="144" t="s">
        <v>397</v>
      </c>
      <c r="O2" s="144" t="s">
        <v>397</v>
      </c>
      <c r="P2" s="144" t="s">
        <v>397</v>
      </c>
      <c r="Q2" s="144" t="s">
        <v>397</v>
      </c>
      <c r="R2" s="144" t="s">
        <v>397</v>
      </c>
      <c r="S2" s="144" t="s">
        <v>397</v>
      </c>
      <c r="T2" s="144" t="s">
        <v>397</v>
      </c>
      <c r="U2" s="144" t="s">
        <v>397</v>
      </c>
      <c r="V2" s="144" t="s">
        <v>397</v>
      </c>
      <c r="W2" s="144" t="s">
        <v>397</v>
      </c>
      <c r="X2" s="144" t="s">
        <v>397</v>
      </c>
      <c r="Y2" s="144" t="s">
        <v>397</v>
      </c>
      <c r="Z2" s="144" t="s">
        <v>397</v>
      </c>
      <c r="AA2" s="144" t="s">
        <v>397</v>
      </c>
      <c r="AB2" s="144" t="s">
        <v>397</v>
      </c>
      <c r="AC2" s="144" t="s">
        <v>397</v>
      </c>
    </row>
    <row r="3" spans="1:29" ht="27" hidden="1" customHeight="1" x14ac:dyDescent="0.25">
      <c r="A3" s="109" t="s">
        <v>163</v>
      </c>
      <c r="B3" s="123"/>
      <c r="C3" s="136" t="s">
        <v>204</v>
      </c>
      <c r="D3" s="151" t="s">
        <v>666</v>
      </c>
      <c r="E3" s="144" t="s">
        <v>138</v>
      </c>
      <c r="F3" s="152" t="s">
        <v>872</v>
      </c>
      <c r="G3" s="136" t="s">
        <v>205</v>
      </c>
      <c r="H3" s="136" t="s">
        <v>206</v>
      </c>
      <c r="I3" s="136" t="s">
        <v>207</v>
      </c>
      <c r="J3" s="136" t="s">
        <v>208</v>
      </c>
      <c r="K3" s="136" t="s">
        <v>209</v>
      </c>
      <c r="L3" s="136" t="s">
        <v>210</v>
      </c>
      <c r="M3" s="136" t="s">
        <v>211</v>
      </c>
      <c r="N3" s="136" t="s">
        <v>212</v>
      </c>
      <c r="O3" s="136" t="s">
        <v>1039</v>
      </c>
      <c r="P3" s="136" t="s">
        <v>213</v>
      </c>
      <c r="Q3" s="145" t="s">
        <v>214</v>
      </c>
      <c r="R3" s="145" t="s">
        <v>215</v>
      </c>
      <c r="S3" s="145" t="s">
        <v>216</v>
      </c>
      <c r="T3" s="145" t="s">
        <v>217</v>
      </c>
      <c r="U3" s="145" t="s">
        <v>218</v>
      </c>
      <c r="V3" s="145" t="s">
        <v>219</v>
      </c>
      <c r="W3" s="145" t="s">
        <v>220</v>
      </c>
      <c r="X3" s="145" t="s">
        <v>221</v>
      </c>
      <c r="Y3" s="145" t="s">
        <v>222</v>
      </c>
      <c r="Z3" s="145" t="s">
        <v>223</v>
      </c>
      <c r="AA3" s="145" t="s">
        <v>224</v>
      </c>
      <c r="AB3" s="145" t="s">
        <v>225</v>
      </c>
      <c r="AC3" s="145" t="s">
        <v>226</v>
      </c>
    </row>
    <row r="4" spans="1:29" ht="27" hidden="1" customHeight="1" x14ac:dyDescent="0.25">
      <c r="A4" s="109" t="s">
        <v>162</v>
      </c>
      <c r="B4" s="123"/>
      <c r="C4" s="235" t="s">
        <v>1001</v>
      </c>
      <c r="D4" s="235" t="s">
        <v>1001</v>
      </c>
      <c r="E4" s="147" t="s">
        <v>149</v>
      </c>
      <c r="F4" s="152" t="s">
        <v>149</v>
      </c>
      <c r="G4" s="147" t="s">
        <v>150</v>
      </c>
      <c r="H4" s="147" t="s">
        <v>149</v>
      </c>
      <c r="I4" s="147" t="s">
        <v>150</v>
      </c>
      <c r="J4" s="147" t="s">
        <v>150</v>
      </c>
      <c r="K4" s="147" t="s">
        <v>149</v>
      </c>
      <c r="L4" s="147" t="s">
        <v>149</v>
      </c>
      <c r="M4" s="147" t="s">
        <v>149</v>
      </c>
      <c r="N4" s="147" t="s">
        <v>150</v>
      </c>
      <c r="O4" s="147" t="s">
        <v>150</v>
      </c>
      <c r="P4" s="122" t="s">
        <v>149</v>
      </c>
      <c r="Q4" s="145" t="s">
        <v>516</v>
      </c>
      <c r="R4" s="145" t="s">
        <v>516</v>
      </c>
      <c r="S4" s="145" t="s">
        <v>516</v>
      </c>
      <c r="T4" s="145" t="s">
        <v>516</v>
      </c>
      <c r="U4" s="145" t="s">
        <v>516</v>
      </c>
      <c r="V4" s="145" t="s">
        <v>516</v>
      </c>
      <c r="W4" s="145" t="s">
        <v>516</v>
      </c>
      <c r="X4" s="145" t="s">
        <v>516</v>
      </c>
      <c r="Y4" s="145" t="s">
        <v>516</v>
      </c>
      <c r="Z4" s="145" t="s">
        <v>516</v>
      </c>
      <c r="AA4" s="145" t="s">
        <v>516</v>
      </c>
      <c r="AB4" s="145" t="s">
        <v>516</v>
      </c>
      <c r="AC4" s="145" t="s">
        <v>516</v>
      </c>
    </row>
    <row r="5" spans="1:29" ht="27" hidden="1" customHeight="1" x14ac:dyDescent="0.25">
      <c r="A5" s="109" t="s">
        <v>395</v>
      </c>
      <c r="B5" s="123"/>
      <c r="C5" s="119" t="s">
        <v>654</v>
      </c>
      <c r="D5" s="119" t="s">
        <v>655</v>
      </c>
      <c r="E5" s="120" t="s">
        <v>656</v>
      </c>
      <c r="F5" s="120" t="s">
        <v>657</v>
      </c>
      <c r="G5" s="120" t="s">
        <v>657</v>
      </c>
      <c r="H5" s="120" t="s">
        <v>658</v>
      </c>
      <c r="I5" s="120" t="s">
        <v>659</v>
      </c>
      <c r="J5" s="120" t="s">
        <v>660</v>
      </c>
      <c r="K5" s="120" t="s">
        <v>661</v>
      </c>
      <c r="L5" s="120" t="s">
        <v>662</v>
      </c>
      <c r="M5" s="120" t="s">
        <v>663</v>
      </c>
      <c r="N5" s="120" t="s">
        <v>664</v>
      </c>
      <c r="O5" s="120" t="s">
        <v>1035</v>
      </c>
      <c r="P5" s="120" t="s">
        <v>665</v>
      </c>
      <c r="Q5" s="144" t="s">
        <v>239</v>
      </c>
      <c r="R5" s="144" t="s">
        <v>240</v>
      </c>
      <c r="S5" s="144" t="s">
        <v>241</v>
      </c>
      <c r="T5" s="145" t="s">
        <v>242</v>
      </c>
      <c r="U5" s="144" t="s">
        <v>243</v>
      </c>
      <c r="V5" s="145" t="s">
        <v>244</v>
      </c>
      <c r="W5" s="144" t="s">
        <v>245</v>
      </c>
      <c r="X5" s="145" t="s">
        <v>244</v>
      </c>
      <c r="Y5" s="144" t="s">
        <v>245</v>
      </c>
      <c r="Z5" s="145" t="s">
        <v>244</v>
      </c>
      <c r="AA5" s="144" t="s">
        <v>245</v>
      </c>
      <c r="AB5" s="145" t="s">
        <v>244</v>
      </c>
      <c r="AC5" s="144" t="s">
        <v>245</v>
      </c>
    </row>
    <row r="6" spans="1:29" ht="27" hidden="1" customHeight="1" x14ac:dyDescent="0.25">
      <c r="A6" s="109" t="s">
        <v>166</v>
      </c>
      <c r="B6" s="123"/>
      <c r="C6" s="148" t="s">
        <v>134</v>
      </c>
      <c r="D6" s="148" t="s">
        <v>134</v>
      </c>
      <c r="E6" s="148" t="s">
        <v>134</v>
      </c>
      <c r="F6" s="115" t="s">
        <v>668</v>
      </c>
      <c r="G6" s="148" t="s">
        <v>134</v>
      </c>
      <c r="H6" s="148" t="s">
        <v>134</v>
      </c>
      <c r="I6" s="148" t="s">
        <v>134</v>
      </c>
      <c r="J6" s="148" t="s">
        <v>134</v>
      </c>
      <c r="K6" s="148" t="s">
        <v>134</v>
      </c>
      <c r="L6" s="148" t="s">
        <v>246</v>
      </c>
      <c r="M6" s="148" t="s">
        <v>134</v>
      </c>
      <c r="N6" s="148" t="s">
        <v>134</v>
      </c>
      <c r="O6" s="148" t="s">
        <v>134</v>
      </c>
      <c r="P6" s="115" t="s">
        <v>178</v>
      </c>
      <c r="Q6" s="115" t="s">
        <v>178</v>
      </c>
      <c r="R6" s="115" t="s">
        <v>178</v>
      </c>
      <c r="S6" s="115" t="s">
        <v>178</v>
      </c>
      <c r="T6" s="145" t="s">
        <v>134</v>
      </c>
      <c r="U6" s="144" t="s">
        <v>134</v>
      </c>
      <c r="V6" s="145" t="s">
        <v>134</v>
      </c>
      <c r="W6" s="144" t="s">
        <v>134</v>
      </c>
      <c r="X6" s="145" t="s">
        <v>134</v>
      </c>
      <c r="Y6" s="144" t="s">
        <v>134</v>
      </c>
      <c r="Z6" s="145" t="s">
        <v>134</v>
      </c>
      <c r="AA6" s="144" t="s">
        <v>134</v>
      </c>
      <c r="AB6" s="145" t="s">
        <v>134</v>
      </c>
      <c r="AC6" s="144" t="s">
        <v>134</v>
      </c>
    </row>
    <row r="7" spans="1:29" ht="27" hidden="1" customHeight="1" x14ac:dyDescent="0.25">
      <c r="A7" s="109" t="s">
        <v>167</v>
      </c>
      <c r="B7" s="123"/>
      <c r="C7" s="122" t="s">
        <v>1026</v>
      </c>
      <c r="D7" s="122" t="s">
        <v>1026</v>
      </c>
      <c r="E7" s="122" t="s">
        <v>169</v>
      </c>
      <c r="F7" s="231" t="s">
        <v>744</v>
      </c>
      <c r="G7" s="122" t="s">
        <v>169</v>
      </c>
      <c r="H7" s="122" t="s">
        <v>169</v>
      </c>
      <c r="I7" s="122" t="s">
        <v>169</v>
      </c>
      <c r="J7" s="122" t="s">
        <v>169</v>
      </c>
      <c r="K7" s="122" t="s">
        <v>169</v>
      </c>
      <c r="L7" s="122" t="s">
        <v>171</v>
      </c>
      <c r="M7" s="122" t="s">
        <v>169</v>
      </c>
      <c r="N7" s="122" t="s">
        <v>169</v>
      </c>
      <c r="O7" s="122" t="s">
        <v>169</v>
      </c>
      <c r="P7" s="122" t="s">
        <v>171</v>
      </c>
      <c r="Q7" s="122" t="s">
        <v>171</v>
      </c>
      <c r="R7" s="122" t="s">
        <v>171</v>
      </c>
      <c r="S7" s="122" t="s">
        <v>171</v>
      </c>
      <c r="T7" s="145" t="s">
        <v>169</v>
      </c>
      <c r="U7" s="145" t="s">
        <v>173</v>
      </c>
      <c r="V7" s="145" t="s">
        <v>169</v>
      </c>
      <c r="W7" s="145" t="s">
        <v>173</v>
      </c>
      <c r="X7" s="145" t="s">
        <v>169</v>
      </c>
      <c r="Y7" s="145" t="s">
        <v>173</v>
      </c>
      <c r="Z7" s="145" t="s">
        <v>169</v>
      </c>
      <c r="AA7" s="145" t="s">
        <v>173</v>
      </c>
      <c r="AB7" s="145" t="s">
        <v>169</v>
      </c>
      <c r="AC7" s="145" t="s">
        <v>173</v>
      </c>
    </row>
    <row r="8" spans="1:29" ht="27" hidden="1" customHeight="1" x14ac:dyDescent="0.25">
      <c r="A8" s="109" t="s">
        <v>168</v>
      </c>
      <c r="B8" s="123"/>
      <c r="C8" s="122">
        <v>12</v>
      </c>
      <c r="D8" s="122">
        <v>9</v>
      </c>
      <c r="E8" s="122">
        <v>80</v>
      </c>
      <c r="F8" s="122" t="s">
        <v>134</v>
      </c>
      <c r="G8" s="122">
        <v>40</v>
      </c>
      <c r="H8" s="122">
        <v>255</v>
      </c>
      <c r="I8" s="122">
        <v>255</v>
      </c>
      <c r="J8" s="122">
        <v>255</v>
      </c>
      <c r="K8" s="122">
        <v>100</v>
      </c>
      <c r="L8" s="122" t="s">
        <v>134</v>
      </c>
      <c r="M8" s="122">
        <v>5</v>
      </c>
      <c r="N8" s="122">
        <v>4</v>
      </c>
      <c r="O8" s="122">
        <v>2</v>
      </c>
      <c r="P8" s="122" t="s">
        <v>134</v>
      </c>
      <c r="Q8" s="122" t="s">
        <v>134</v>
      </c>
      <c r="R8" s="122" t="s">
        <v>134</v>
      </c>
      <c r="S8" s="122" t="s">
        <v>134</v>
      </c>
      <c r="T8" s="122">
        <v>80</v>
      </c>
      <c r="U8" s="122" t="s">
        <v>174</v>
      </c>
      <c r="V8" s="122">
        <v>80</v>
      </c>
      <c r="W8" s="122" t="s">
        <v>174</v>
      </c>
      <c r="X8" s="122">
        <v>80</v>
      </c>
      <c r="Y8" s="122" t="s">
        <v>174</v>
      </c>
      <c r="Z8" s="122">
        <v>80</v>
      </c>
      <c r="AA8" s="122" t="s">
        <v>174</v>
      </c>
      <c r="AB8" s="122">
        <v>80</v>
      </c>
      <c r="AC8" s="122" t="s">
        <v>174</v>
      </c>
    </row>
    <row r="9" spans="1:29" ht="27" hidden="1" customHeight="1" x14ac:dyDescent="0.25">
      <c r="A9" s="109" t="s">
        <v>396</v>
      </c>
      <c r="B9" s="123"/>
      <c r="C9" s="136"/>
      <c r="D9" s="136"/>
      <c r="E9" s="144"/>
      <c r="F9" s="144"/>
      <c r="G9" s="136"/>
      <c r="H9" s="136"/>
      <c r="I9" s="136"/>
      <c r="J9" s="136"/>
      <c r="K9" s="136"/>
      <c r="L9" s="136"/>
      <c r="M9" s="136"/>
      <c r="N9" s="136"/>
      <c r="O9" s="136"/>
      <c r="P9" s="136"/>
      <c r="Q9" s="145" t="s">
        <v>670</v>
      </c>
      <c r="R9" s="145" t="s">
        <v>671</v>
      </c>
      <c r="S9" s="145" t="s">
        <v>672</v>
      </c>
      <c r="T9" s="145" t="s">
        <v>673</v>
      </c>
      <c r="U9" s="145" t="s">
        <v>673</v>
      </c>
      <c r="V9" s="145" t="s">
        <v>673</v>
      </c>
      <c r="W9" s="145" t="s">
        <v>673</v>
      </c>
      <c r="X9" s="145" t="s">
        <v>673</v>
      </c>
      <c r="Y9" s="145" t="s">
        <v>673</v>
      </c>
      <c r="Z9" s="145" t="s">
        <v>673</v>
      </c>
      <c r="AA9" s="145" t="s">
        <v>673</v>
      </c>
      <c r="AB9" s="145" t="s">
        <v>673</v>
      </c>
      <c r="AC9" s="145" t="s">
        <v>673</v>
      </c>
    </row>
    <row r="10" spans="1:29" ht="35.15" hidden="1" customHeight="1" x14ac:dyDescent="0.25">
      <c r="A10" s="86" t="s">
        <v>752</v>
      </c>
      <c r="B10" s="92"/>
      <c r="C10" s="127" t="s">
        <v>1005</v>
      </c>
      <c r="D10" s="127" t="s">
        <v>1006</v>
      </c>
      <c r="E10" s="93" t="s">
        <v>763</v>
      </c>
      <c r="F10" s="93" t="s">
        <v>764</v>
      </c>
      <c r="G10" s="127" t="s">
        <v>765</v>
      </c>
      <c r="H10" s="127" t="s">
        <v>766</v>
      </c>
      <c r="I10" s="127" t="s">
        <v>767</v>
      </c>
      <c r="J10" s="127" t="s">
        <v>768</v>
      </c>
      <c r="K10" s="127" t="s">
        <v>769</v>
      </c>
      <c r="L10" s="127" t="s">
        <v>770</v>
      </c>
      <c r="M10" s="127" t="s">
        <v>771</v>
      </c>
      <c r="N10" s="127" t="s">
        <v>772</v>
      </c>
      <c r="O10" s="127" t="s">
        <v>1036</v>
      </c>
      <c r="P10" s="127" t="s">
        <v>773</v>
      </c>
      <c r="Q10" s="127" t="s">
        <v>774</v>
      </c>
      <c r="R10" s="127" t="s">
        <v>775</v>
      </c>
      <c r="S10" s="127" t="s">
        <v>776</v>
      </c>
      <c r="T10" s="127" t="s">
        <v>777</v>
      </c>
      <c r="U10" s="127" t="s">
        <v>778</v>
      </c>
      <c r="V10" s="127" t="s">
        <v>777</v>
      </c>
      <c r="W10" s="127" t="s">
        <v>778</v>
      </c>
      <c r="X10" s="127" t="s">
        <v>777</v>
      </c>
      <c r="Y10" s="127" t="s">
        <v>778</v>
      </c>
      <c r="Z10" s="127" t="s">
        <v>777</v>
      </c>
      <c r="AA10" s="127" t="s">
        <v>778</v>
      </c>
      <c r="AB10" s="127" t="s">
        <v>777</v>
      </c>
      <c r="AC10" s="127" t="s">
        <v>778</v>
      </c>
    </row>
    <row r="11" spans="1:29" ht="14" x14ac:dyDescent="0.25">
      <c r="A11" s="70"/>
      <c r="B11" s="70"/>
      <c r="C11" s="82">
        <f>Cover!$C$2</f>
        <v>0</v>
      </c>
      <c r="D11" s="106"/>
      <c r="E11" s="72"/>
      <c r="F11" s="72"/>
      <c r="G11" s="106"/>
      <c r="H11" s="106"/>
      <c r="I11" s="106"/>
      <c r="J11" s="106"/>
      <c r="K11" s="106"/>
      <c r="L11" s="106"/>
      <c r="M11" s="106"/>
      <c r="N11" s="106"/>
      <c r="O11" s="106"/>
      <c r="P11" s="106"/>
      <c r="Q11" s="75"/>
      <c r="R11" s="75"/>
      <c r="S11" s="75"/>
      <c r="T11" s="75"/>
      <c r="U11" s="107"/>
      <c r="V11" s="75"/>
      <c r="W11" s="107"/>
      <c r="X11" s="75"/>
      <c r="Y11" s="107"/>
      <c r="Z11" s="75"/>
      <c r="AA11" s="75"/>
      <c r="AB11" s="75"/>
      <c r="AC11" s="75"/>
    </row>
    <row r="12" spans="1:29" s="163" customFormat="1" ht="65" x14ac:dyDescent="0.3">
      <c r="A12" s="53" t="s">
        <v>151</v>
      </c>
      <c r="B12" s="53"/>
      <c r="C12" s="311" t="s">
        <v>1003</v>
      </c>
      <c r="D12" s="311" t="s">
        <v>1004</v>
      </c>
      <c r="E12" s="311" t="s">
        <v>9</v>
      </c>
      <c r="F12" s="311" t="s">
        <v>667</v>
      </c>
      <c r="G12" s="312" t="s">
        <v>328</v>
      </c>
      <c r="H12" s="311" t="s">
        <v>10</v>
      </c>
      <c r="I12" s="312" t="s">
        <v>11</v>
      </c>
      <c r="J12" s="312" t="s">
        <v>12</v>
      </c>
      <c r="K12" s="311" t="s">
        <v>13</v>
      </c>
      <c r="L12" s="311" t="s">
        <v>14</v>
      </c>
      <c r="M12" s="311" t="s">
        <v>15</v>
      </c>
      <c r="N12" s="312" t="s">
        <v>203</v>
      </c>
      <c r="O12" s="312" t="s">
        <v>1037</v>
      </c>
      <c r="P12" s="311" t="s">
        <v>329</v>
      </c>
      <c r="Q12" s="311" t="s">
        <v>227</v>
      </c>
      <c r="R12" s="311" t="s">
        <v>228</v>
      </c>
      <c r="S12" s="311" t="s">
        <v>1029</v>
      </c>
      <c r="T12" s="311" t="s">
        <v>229</v>
      </c>
      <c r="U12" s="311" t="s">
        <v>230</v>
      </c>
      <c r="V12" s="311" t="s">
        <v>231</v>
      </c>
      <c r="W12" s="311" t="s">
        <v>232</v>
      </c>
      <c r="X12" s="311" t="s">
        <v>233</v>
      </c>
      <c r="Y12" s="311" t="s">
        <v>234</v>
      </c>
      <c r="Z12" s="311" t="s">
        <v>235</v>
      </c>
      <c r="AA12" s="311" t="s">
        <v>236</v>
      </c>
      <c r="AB12" s="311" t="s">
        <v>237</v>
      </c>
      <c r="AC12" s="311" t="s">
        <v>238</v>
      </c>
    </row>
    <row r="13" spans="1:29" ht="12.5" customHeight="1" x14ac:dyDescent="0.25">
      <c r="A13" s="229" t="s">
        <v>165</v>
      </c>
      <c r="B13" s="229"/>
      <c r="C13" s="277"/>
      <c r="D13" s="277"/>
      <c r="E13" s="278"/>
      <c r="F13" s="237"/>
      <c r="G13" s="237"/>
      <c r="H13" s="237"/>
      <c r="I13" s="220"/>
      <c r="J13" s="220"/>
      <c r="K13" s="237"/>
      <c r="L13" s="237"/>
      <c r="M13" s="278"/>
      <c r="N13" s="278"/>
      <c r="O13" s="278"/>
      <c r="P13" s="220"/>
      <c r="Q13" s="220"/>
      <c r="R13" s="220"/>
      <c r="S13" s="220"/>
      <c r="T13" s="279"/>
      <c r="U13" s="280"/>
      <c r="V13" s="279"/>
      <c r="W13" s="280"/>
      <c r="X13" s="279"/>
      <c r="Y13" s="280"/>
      <c r="Z13" s="279"/>
      <c r="AA13" s="280"/>
      <c r="AB13" s="279"/>
      <c r="AC13" s="280"/>
    </row>
    <row r="14" spans="1:29" ht="12.75" customHeight="1" x14ac:dyDescent="0.25">
      <c r="A14" s="229"/>
      <c r="B14" s="229"/>
      <c r="C14" s="277"/>
      <c r="D14" s="277"/>
      <c r="E14" s="237"/>
      <c r="F14" s="237"/>
      <c r="G14" s="237"/>
      <c r="H14" s="237"/>
      <c r="I14" s="220"/>
      <c r="J14" s="220"/>
      <c r="K14" s="237"/>
      <c r="L14" s="237"/>
      <c r="M14" s="278"/>
      <c r="N14" s="278"/>
      <c r="O14" s="278"/>
      <c r="P14" s="220"/>
      <c r="Q14" s="220"/>
      <c r="R14" s="220"/>
      <c r="S14" s="220"/>
      <c r="T14" s="220"/>
      <c r="U14" s="280"/>
      <c r="V14" s="220"/>
      <c r="W14" s="280"/>
      <c r="X14" s="220"/>
      <c r="Y14" s="280"/>
      <c r="Z14" s="220"/>
      <c r="AA14" s="280"/>
      <c r="AB14" s="220"/>
      <c r="AC14" s="280"/>
    </row>
    <row r="15" spans="1:29" ht="12.75" customHeight="1" x14ac:dyDescent="0.25">
      <c r="A15" s="229"/>
      <c r="B15" s="229"/>
      <c r="C15" s="277"/>
      <c r="D15" s="277"/>
      <c r="E15" s="237"/>
      <c r="F15" s="237"/>
      <c r="G15" s="237"/>
      <c r="H15" s="237"/>
      <c r="I15" s="220"/>
      <c r="J15" s="220"/>
      <c r="K15" s="237"/>
      <c r="L15" s="237"/>
      <c r="M15" s="278"/>
      <c r="N15" s="278"/>
      <c r="O15" s="278"/>
      <c r="P15" s="220"/>
      <c r="Q15" s="220"/>
      <c r="R15" s="220"/>
      <c r="S15" s="220"/>
      <c r="T15" s="220"/>
      <c r="U15" s="280"/>
      <c r="V15" s="220"/>
      <c r="W15" s="280"/>
      <c r="X15" s="220"/>
      <c r="Y15" s="280"/>
      <c r="Z15" s="220"/>
      <c r="AA15" s="280"/>
      <c r="AB15" s="220"/>
      <c r="AC15" s="280"/>
    </row>
    <row r="16" spans="1:29" ht="12.75" customHeight="1" x14ac:dyDescent="0.25">
      <c r="A16" s="229"/>
      <c r="B16" s="229"/>
      <c r="C16" s="277"/>
      <c r="D16" s="277"/>
      <c r="E16" s="237"/>
      <c r="F16" s="237"/>
      <c r="G16" s="237"/>
      <c r="H16" s="237"/>
      <c r="I16" s="237"/>
      <c r="J16" s="220"/>
      <c r="K16" s="237"/>
      <c r="L16" s="237"/>
      <c r="M16" s="278"/>
      <c r="N16" s="278"/>
      <c r="O16" s="278"/>
      <c r="P16" s="220"/>
      <c r="Q16" s="220"/>
      <c r="R16" s="220"/>
      <c r="S16" s="220"/>
      <c r="T16" s="220"/>
      <c r="U16" s="280"/>
      <c r="V16" s="220"/>
      <c r="W16" s="280"/>
      <c r="X16" s="220"/>
      <c r="Y16" s="280"/>
      <c r="Z16" s="220"/>
      <c r="AA16" s="280"/>
      <c r="AB16" s="220"/>
      <c r="AC16" s="280"/>
    </row>
    <row r="17" spans="1:29" ht="12.75" customHeight="1" x14ac:dyDescent="0.25">
      <c r="A17" s="229"/>
      <c r="B17" s="229"/>
      <c r="C17" s="277"/>
      <c r="D17" s="277"/>
      <c r="E17" s="237"/>
      <c r="F17" s="237"/>
      <c r="G17" s="237"/>
      <c r="H17" s="237"/>
      <c r="I17" s="237"/>
      <c r="J17" s="220"/>
      <c r="K17" s="237"/>
      <c r="L17" s="237"/>
      <c r="M17" s="278"/>
      <c r="N17" s="278"/>
      <c r="O17" s="278"/>
      <c r="P17" s="220"/>
      <c r="Q17" s="220"/>
      <c r="R17" s="220"/>
      <c r="S17" s="220"/>
      <c r="T17" s="220"/>
      <c r="U17" s="280"/>
      <c r="V17" s="220"/>
      <c r="W17" s="280"/>
      <c r="X17" s="220"/>
      <c r="Y17" s="280"/>
      <c r="Z17" s="220"/>
      <c r="AA17" s="280"/>
      <c r="AB17" s="220"/>
      <c r="AC17" s="280"/>
    </row>
    <row r="18" spans="1:29" ht="12.75" customHeight="1" x14ac:dyDescent="0.25">
      <c r="A18" s="229"/>
      <c r="B18" s="229"/>
      <c r="C18" s="277"/>
      <c r="D18" s="277"/>
      <c r="E18" s="237"/>
      <c r="F18" s="237"/>
      <c r="G18" s="237"/>
      <c r="H18" s="237"/>
      <c r="I18" s="237"/>
      <c r="J18" s="220"/>
      <c r="K18" s="237"/>
      <c r="L18" s="237"/>
      <c r="M18" s="278"/>
      <c r="N18" s="278"/>
      <c r="O18" s="278"/>
      <c r="P18" s="220"/>
      <c r="Q18" s="220"/>
      <c r="R18" s="220"/>
      <c r="S18" s="220"/>
      <c r="T18" s="220"/>
      <c r="U18" s="280"/>
      <c r="V18" s="220"/>
      <c r="W18" s="280"/>
      <c r="X18" s="220"/>
      <c r="Y18" s="280"/>
      <c r="Z18" s="220"/>
      <c r="AA18" s="280"/>
      <c r="AB18" s="220"/>
      <c r="AC18" s="280"/>
    </row>
    <row r="19" spans="1:29" ht="12.75" customHeight="1" x14ac:dyDescent="0.25">
      <c r="A19" s="229"/>
      <c r="B19" s="229"/>
      <c r="C19" s="277"/>
      <c r="D19" s="277"/>
      <c r="E19" s="237"/>
      <c r="F19" s="237"/>
      <c r="G19" s="237"/>
      <c r="H19" s="237"/>
      <c r="I19" s="237"/>
      <c r="J19" s="220"/>
      <c r="K19" s="237"/>
      <c r="L19" s="237"/>
      <c r="M19" s="278"/>
      <c r="N19" s="278"/>
      <c r="O19" s="278"/>
      <c r="P19" s="220"/>
      <c r="Q19" s="220"/>
      <c r="R19" s="220"/>
      <c r="S19" s="220"/>
      <c r="T19" s="220"/>
      <c r="U19" s="280"/>
      <c r="V19" s="220"/>
      <c r="W19" s="280"/>
      <c r="X19" s="220"/>
      <c r="Y19" s="280"/>
      <c r="Z19" s="220"/>
      <c r="AA19" s="280"/>
      <c r="AB19" s="220"/>
      <c r="AC19" s="280"/>
    </row>
    <row r="20" spans="1:29" ht="12.75" customHeight="1" x14ac:dyDescent="0.25">
      <c r="A20" s="229"/>
      <c r="B20" s="229"/>
      <c r="C20" s="277"/>
      <c r="D20" s="277"/>
      <c r="E20" s="237"/>
      <c r="F20" s="237"/>
      <c r="G20" s="237"/>
      <c r="H20" s="237"/>
      <c r="I20" s="220"/>
      <c r="J20" s="220"/>
      <c r="K20" s="237"/>
      <c r="L20" s="237"/>
      <c r="M20" s="278"/>
      <c r="N20" s="278"/>
      <c r="O20" s="278"/>
      <c r="P20" s="220"/>
      <c r="Q20" s="220"/>
      <c r="R20" s="220"/>
      <c r="S20" s="220"/>
      <c r="T20" s="220"/>
      <c r="U20" s="280"/>
      <c r="V20" s="220"/>
      <c r="W20" s="280"/>
      <c r="X20" s="220"/>
      <c r="Y20" s="280"/>
      <c r="Z20" s="220"/>
      <c r="AA20" s="280"/>
      <c r="AB20" s="220"/>
      <c r="AC20" s="280"/>
    </row>
    <row r="21" spans="1:29" ht="12.75" customHeight="1" x14ac:dyDescent="0.25">
      <c r="A21" s="229"/>
      <c r="B21" s="229"/>
      <c r="C21" s="277"/>
      <c r="D21" s="277"/>
      <c r="E21" s="237"/>
      <c r="F21" s="237"/>
      <c r="G21" s="237"/>
      <c r="H21" s="237"/>
      <c r="I21" s="237"/>
      <c r="J21" s="220"/>
      <c r="K21" s="237"/>
      <c r="L21" s="237"/>
      <c r="M21" s="278"/>
      <c r="N21" s="278"/>
      <c r="O21" s="278"/>
      <c r="P21" s="220"/>
      <c r="Q21" s="220"/>
      <c r="R21" s="220"/>
      <c r="S21" s="220"/>
      <c r="T21" s="220"/>
      <c r="U21" s="280"/>
      <c r="V21" s="220"/>
      <c r="W21" s="280"/>
      <c r="X21" s="220"/>
      <c r="Y21" s="280"/>
      <c r="Z21" s="220"/>
      <c r="AA21" s="280"/>
      <c r="AB21" s="220"/>
      <c r="AC21" s="280"/>
    </row>
    <row r="22" spans="1:29" ht="12.75" customHeight="1" x14ac:dyDescent="0.25">
      <c r="A22" s="229"/>
      <c r="B22" s="229"/>
      <c r="C22" s="277"/>
      <c r="D22" s="277"/>
      <c r="E22" s="237"/>
      <c r="F22" s="237"/>
      <c r="G22" s="237"/>
      <c r="H22" s="237"/>
      <c r="I22" s="237"/>
      <c r="J22" s="220"/>
      <c r="K22" s="237"/>
      <c r="L22" s="237"/>
      <c r="M22" s="278"/>
      <c r="N22" s="278"/>
      <c r="O22" s="278"/>
      <c r="P22" s="220"/>
      <c r="Q22" s="220"/>
      <c r="R22" s="220"/>
      <c r="S22" s="220"/>
      <c r="T22" s="220"/>
      <c r="U22" s="280"/>
      <c r="V22" s="220"/>
      <c r="W22" s="280"/>
      <c r="X22" s="220"/>
      <c r="Y22" s="280"/>
      <c r="Z22" s="220"/>
      <c r="AA22" s="280"/>
      <c r="AB22" s="220"/>
      <c r="AC22" s="280"/>
    </row>
    <row r="23" spans="1:29" ht="12.75" customHeight="1" x14ac:dyDescent="0.25">
      <c r="A23" s="229"/>
      <c r="B23" s="229"/>
      <c r="C23" s="277"/>
      <c r="D23" s="277"/>
      <c r="E23" s="237"/>
      <c r="F23" s="237"/>
      <c r="G23" s="237"/>
      <c r="H23" s="237"/>
      <c r="I23" s="220"/>
      <c r="J23" s="220"/>
      <c r="K23" s="237"/>
      <c r="L23" s="237"/>
      <c r="M23" s="278"/>
      <c r="N23" s="278"/>
      <c r="O23" s="278"/>
      <c r="P23" s="220"/>
      <c r="Q23" s="220"/>
      <c r="R23" s="220"/>
      <c r="S23" s="220"/>
      <c r="T23" s="220"/>
      <c r="U23" s="280"/>
      <c r="V23" s="220"/>
      <c r="W23" s="280"/>
      <c r="X23" s="220"/>
      <c r="Y23" s="280"/>
      <c r="Z23" s="220"/>
      <c r="AA23" s="280"/>
      <c r="AB23" s="220"/>
      <c r="AC23" s="280"/>
    </row>
    <row r="24" spans="1:29" ht="12.75" customHeight="1" x14ac:dyDescent="0.25">
      <c r="A24" s="229"/>
      <c r="B24" s="229"/>
      <c r="C24" s="277"/>
      <c r="D24" s="277"/>
      <c r="E24" s="237"/>
      <c r="F24" s="237"/>
      <c r="G24" s="237"/>
      <c r="H24" s="237"/>
      <c r="I24" s="220"/>
      <c r="J24" s="220"/>
      <c r="K24" s="237"/>
      <c r="L24" s="237"/>
      <c r="M24" s="278"/>
      <c r="N24" s="278"/>
      <c r="O24" s="278"/>
      <c r="P24" s="220"/>
      <c r="Q24" s="220"/>
      <c r="R24" s="220"/>
      <c r="S24" s="220"/>
      <c r="T24" s="220"/>
      <c r="U24" s="280"/>
      <c r="V24" s="220"/>
      <c r="W24" s="280"/>
      <c r="X24" s="220"/>
      <c r="Y24" s="280"/>
      <c r="Z24" s="220"/>
      <c r="AA24" s="280"/>
      <c r="AB24" s="220"/>
      <c r="AC24" s="280"/>
    </row>
    <row r="25" spans="1:29" ht="12.75" customHeight="1" x14ac:dyDescent="0.25">
      <c r="A25" s="229"/>
      <c r="B25" s="229"/>
      <c r="C25" s="281"/>
      <c r="D25" s="281"/>
      <c r="E25" s="282"/>
      <c r="F25" s="237"/>
      <c r="G25" s="282"/>
      <c r="H25" s="282"/>
      <c r="I25" s="282"/>
      <c r="J25" s="220"/>
      <c r="K25" s="282"/>
      <c r="L25" s="282"/>
      <c r="M25" s="281"/>
      <c r="N25" s="281"/>
      <c r="O25" s="281"/>
      <c r="P25" s="220"/>
      <c r="Q25" s="220"/>
      <c r="R25" s="220"/>
      <c r="S25" s="220"/>
      <c r="T25" s="220"/>
      <c r="U25" s="280"/>
      <c r="V25" s="220"/>
      <c r="W25" s="280"/>
      <c r="X25" s="220"/>
      <c r="Y25" s="280"/>
      <c r="Z25" s="220"/>
      <c r="AA25" s="280"/>
      <c r="AB25" s="220"/>
      <c r="AC25" s="280"/>
    </row>
    <row r="26" spans="1:29" ht="12.75" customHeight="1" x14ac:dyDescent="0.25">
      <c r="A26" s="229"/>
      <c r="B26" s="229"/>
      <c r="C26" s="281"/>
      <c r="D26" s="281"/>
      <c r="E26" s="282"/>
      <c r="F26" s="237"/>
      <c r="G26" s="282"/>
      <c r="H26" s="282"/>
      <c r="I26" s="282"/>
      <c r="J26" s="282"/>
      <c r="K26" s="282"/>
      <c r="L26" s="282"/>
      <c r="M26" s="281"/>
      <c r="N26" s="281"/>
      <c r="O26" s="281"/>
      <c r="P26" s="220"/>
      <c r="Q26" s="220"/>
      <c r="R26" s="220"/>
      <c r="S26" s="220"/>
      <c r="T26" s="220"/>
      <c r="U26" s="280"/>
      <c r="V26" s="220"/>
      <c r="W26" s="280"/>
      <c r="X26" s="220"/>
      <c r="Y26" s="280"/>
      <c r="Z26" s="220"/>
      <c r="AA26" s="280"/>
      <c r="AB26" s="220"/>
      <c r="AC26" s="280"/>
    </row>
    <row r="27" spans="1:29" ht="12.75" customHeight="1" x14ac:dyDescent="0.25">
      <c r="A27" s="229"/>
      <c r="B27" s="229"/>
      <c r="C27" s="277"/>
      <c r="D27" s="277"/>
      <c r="E27" s="237"/>
      <c r="F27" s="237"/>
      <c r="G27" s="237"/>
      <c r="H27" s="237"/>
      <c r="I27" s="220"/>
      <c r="J27" s="220"/>
      <c r="K27" s="237"/>
      <c r="L27" s="237"/>
      <c r="M27" s="278"/>
      <c r="N27" s="278"/>
      <c r="O27" s="278"/>
      <c r="P27" s="220"/>
      <c r="Q27" s="220"/>
      <c r="R27" s="220"/>
      <c r="S27" s="220"/>
      <c r="T27" s="220"/>
      <c r="U27" s="280"/>
      <c r="V27" s="220"/>
      <c r="W27" s="280"/>
      <c r="X27" s="220"/>
      <c r="Y27" s="280"/>
      <c r="Z27" s="220"/>
      <c r="AA27" s="280"/>
      <c r="AB27" s="220"/>
      <c r="AC27" s="280"/>
    </row>
    <row r="28" spans="1:29" ht="12.75" customHeight="1" x14ac:dyDescent="0.25">
      <c r="A28" s="229"/>
      <c r="B28" s="229"/>
      <c r="C28" s="277"/>
      <c r="D28" s="277"/>
      <c r="E28" s="237"/>
      <c r="F28" s="237"/>
      <c r="G28" s="237"/>
      <c r="H28" s="237"/>
      <c r="I28" s="220"/>
      <c r="J28" s="220"/>
      <c r="K28" s="237"/>
      <c r="L28" s="237"/>
      <c r="M28" s="278"/>
      <c r="N28" s="278"/>
      <c r="O28" s="278"/>
      <c r="P28" s="220"/>
      <c r="Q28" s="220"/>
      <c r="R28" s="220"/>
      <c r="S28" s="220"/>
      <c r="T28" s="220"/>
      <c r="U28" s="280"/>
      <c r="V28" s="220"/>
      <c r="W28" s="280"/>
      <c r="X28" s="220"/>
      <c r="Y28" s="280"/>
      <c r="Z28" s="220"/>
      <c r="AA28" s="280"/>
      <c r="AB28" s="220"/>
      <c r="AC28" s="280"/>
    </row>
    <row r="29" spans="1:29" ht="12.75" customHeight="1" x14ac:dyDescent="0.25">
      <c r="A29" s="229"/>
      <c r="B29" s="229"/>
      <c r="C29" s="277"/>
      <c r="D29" s="277"/>
      <c r="E29" s="237"/>
      <c r="F29" s="237"/>
      <c r="G29" s="237"/>
      <c r="H29" s="237"/>
      <c r="I29" s="220"/>
      <c r="J29" s="220"/>
      <c r="K29" s="237"/>
      <c r="L29" s="237"/>
      <c r="M29" s="278"/>
      <c r="N29" s="278"/>
      <c r="O29" s="278"/>
      <c r="P29" s="220"/>
      <c r="Q29" s="220"/>
      <c r="R29" s="220"/>
      <c r="S29" s="220"/>
      <c r="T29" s="220"/>
      <c r="U29" s="280"/>
      <c r="V29" s="220"/>
      <c r="W29" s="280"/>
      <c r="X29" s="220"/>
      <c r="Y29" s="280"/>
      <c r="Z29" s="220"/>
      <c r="AA29" s="280"/>
      <c r="AB29" s="220"/>
      <c r="AC29" s="280"/>
    </row>
    <row r="30" spans="1:29" ht="12.75" customHeight="1" x14ac:dyDescent="0.25">
      <c r="A30" s="229"/>
      <c r="B30" s="229"/>
      <c r="C30" s="281"/>
      <c r="D30" s="281"/>
      <c r="E30" s="282"/>
      <c r="F30" s="237"/>
      <c r="G30" s="282"/>
      <c r="H30" s="282"/>
      <c r="I30" s="282"/>
      <c r="J30" s="282"/>
      <c r="K30" s="282"/>
      <c r="L30" s="282"/>
      <c r="M30" s="281"/>
      <c r="N30" s="281"/>
      <c r="O30" s="281"/>
      <c r="P30" s="220"/>
      <c r="Q30" s="220"/>
      <c r="R30" s="220"/>
      <c r="S30" s="220"/>
      <c r="T30" s="220"/>
      <c r="U30" s="280"/>
      <c r="V30" s="220"/>
      <c r="W30" s="280"/>
      <c r="X30" s="220"/>
      <c r="Y30" s="280"/>
      <c r="Z30" s="220"/>
      <c r="AA30" s="280"/>
      <c r="AB30" s="220"/>
      <c r="AC30" s="280"/>
    </row>
    <row r="31" spans="1:29" ht="12.75" customHeight="1" x14ac:dyDescent="0.25">
      <c r="A31" s="229"/>
      <c r="B31" s="229"/>
      <c r="C31" s="277"/>
      <c r="D31" s="277"/>
      <c r="E31" s="237"/>
      <c r="F31" s="237"/>
      <c r="G31" s="237"/>
      <c r="H31" s="237"/>
      <c r="I31" s="220"/>
      <c r="J31" s="220"/>
      <c r="K31" s="237"/>
      <c r="L31" s="237"/>
      <c r="M31" s="278"/>
      <c r="N31" s="278"/>
      <c r="O31" s="278"/>
      <c r="P31" s="220"/>
      <c r="Q31" s="220"/>
      <c r="R31" s="220"/>
      <c r="S31" s="220"/>
      <c r="T31" s="220"/>
      <c r="U31" s="280"/>
      <c r="V31" s="220"/>
      <c r="W31" s="280"/>
      <c r="X31" s="220"/>
      <c r="Y31" s="280"/>
      <c r="Z31" s="220"/>
      <c r="AA31" s="280"/>
      <c r="AB31" s="220"/>
      <c r="AC31" s="280"/>
    </row>
    <row r="32" spans="1:29" ht="12.75" customHeight="1" x14ac:dyDescent="0.25">
      <c r="A32" s="229"/>
      <c r="B32" s="229"/>
      <c r="C32" s="277"/>
      <c r="D32" s="277"/>
      <c r="E32" s="237"/>
      <c r="F32" s="237"/>
      <c r="G32" s="237"/>
      <c r="H32" s="237"/>
      <c r="I32" s="220"/>
      <c r="J32" s="220"/>
      <c r="K32" s="237"/>
      <c r="L32" s="237"/>
      <c r="M32" s="278"/>
      <c r="N32" s="278"/>
      <c r="O32" s="278"/>
      <c r="P32" s="220"/>
      <c r="Q32" s="220"/>
      <c r="R32" s="220"/>
      <c r="S32" s="220"/>
      <c r="T32" s="220"/>
      <c r="U32" s="280"/>
      <c r="V32" s="220"/>
      <c r="W32" s="280"/>
      <c r="X32" s="220"/>
      <c r="Y32" s="280"/>
      <c r="Z32" s="220"/>
      <c r="AA32" s="280"/>
      <c r="AB32" s="220"/>
      <c r="AC32" s="280"/>
    </row>
    <row r="33" spans="1:29" ht="12.75" customHeight="1" x14ac:dyDescent="0.3">
      <c r="A33" s="229"/>
      <c r="B33" s="229"/>
      <c r="C33" s="283"/>
      <c r="D33" s="283"/>
      <c r="E33" s="237"/>
      <c r="F33" s="237"/>
      <c r="G33" s="237"/>
      <c r="H33" s="237"/>
      <c r="I33" s="220"/>
      <c r="J33" s="220"/>
      <c r="K33" s="237"/>
      <c r="L33" s="237"/>
      <c r="M33" s="278"/>
      <c r="N33" s="278"/>
      <c r="O33" s="278"/>
      <c r="P33" s="220"/>
      <c r="Q33" s="220"/>
      <c r="R33" s="220"/>
      <c r="S33" s="220"/>
      <c r="T33" s="220"/>
      <c r="U33" s="280"/>
      <c r="V33" s="220"/>
      <c r="W33" s="280"/>
      <c r="X33" s="220"/>
      <c r="Y33" s="280"/>
      <c r="Z33" s="220"/>
      <c r="AA33" s="280"/>
      <c r="AB33" s="220"/>
      <c r="AC33" s="280"/>
    </row>
    <row r="34" spans="1:29" ht="12.75" customHeight="1" x14ac:dyDescent="0.25">
      <c r="A34" s="229"/>
      <c r="B34" s="229"/>
      <c r="C34" s="277"/>
      <c r="D34" s="277"/>
      <c r="E34" s="237"/>
      <c r="F34" s="237"/>
      <c r="G34" s="237"/>
      <c r="H34" s="237"/>
      <c r="I34" s="220"/>
      <c r="J34" s="220"/>
      <c r="K34" s="237"/>
      <c r="L34" s="237"/>
      <c r="M34" s="278"/>
      <c r="N34" s="278"/>
      <c r="O34" s="278"/>
      <c r="P34" s="220"/>
      <c r="Q34" s="220"/>
      <c r="R34" s="220"/>
      <c r="S34" s="220"/>
      <c r="T34" s="220"/>
      <c r="U34" s="280"/>
      <c r="V34" s="220"/>
      <c r="W34" s="280"/>
      <c r="X34" s="220"/>
      <c r="Y34" s="280"/>
      <c r="Z34" s="220"/>
      <c r="AA34" s="280"/>
      <c r="AB34" s="220"/>
      <c r="AC34" s="280"/>
    </row>
    <row r="35" spans="1:29" ht="12.75" customHeight="1" x14ac:dyDescent="0.25">
      <c r="A35" s="229"/>
      <c r="B35" s="229"/>
      <c r="C35" s="281"/>
      <c r="D35" s="281"/>
      <c r="E35" s="282"/>
      <c r="F35" s="237"/>
      <c r="G35" s="282"/>
      <c r="H35" s="282"/>
      <c r="I35" s="282"/>
      <c r="J35" s="282"/>
      <c r="K35" s="282"/>
      <c r="L35" s="282"/>
      <c r="M35" s="281"/>
      <c r="N35" s="281"/>
      <c r="O35" s="281"/>
      <c r="P35" s="220"/>
      <c r="Q35" s="220"/>
      <c r="R35" s="220"/>
      <c r="S35" s="220"/>
      <c r="T35" s="220"/>
      <c r="U35" s="280"/>
      <c r="V35" s="220"/>
      <c r="W35" s="280"/>
      <c r="X35" s="220"/>
      <c r="Y35" s="280"/>
      <c r="Z35" s="220"/>
      <c r="AA35" s="280"/>
      <c r="AB35" s="220"/>
      <c r="AC35" s="280"/>
    </row>
    <row r="36" spans="1:29" ht="12.75" customHeight="1" x14ac:dyDescent="0.3">
      <c r="A36" s="229"/>
      <c r="B36" s="229"/>
      <c r="C36" s="283"/>
      <c r="D36" s="283"/>
      <c r="E36" s="237"/>
      <c r="F36" s="237"/>
      <c r="G36" s="237"/>
      <c r="H36" s="237"/>
      <c r="I36" s="237"/>
      <c r="J36" s="220"/>
      <c r="K36" s="237"/>
      <c r="L36" s="237"/>
      <c r="M36" s="278"/>
      <c r="N36" s="278"/>
      <c r="O36" s="278"/>
      <c r="P36" s="220"/>
      <c r="Q36" s="220"/>
      <c r="R36" s="220"/>
      <c r="S36" s="220"/>
      <c r="T36" s="220"/>
      <c r="U36" s="280"/>
      <c r="V36" s="220"/>
      <c r="W36" s="280"/>
      <c r="X36" s="220"/>
      <c r="Y36" s="280"/>
      <c r="Z36" s="220"/>
      <c r="AA36" s="280"/>
      <c r="AB36" s="220"/>
      <c r="AC36" s="280"/>
    </row>
    <row r="37" spans="1:29" ht="12.75" customHeight="1" x14ac:dyDescent="0.25">
      <c r="A37" s="229"/>
      <c r="B37" s="229"/>
      <c r="C37" s="277"/>
      <c r="D37" s="277"/>
      <c r="E37" s="237"/>
      <c r="F37" s="237"/>
      <c r="G37" s="237"/>
      <c r="H37" s="237"/>
      <c r="I37" s="237"/>
      <c r="J37" s="220"/>
      <c r="K37" s="237"/>
      <c r="L37" s="237"/>
      <c r="M37" s="278"/>
      <c r="N37" s="278"/>
      <c r="O37" s="278"/>
      <c r="P37" s="220"/>
      <c r="Q37" s="220"/>
      <c r="R37" s="220"/>
      <c r="S37" s="220"/>
      <c r="T37" s="220"/>
      <c r="U37" s="280"/>
      <c r="V37" s="220"/>
      <c r="W37" s="280"/>
      <c r="X37" s="220"/>
      <c r="Y37" s="280"/>
      <c r="Z37" s="220"/>
      <c r="AA37" s="280"/>
      <c r="AB37" s="220"/>
      <c r="AC37" s="280"/>
    </row>
    <row r="38" spans="1:29" ht="12.75" customHeight="1" x14ac:dyDescent="0.25">
      <c r="A38" s="229"/>
      <c r="B38" s="229"/>
      <c r="C38" s="277"/>
      <c r="D38" s="277"/>
      <c r="E38" s="237"/>
      <c r="F38" s="237"/>
      <c r="G38" s="237"/>
      <c r="H38" s="237"/>
      <c r="I38" s="220"/>
      <c r="J38" s="220"/>
      <c r="K38" s="237"/>
      <c r="L38" s="237"/>
      <c r="M38" s="278"/>
      <c r="N38" s="278"/>
      <c r="O38" s="278"/>
      <c r="P38" s="220"/>
      <c r="Q38" s="220"/>
      <c r="R38" s="220"/>
      <c r="S38" s="220"/>
      <c r="T38" s="220"/>
      <c r="U38" s="280"/>
      <c r="V38" s="220"/>
      <c r="W38" s="280"/>
      <c r="X38" s="220"/>
      <c r="Y38" s="280"/>
      <c r="Z38" s="220"/>
      <c r="AA38" s="280"/>
      <c r="AB38" s="220"/>
      <c r="AC38" s="280"/>
    </row>
    <row r="39" spans="1:29" ht="12.75" customHeight="1" x14ac:dyDescent="0.25">
      <c r="A39" s="229"/>
      <c r="B39" s="229"/>
      <c r="C39" s="277"/>
      <c r="D39" s="277"/>
      <c r="E39" s="237"/>
      <c r="F39" s="237"/>
      <c r="G39" s="237"/>
      <c r="H39" s="237"/>
      <c r="I39" s="237"/>
      <c r="J39" s="220"/>
      <c r="K39" s="237"/>
      <c r="L39" s="237"/>
      <c r="M39" s="278"/>
      <c r="N39" s="278"/>
      <c r="O39" s="278"/>
      <c r="P39" s="220"/>
      <c r="Q39" s="220"/>
      <c r="R39" s="220"/>
      <c r="S39" s="220"/>
      <c r="T39" s="220"/>
      <c r="U39" s="280"/>
      <c r="V39" s="220"/>
      <c r="W39" s="280"/>
      <c r="X39" s="220"/>
      <c r="Y39" s="280"/>
      <c r="Z39" s="220"/>
      <c r="AA39" s="280"/>
      <c r="AB39" s="220"/>
      <c r="AC39" s="280"/>
    </row>
    <row r="40" spans="1:29" ht="12.75" customHeight="1" x14ac:dyDescent="0.25">
      <c r="A40" s="229"/>
      <c r="B40" s="229"/>
      <c r="C40" s="277"/>
      <c r="D40" s="277"/>
      <c r="E40" s="237"/>
      <c r="F40" s="237"/>
      <c r="G40" s="237"/>
      <c r="H40" s="237"/>
      <c r="I40" s="220"/>
      <c r="J40" s="220"/>
      <c r="K40" s="237"/>
      <c r="L40" s="237"/>
      <c r="M40" s="278"/>
      <c r="N40" s="278"/>
      <c r="O40" s="278"/>
      <c r="P40" s="220"/>
      <c r="Q40" s="220"/>
      <c r="R40" s="220"/>
      <c r="S40" s="220"/>
      <c r="T40" s="220"/>
      <c r="U40" s="280"/>
      <c r="V40" s="220"/>
      <c r="W40" s="280"/>
      <c r="X40" s="220"/>
      <c r="Y40" s="280"/>
      <c r="Z40" s="220"/>
      <c r="AA40" s="280"/>
      <c r="AB40" s="220"/>
      <c r="AC40" s="280"/>
    </row>
    <row r="41" spans="1:29" ht="12.75" customHeight="1" x14ac:dyDescent="0.25">
      <c r="A41" s="229"/>
      <c r="B41" s="229"/>
      <c r="C41" s="277"/>
      <c r="D41" s="277"/>
      <c r="E41" s="237"/>
      <c r="F41" s="237"/>
      <c r="G41" s="237"/>
      <c r="H41" s="237"/>
      <c r="I41" s="237"/>
      <c r="J41" s="220"/>
      <c r="K41" s="237"/>
      <c r="L41" s="237"/>
      <c r="M41" s="278"/>
      <c r="N41" s="278"/>
      <c r="O41" s="278"/>
      <c r="P41" s="220"/>
      <c r="Q41" s="220"/>
      <c r="R41" s="220"/>
      <c r="S41" s="220"/>
      <c r="T41" s="220"/>
      <c r="U41" s="280"/>
      <c r="V41" s="220"/>
      <c r="W41" s="280"/>
      <c r="X41" s="220"/>
      <c r="Y41" s="280"/>
      <c r="Z41" s="220"/>
      <c r="AA41" s="280"/>
      <c r="AB41" s="220"/>
      <c r="AC41" s="280"/>
    </row>
    <row r="42" spans="1:29" ht="12.75" customHeight="1" x14ac:dyDescent="0.25">
      <c r="A42" s="229"/>
      <c r="B42" s="229"/>
      <c r="C42" s="277"/>
      <c r="D42" s="277"/>
      <c r="E42" s="237"/>
      <c r="F42" s="237"/>
      <c r="G42" s="237"/>
      <c r="H42" s="237"/>
      <c r="I42" s="220"/>
      <c r="J42" s="220"/>
      <c r="K42" s="237"/>
      <c r="L42" s="237"/>
      <c r="M42" s="278"/>
      <c r="N42" s="278"/>
      <c r="O42" s="278"/>
      <c r="P42" s="220"/>
      <c r="Q42" s="220"/>
      <c r="R42" s="220"/>
      <c r="S42" s="220"/>
      <c r="T42" s="220"/>
      <c r="U42" s="280"/>
      <c r="V42" s="220"/>
      <c r="W42" s="280"/>
      <c r="X42" s="220"/>
      <c r="Y42" s="280"/>
      <c r="Z42" s="220"/>
      <c r="AA42" s="280"/>
      <c r="AB42" s="220"/>
      <c r="AC42" s="280"/>
    </row>
    <row r="43" spans="1:29" ht="12.75" customHeight="1" x14ac:dyDescent="0.25">
      <c r="A43" s="229"/>
      <c r="B43" s="229"/>
      <c r="C43" s="277"/>
      <c r="D43" s="277"/>
      <c r="E43" s="237"/>
      <c r="F43" s="237"/>
      <c r="G43" s="237"/>
      <c r="H43" s="237"/>
      <c r="I43" s="220"/>
      <c r="J43" s="220"/>
      <c r="K43" s="237"/>
      <c r="L43" s="237"/>
      <c r="M43" s="278"/>
      <c r="N43" s="278"/>
      <c r="O43" s="278"/>
      <c r="P43" s="220"/>
      <c r="Q43" s="220"/>
      <c r="R43" s="220"/>
      <c r="S43" s="220"/>
      <c r="T43" s="220"/>
      <c r="U43" s="280"/>
      <c r="V43" s="220"/>
      <c r="W43" s="280"/>
      <c r="X43" s="220"/>
      <c r="Y43" s="280"/>
      <c r="Z43" s="220"/>
      <c r="AA43" s="280"/>
      <c r="AB43" s="220"/>
      <c r="AC43" s="280"/>
    </row>
    <row r="44" spans="1:29" ht="12.75" customHeight="1" x14ac:dyDescent="0.25">
      <c r="A44" s="229"/>
      <c r="B44" s="229"/>
      <c r="C44" s="277"/>
      <c r="D44" s="277"/>
      <c r="E44" s="237"/>
      <c r="F44" s="237"/>
      <c r="G44" s="237"/>
      <c r="H44" s="237"/>
      <c r="I44" s="220"/>
      <c r="J44" s="220"/>
      <c r="K44" s="237"/>
      <c r="L44" s="237"/>
      <c r="M44" s="278"/>
      <c r="N44" s="278"/>
      <c r="O44" s="278"/>
      <c r="P44" s="220"/>
      <c r="Q44" s="220"/>
      <c r="R44" s="220"/>
      <c r="S44" s="220"/>
      <c r="T44" s="220"/>
      <c r="U44" s="280"/>
      <c r="V44" s="220"/>
      <c r="W44" s="280"/>
      <c r="X44" s="220"/>
      <c r="Y44" s="280"/>
      <c r="Z44" s="220"/>
      <c r="AA44" s="280"/>
      <c r="AB44" s="220"/>
      <c r="AC44" s="280"/>
    </row>
    <row r="45" spans="1:29" ht="12.75" customHeight="1" x14ac:dyDescent="0.25">
      <c r="A45" s="229"/>
      <c r="B45" s="229"/>
      <c r="C45" s="277"/>
      <c r="D45" s="277"/>
      <c r="E45" s="237"/>
      <c r="F45" s="237"/>
      <c r="G45" s="237"/>
      <c r="H45" s="237"/>
      <c r="I45" s="220"/>
      <c r="J45" s="220"/>
      <c r="K45" s="237"/>
      <c r="L45" s="237"/>
      <c r="M45" s="278"/>
      <c r="N45" s="278"/>
      <c r="O45" s="278"/>
      <c r="P45" s="220"/>
      <c r="Q45" s="220"/>
      <c r="R45" s="220"/>
      <c r="S45" s="220"/>
      <c r="T45" s="220"/>
      <c r="U45" s="280"/>
      <c r="V45" s="220"/>
      <c r="W45" s="280"/>
      <c r="X45" s="220"/>
      <c r="Y45" s="280"/>
      <c r="Z45" s="220"/>
      <c r="AA45" s="280"/>
      <c r="AB45" s="220"/>
      <c r="AC45" s="280"/>
    </row>
    <row r="46" spans="1:29" ht="12.75" customHeight="1" x14ac:dyDescent="0.25">
      <c r="A46" s="229"/>
      <c r="B46" s="229"/>
      <c r="C46" s="277"/>
      <c r="D46" s="277"/>
      <c r="E46" s="237"/>
      <c r="F46" s="237"/>
      <c r="G46" s="237"/>
      <c r="H46" s="237"/>
      <c r="I46" s="220"/>
      <c r="J46" s="220"/>
      <c r="K46" s="237"/>
      <c r="L46" s="237"/>
      <c r="M46" s="278"/>
      <c r="N46" s="278"/>
      <c r="O46" s="278"/>
      <c r="P46" s="220"/>
      <c r="Q46" s="220"/>
      <c r="R46" s="220"/>
      <c r="S46" s="220"/>
      <c r="T46" s="220"/>
      <c r="U46" s="280"/>
      <c r="V46" s="220"/>
      <c r="W46" s="280"/>
      <c r="X46" s="220"/>
      <c r="Y46" s="280"/>
      <c r="Z46" s="220"/>
      <c r="AA46" s="280"/>
      <c r="AB46" s="220"/>
      <c r="AC46" s="280"/>
    </row>
    <row r="47" spans="1:29" ht="12.75" customHeight="1" x14ac:dyDescent="0.25">
      <c r="A47" s="229"/>
      <c r="B47" s="229"/>
      <c r="C47" s="277"/>
      <c r="D47" s="277"/>
      <c r="E47" s="237"/>
      <c r="F47" s="237"/>
      <c r="G47" s="237"/>
      <c r="H47" s="237"/>
      <c r="I47" s="220"/>
      <c r="J47" s="220"/>
      <c r="K47" s="237"/>
      <c r="L47" s="237"/>
      <c r="M47" s="278"/>
      <c r="N47" s="278"/>
      <c r="O47" s="278"/>
      <c r="P47" s="220"/>
      <c r="Q47" s="220"/>
      <c r="R47" s="220"/>
      <c r="S47" s="220"/>
      <c r="T47" s="220"/>
      <c r="U47" s="280"/>
      <c r="V47" s="220"/>
      <c r="W47" s="280"/>
      <c r="X47" s="220"/>
      <c r="Y47" s="280"/>
      <c r="Z47" s="220"/>
      <c r="AA47" s="280"/>
      <c r="AB47" s="220"/>
      <c r="AC47" s="280"/>
    </row>
    <row r="48" spans="1:29" ht="12.75" customHeight="1" x14ac:dyDescent="0.25">
      <c r="A48" s="229"/>
      <c r="B48" s="229"/>
      <c r="C48" s="277"/>
      <c r="D48" s="277"/>
      <c r="E48" s="237"/>
      <c r="F48" s="237"/>
      <c r="G48" s="237"/>
      <c r="H48" s="237"/>
      <c r="I48" s="220"/>
      <c r="J48" s="220"/>
      <c r="K48" s="237"/>
      <c r="L48" s="237"/>
      <c r="M48" s="278"/>
      <c r="N48" s="278"/>
      <c r="O48" s="278"/>
      <c r="P48" s="220"/>
      <c r="Q48" s="220"/>
      <c r="R48" s="220"/>
      <c r="S48" s="220"/>
      <c r="T48" s="220"/>
      <c r="U48" s="280"/>
      <c r="V48" s="220"/>
      <c r="W48" s="280"/>
      <c r="X48" s="220"/>
      <c r="Y48" s="280"/>
      <c r="Z48" s="220"/>
      <c r="AA48" s="280"/>
      <c r="AB48" s="220"/>
      <c r="AC48" s="280"/>
    </row>
    <row r="49" spans="1:29" ht="12.75" customHeight="1" x14ac:dyDescent="0.25">
      <c r="A49" s="229"/>
      <c r="B49" s="229"/>
      <c r="C49" s="277"/>
      <c r="D49" s="277"/>
      <c r="E49" s="237"/>
      <c r="F49" s="237"/>
      <c r="G49" s="237"/>
      <c r="H49" s="237"/>
      <c r="I49" s="237"/>
      <c r="J49" s="220"/>
      <c r="K49" s="237"/>
      <c r="L49" s="237"/>
      <c r="M49" s="278"/>
      <c r="N49" s="278"/>
      <c r="O49" s="278"/>
      <c r="P49" s="220"/>
      <c r="Q49" s="220"/>
      <c r="R49" s="220"/>
      <c r="S49" s="220"/>
      <c r="T49" s="220"/>
      <c r="U49" s="280"/>
      <c r="V49" s="220"/>
      <c r="W49" s="280"/>
      <c r="X49" s="220"/>
      <c r="Y49" s="280"/>
      <c r="Z49" s="220"/>
      <c r="AA49" s="280"/>
      <c r="AB49" s="220"/>
      <c r="AC49" s="280"/>
    </row>
    <row r="50" spans="1:29" ht="12.75" customHeight="1" x14ac:dyDescent="0.25">
      <c r="A50" s="229"/>
      <c r="B50" s="229"/>
      <c r="C50" s="277"/>
      <c r="D50" s="277"/>
      <c r="E50" s="237"/>
      <c r="F50" s="237"/>
      <c r="G50" s="237"/>
      <c r="H50" s="237"/>
      <c r="I50" s="220"/>
      <c r="J50" s="220"/>
      <c r="K50" s="237"/>
      <c r="L50" s="237"/>
      <c r="M50" s="278"/>
      <c r="N50" s="278"/>
      <c r="O50" s="278"/>
      <c r="P50" s="220"/>
      <c r="Q50" s="220"/>
      <c r="R50" s="220"/>
      <c r="S50" s="220"/>
      <c r="T50" s="220"/>
      <c r="U50" s="280"/>
      <c r="V50" s="220"/>
      <c r="W50" s="280"/>
      <c r="X50" s="220"/>
      <c r="Y50" s="280"/>
      <c r="Z50" s="220"/>
      <c r="AA50" s="280"/>
      <c r="AB50" s="220"/>
      <c r="AC50" s="280"/>
    </row>
    <row r="51" spans="1:29" ht="12.75" customHeight="1" x14ac:dyDescent="0.25">
      <c r="A51" s="229"/>
      <c r="B51" s="229"/>
      <c r="C51" s="277"/>
      <c r="D51" s="277"/>
      <c r="E51" s="237"/>
      <c r="F51" s="237"/>
      <c r="G51" s="237"/>
      <c r="H51" s="237"/>
      <c r="I51" s="220"/>
      <c r="J51" s="220"/>
      <c r="K51" s="237"/>
      <c r="L51" s="237"/>
      <c r="M51" s="278"/>
      <c r="N51" s="278"/>
      <c r="O51" s="278"/>
      <c r="P51" s="220"/>
      <c r="Q51" s="220"/>
      <c r="R51" s="220"/>
      <c r="S51" s="220"/>
      <c r="T51" s="220"/>
      <c r="U51" s="280"/>
      <c r="V51" s="220"/>
      <c r="W51" s="280"/>
      <c r="X51" s="220"/>
      <c r="Y51" s="280"/>
      <c r="Z51" s="220"/>
      <c r="AA51" s="280"/>
      <c r="AB51" s="220"/>
      <c r="AC51" s="280"/>
    </row>
    <row r="52" spans="1:29" ht="12.75" customHeight="1" x14ac:dyDescent="0.25">
      <c r="A52" s="229"/>
      <c r="B52" s="229"/>
      <c r="C52" s="277"/>
      <c r="D52" s="277"/>
      <c r="E52" s="237"/>
      <c r="F52" s="237"/>
      <c r="G52" s="237"/>
      <c r="H52" s="237"/>
      <c r="I52" s="220"/>
      <c r="J52" s="220"/>
      <c r="K52" s="237"/>
      <c r="L52" s="237"/>
      <c r="M52" s="278"/>
      <c r="N52" s="278"/>
      <c r="O52" s="278"/>
      <c r="P52" s="220"/>
      <c r="Q52" s="220"/>
      <c r="R52" s="220"/>
      <c r="S52" s="220"/>
      <c r="T52" s="220"/>
      <c r="U52" s="280"/>
      <c r="V52" s="220"/>
      <c r="W52" s="280"/>
      <c r="X52" s="220"/>
      <c r="Y52" s="280"/>
      <c r="Z52" s="220"/>
      <c r="AA52" s="280"/>
      <c r="AB52" s="220"/>
      <c r="AC52" s="280"/>
    </row>
    <row r="53" spans="1:29" ht="12.75" customHeight="1" x14ac:dyDescent="0.25">
      <c r="A53" s="229"/>
      <c r="B53" s="229"/>
      <c r="C53" s="281"/>
      <c r="D53" s="281"/>
      <c r="E53" s="282"/>
      <c r="F53" s="237"/>
      <c r="G53" s="282"/>
      <c r="H53" s="282"/>
      <c r="I53" s="282"/>
      <c r="J53" s="282"/>
      <c r="K53" s="282"/>
      <c r="L53" s="282"/>
      <c r="M53" s="281"/>
      <c r="N53" s="281"/>
      <c r="O53" s="281"/>
      <c r="P53" s="220"/>
      <c r="Q53" s="220"/>
      <c r="R53" s="220"/>
      <c r="S53" s="220"/>
      <c r="T53" s="220"/>
      <c r="U53" s="280"/>
      <c r="V53" s="220"/>
      <c r="W53" s="280"/>
      <c r="X53" s="220"/>
      <c r="Y53" s="280"/>
      <c r="Z53" s="220"/>
      <c r="AA53" s="280"/>
      <c r="AB53" s="220"/>
      <c r="AC53" s="280"/>
    </row>
    <row r="54" spans="1:29" ht="12.75" customHeight="1" x14ac:dyDescent="0.25">
      <c r="A54" s="229"/>
      <c r="B54" s="229"/>
      <c r="C54" s="277"/>
      <c r="D54" s="277"/>
      <c r="E54" s="237"/>
      <c r="F54" s="237"/>
      <c r="G54" s="237"/>
      <c r="H54" s="237"/>
      <c r="I54" s="220"/>
      <c r="J54" s="220"/>
      <c r="K54" s="237"/>
      <c r="L54" s="237"/>
      <c r="M54" s="278"/>
      <c r="N54" s="278"/>
      <c r="O54" s="278"/>
      <c r="P54" s="220"/>
      <c r="Q54" s="220"/>
      <c r="R54" s="220"/>
      <c r="S54" s="220"/>
      <c r="T54" s="220"/>
      <c r="U54" s="280"/>
      <c r="V54" s="220"/>
      <c r="W54" s="280"/>
      <c r="X54" s="220"/>
      <c r="Y54" s="280"/>
      <c r="Z54" s="220"/>
      <c r="AA54" s="280"/>
      <c r="AB54" s="220"/>
      <c r="AC54" s="280"/>
    </row>
    <row r="55" spans="1:29" ht="12.75" customHeight="1" x14ac:dyDescent="0.25">
      <c r="A55" s="229"/>
      <c r="B55" s="229"/>
      <c r="C55" s="277"/>
      <c r="D55" s="277"/>
      <c r="E55" s="237"/>
      <c r="F55" s="237"/>
      <c r="G55" s="237"/>
      <c r="H55" s="237"/>
      <c r="I55" s="220"/>
      <c r="J55" s="220"/>
      <c r="K55" s="237"/>
      <c r="L55" s="237"/>
      <c r="M55" s="278"/>
      <c r="N55" s="278"/>
      <c r="O55" s="278"/>
      <c r="P55" s="220"/>
      <c r="Q55" s="220"/>
      <c r="R55" s="220"/>
      <c r="S55" s="220"/>
      <c r="T55" s="220"/>
      <c r="U55" s="280"/>
      <c r="V55" s="220"/>
      <c r="W55" s="280"/>
      <c r="X55" s="220"/>
      <c r="Y55" s="280"/>
      <c r="Z55" s="220"/>
      <c r="AA55" s="280"/>
      <c r="AB55" s="220"/>
      <c r="AC55" s="280"/>
    </row>
    <row r="56" spans="1:29" ht="12.75" customHeight="1" x14ac:dyDescent="0.25">
      <c r="A56" s="229"/>
      <c r="B56" s="229"/>
      <c r="C56" s="277"/>
      <c r="D56" s="277"/>
      <c r="E56" s="237"/>
      <c r="F56" s="237"/>
      <c r="G56" s="237"/>
      <c r="H56" s="237"/>
      <c r="I56" s="220"/>
      <c r="J56" s="220"/>
      <c r="K56" s="237"/>
      <c r="L56" s="237"/>
      <c r="M56" s="278"/>
      <c r="N56" s="278"/>
      <c r="O56" s="278"/>
      <c r="P56" s="220"/>
      <c r="Q56" s="220"/>
      <c r="R56" s="220"/>
      <c r="S56" s="220"/>
      <c r="T56" s="220"/>
      <c r="U56" s="280"/>
      <c r="V56" s="220"/>
      <c r="W56" s="280"/>
      <c r="X56" s="220"/>
      <c r="Y56" s="280"/>
      <c r="Z56" s="220"/>
      <c r="AA56" s="280"/>
      <c r="AB56" s="220"/>
      <c r="AC56" s="280"/>
    </row>
    <row r="57" spans="1:29" ht="12.75" customHeight="1" x14ac:dyDescent="0.25">
      <c r="A57" s="229"/>
      <c r="B57" s="229"/>
      <c r="C57" s="277"/>
      <c r="D57" s="277"/>
      <c r="E57" s="237"/>
      <c r="F57" s="237"/>
      <c r="G57" s="237"/>
      <c r="H57" s="237"/>
      <c r="I57" s="237"/>
      <c r="J57" s="220"/>
      <c r="K57" s="237"/>
      <c r="L57" s="237"/>
      <c r="M57" s="278"/>
      <c r="N57" s="278"/>
      <c r="O57" s="278"/>
      <c r="P57" s="220"/>
      <c r="Q57" s="220"/>
      <c r="R57" s="220"/>
      <c r="S57" s="220"/>
      <c r="T57" s="220"/>
      <c r="U57" s="280"/>
      <c r="V57" s="220"/>
      <c r="W57" s="280"/>
      <c r="X57" s="220"/>
      <c r="Y57" s="280"/>
      <c r="Z57" s="220"/>
      <c r="AA57" s="280"/>
      <c r="AB57" s="220"/>
      <c r="AC57" s="280"/>
    </row>
    <row r="58" spans="1:29" ht="12.75" customHeight="1" x14ac:dyDescent="0.25">
      <c r="A58" s="229"/>
      <c r="B58" s="229"/>
      <c r="C58" s="277"/>
      <c r="D58" s="277"/>
      <c r="E58" s="237"/>
      <c r="F58" s="237"/>
      <c r="G58" s="237"/>
      <c r="H58" s="237"/>
      <c r="I58" s="237"/>
      <c r="J58" s="220"/>
      <c r="K58" s="237"/>
      <c r="L58" s="237"/>
      <c r="M58" s="278"/>
      <c r="N58" s="278"/>
      <c r="O58" s="278"/>
      <c r="P58" s="220"/>
      <c r="Q58" s="220"/>
      <c r="R58" s="220"/>
      <c r="S58" s="220"/>
      <c r="T58" s="220"/>
      <c r="U58" s="280"/>
      <c r="V58" s="220"/>
      <c r="W58" s="280"/>
      <c r="X58" s="220"/>
      <c r="Y58" s="280"/>
      <c r="Z58" s="220"/>
      <c r="AA58" s="280"/>
      <c r="AB58" s="220"/>
      <c r="AC58" s="280"/>
    </row>
    <row r="59" spans="1:29" ht="12.75" customHeight="1" x14ac:dyDescent="0.25">
      <c r="A59" s="229"/>
      <c r="B59" s="229"/>
      <c r="C59" s="277"/>
      <c r="D59" s="277"/>
      <c r="E59" s="237"/>
      <c r="F59" s="237"/>
      <c r="G59" s="237"/>
      <c r="H59" s="237"/>
      <c r="I59" s="220"/>
      <c r="J59" s="220"/>
      <c r="K59" s="237"/>
      <c r="L59" s="237"/>
      <c r="M59" s="278"/>
      <c r="N59" s="278"/>
      <c r="O59" s="278"/>
      <c r="P59" s="220"/>
      <c r="Q59" s="220"/>
      <c r="R59" s="220"/>
      <c r="S59" s="220"/>
      <c r="T59" s="220"/>
      <c r="U59" s="280"/>
      <c r="V59" s="220"/>
      <c r="W59" s="280"/>
      <c r="X59" s="220"/>
      <c r="Y59" s="280"/>
      <c r="Z59" s="220"/>
      <c r="AA59" s="280"/>
      <c r="AB59" s="220"/>
      <c r="AC59" s="280"/>
    </row>
    <row r="60" spans="1:29" ht="12.75" customHeight="1" x14ac:dyDescent="0.25">
      <c r="A60" s="229"/>
      <c r="B60" s="229"/>
      <c r="C60" s="277"/>
      <c r="D60" s="277"/>
      <c r="E60" s="237"/>
      <c r="F60" s="237"/>
      <c r="G60" s="237"/>
      <c r="H60" s="237"/>
      <c r="I60" s="220"/>
      <c r="J60" s="220"/>
      <c r="K60" s="237"/>
      <c r="L60" s="237"/>
      <c r="M60" s="278"/>
      <c r="N60" s="278"/>
      <c r="O60" s="278"/>
      <c r="P60" s="220"/>
      <c r="Q60" s="220"/>
      <c r="R60" s="220"/>
      <c r="S60" s="220"/>
      <c r="T60" s="220"/>
      <c r="U60" s="280"/>
      <c r="V60" s="220"/>
      <c r="W60" s="280"/>
      <c r="X60" s="220"/>
      <c r="Y60" s="280"/>
      <c r="Z60" s="220"/>
      <c r="AA60" s="280"/>
      <c r="AB60" s="220"/>
      <c r="AC60" s="280"/>
    </row>
    <row r="61" spans="1:29" ht="12.75" customHeight="1" x14ac:dyDescent="0.25">
      <c r="A61" s="229"/>
      <c r="B61" s="229"/>
      <c r="C61" s="281"/>
      <c r="D61" s="281"/>
      <c r="E61" s="282"/>
      <c r="F61" s="237"/>
      <c r="G61" s="282"/>
      <c r="H61" s="282"/>
      <c r="I61" s="282"/>
      <c r="J61" s="282"/>
      <c r="K61" s="282"/>
      <c r="L61" s="282"/>
      <c r="M61" s="281"/>
      <c r="N61" s="281"/>
      <c r="O61" s="281"/>
      <c r="P61" s="220"/>
      <c r="Q61" s="220"/>
      <c r="R61" s="220"/>
      <c r="S61" s="220"/>
      <c r="T61" s="220"/>
      <c r="U61" s="280"/>
      <c r="V61" s="220"/>
      <c r="W61" s="280"/>
      <c r="X61" s="220"/>
      <c r="Y61" s="280"/>
      <c r="Z61" s="220"/>
      <c r="AA61" s="280"/>
      <c r="AB61" s="220"/>
      <c r="AC61" s="280"/>
    </row>
    <row r="62" spans="1:29" ht="12.75" customHeight="1" x14ac:dyDescent="0.25">
      <c r="A62" s="229"/>
      <c r="B62" s="229"/>
      <c r="C62" s="277"/>
      <c r="D62" s="277"/>
      <c r="E62" s="237"/>
      <c r="F62" s="237"/>
      <c r="G62" s="237"/>
      <c r="H62" s="237"/>
      <c r="I62" s="220"/>
      <c r="J62" s="220"/>
      <c r="K62" s="237"/>
      <c r="L62" s="237"/>
      <c r="M62" s="278"/>
      <c r="N62" s="278"/>
      <c r="O62" s="278"/>
      <c r="P62" s="220"/>
      <c r="Q62" s="220"/>
      <c r="R62" s="220"/>
      <c r="S62" s="220"/>
      <c r="T62" s="220"/>
      <c r="U62" s="280"/>
      <c r="V62" s="220"/>
      <c r="W62" s="280"/>
      <c r="X62" s="220"/>
      <c r="Y62" s="280"/>
      <c r="Z62" s="220"/>
      <c r="AA62" s="280"/>
      <c r="AB62" s="220"/>
      <c r="AC62" s="280"/>
    </row>
    <row r="63" spans="1:29" ht="12.75" customHeight="1" x14ac:dyDescent="0.25">
      <c r="A63" s="229"/>
      <c r="B63" s="229"/>
      <c r="C63" s="277"/>
      <c r="D63" s="277"/>
      <c r="E63" s="237"/>
      <c r="F63" s="237"/>
      <c r="G63" s="237"/>
      <c r="H63" s="237"/>
      <c r="I63" s="220"/>
      <c r="J63" s="220"/>
      <c r="K63" s="237"/>
      <c r="L63" s="237"/>
      <c r="M63" s="278"/>
      <c r="N63" s="278"/>
      <c r="O63" s="278"/>
      <c r="P63" s="220"/>
      <c r="Q63" s="220"/>
      <c r="R63" s="220"/>
      <c r="S63" s="220"/>
      <c r="T63" s="220"/>
      <c r="U63" s="280"/>
      <c r="V63" s="220"/>
      <c r="W63" s="280"/>
      <c r="X63" s="220"/>
      <c r="Y63" s="280"/>
      <c r="Z63" s="220"/>
      <c r="AA63" s="280"/>
      <c r="AB63" s="220"/>
      <c r="AC63" s="280"/>
    </row>
    <row r="64" spans="1:29" ht="12.75" customHeight="1" x14ac:dyDescent="0.25">
      <c r="A64" s="229"/>
      <c r="B64" s="229"/>
      <c r="C64" s="277"/>
      <c r="D64" s="277"/>
      <c r="E64" s="237"/>
      <c r="F64" s="237"/>
      <c r="G64" s="237"/>
      <c r="H64" s="237"/>
      <c r="I64" s="237"/>
      <c r="J64" s="220"/>
      <c r="K64" s="237"/>
      <c r="L64" s="237"/>
      <c r="M64" s="278"/>
      <c r="N64" s="278"/>
      <c r="O64" s="278"/>
      <c r="P64" s="220"/>
      <c r="Q64" s="220"/>
      <c r="R64" s="220"/>
      <c r="S64" s="220"/>
      <c r="T64" s="220"/>
      <c r="U64" s="280"/>
      <c r="V64" s="220"/>
      <c r="W64" s="280"/>
      <c r="X64" s="220"/>
      <c r="Y64" s="280"/>
      <c r="Z64" s="220"/>
      <c r="AA64" s="280"/>
      <c r="AB64" s="220"/>
      <c r="AC64" s="280"/>
    </row>
    <row r="65" spans="1:29" ht="12.75" customHeight="1" x14ac:dyDescent="0.25">
      <c r="A65" s="229"/>
      <c r="B65" s="229"/>
      <c r="C65" s="281"/>
      <c r="D65" s="281"/>
      <c r="E65" s="282"/>
      <c r="F65" s="237"/>
      <c r="G65" s="282"/>
      <c r="H65" s="282"/>
      <c r="I65" s="282"/>
      <c r="J65" s="282"/>
      <c r="K65" s="282"/>
      <c r="L65" s="282"/>
      <c r="M65" s="281"/>
      <c r="N65" s="281"/>
      <c r="O65" s="281"/>
      <c r="P65" s="220"/>
      <c r="Q65" s="220"/>
      <c r="R65" s="220"/>
      <c r="S65" s="220"/>
      <c r="T65" s="220"/>
      <c r="U65" s="280"/>
      <c r="V65" s="220"/>
      <c r="W65" s="280"/>
      <c r="X65" s="220"/>
      <c r="Y65" s="280"/>
      <c r="Z65" s="220"/>
      <c r="AA65" s="280"/>
      <c r="AB65" s="220"/>
      <c r="AC65" s="280"/>
    </row>
    <row r="66" spans="1:29" ht="12.75" customHeight="1" x14ac:dyDescent="0.25">
      <c r="A66" s="229"/>
      <c r="B66" s="229"/>
      <c r="C66" s="281"/>
      <c r="D66" s="281"/>
      <c r="E66" s="282"/>
      <c r="F66" s="237"/>
      <c r="G66" s="282"/>
      <c r="H66" s="282"/>
      <c r="I66" s="282"/>
      <c r="J66" s="282"/>
      <c r="K66" s="282"/>
      <c r="L66" s="282"/>
      <c r="M66" s="281"/>
      <c r="N66" s="281"/>
      <c r="O66" s="281"/>
      <c r="P66" s="220"/>
      <c r="Q66" s="220"/>
      <c r="R66" s="220"/>
      <c r="S66" s="220"/>
      <c r="T66" s="220"/>
      <c r="U66" s="280"/>
      <c r="V66" s="220"/>
      <c r="W66" s="280"/>
      <c r="X66" s="220"/>
      <c r="Y66" s="280"/>
      <c r="Z66" s="220"/>
      <c r="AA66" s="280"/>
      <c r="AB66" s="220"/>
      <c r="AC66" s="280"/>
    </row>
    <row r="67" spans="1:29" ht="12.75" customHeight="1" x14ac:dyDescent="0.25">
      <c r="A67" s="229"/>
      <c r="B67" s="229"/>
      <c r="C67" s="277"/>
      <c r="D67" s="277"/>
      <c r="E67" s="237"/>
      <c r="F67" s="237"/>
      <c r="G67" s="237"/>
      <c r="H67" s="237"/>
      <c r="I67" s="220"/>
      <c r="J67" s="220"/>
      <c r="K67" s="237"/>
      <c r="L67" s="237"/>
      <c r="M67" s="278"/>
      <c r="N67" s="278"/>
      <c r="O67" s="278"/>
      <c r="P67" s="220"/>
      <c r="Q67" s="220"/>
      <c r="R67" s="220"/>
      <c r="S67" s="220"/>
      <c r="T67" s="220"/>
      <c r="U67" s="280"/>
      <c r="V67" s="220"/>
      <c r="W67" s="280"/>
      <c r="X67" s="220"/>
      <c r="Y67" s="280"/>
      <c r="Z67" s="220"/>
      <c r="AA67" s="280"/>
      <c r="AB67" s="220"/>
      <c r="AC67" s="280"/>
    </row>
    <row r="68" spans="1:29" ht="12.75" customHeight="1" x14ac:dyDescent="0.25">
      <c r="A68" s="229"/>
      <c r="B68" s="229"/>
      <c r="C68" s="277"/>
      <c r="D68" s="277"/>
      <c r="E68" s="237"/>
      <c r="F68" s="237"/>
      <c r="G68" s="237"/>
      <c r="H68" s="237"/>
      <c r="I68" s="237"/>
      <c r="J68" s="220"/>
      <c r="K68" s="237"/>
      <c r="L68" s="237"/>
      <c r="M68" s="278"/>
      <c r="N68" s="278"/>
      <c r="O68" s="278"/>
      <c r="P68" s="220"/>
      <c r="Q68" s="220"/>
      <c r="R68" s="220"/>
      <c r="S68" s="220"/>
      <c r="T68" s="220"/>
      <c r="U68" s="280"/>
      <c r="V68" s="220"/>
      <c r="W68" s="280"/>
      <c r="X68" s="220"/>
      <c r="Y68" s="280"/>
      <c r="Z68" s="220"/>
      <c r="AA68" s="280"/>
      <c r="AB68" s="220"/>
      <c r="AC68" s="280"/>
    </row>
    <row r="69" spans="1:29" ht="12.75" customHeight="1" x14ac:dyDescent="0.25">
      <c r="A69" s="229"/>
      <c r="B69" s="229"/>
      <c r="C69" s="277"/>
      <c r="D69" s="277"/>
      <c r="E69" s="237"/>
      <c r="F69" s="237"/>
      <c r="G69" s="237"/>
      <c r="H69" s="237"/>
      <c r="I69" s="220"/>
      <c r="J69" s="220"/>
      <c r="K69" s="237"/>
      <c r="L69" s="237"/>
      <c r="M69" s="278"/>
      <c r="N69" s="278"/>
      <c r="O69" s="278"/>
      <c r="P69" s="220"/>
      <c r="Q69" s="220"/>
      <c r="R69" s="220"/>
      <c r="S69" s="220"/>
      <c r="T69" s="220"/>
      <c r="U69" s="280"/>
      <c r="V69" s="220"/>
      <c r="W69" s="280"/>
      <c r="X69" s="220"/>
      <c r="Y69" s="280"/>
      <c r="Z69" s="220"/>
      <c r="AA69" s="280"/>
      <c r="AB69" s="220"/>
      <c r="AC69" s="280"/>
    </row>
    <row r="70" spans="1:29" ht="12.75" customHeight="1" x14ac:dyDescent="0.25">
      <c r="A70" s="229"/>
      <c r="B70" s="229"/>
      <c r="C70" s="277"/>
      <c r="D70" s="277"/>
      <c r="E70" s="237"/>
      <c r="F70" s="237"/>
      <c r="G70" s="237"/>
      <c r="H70" s="237"/>
      <c r="I70" s="220"/>
      <c r="J70" s="220"/>
      <c r="K70" s="237"/>
      <c r="L70" s="237"/>
      <c r="M70" s="278"/>
      <c r="N70" s="278"/>
      <c r="O70" s="278"/>
      <c r="P70" s="220"/>
      <c r="Q70" s="220"/>
      <c r="R70" s="220"/>
      <c r="S70" s="220"/>
      <c r="T70" s="220"/>
      <c r="U70" s="280"/>
      <c r="V70" s="220"/>
      <c r="W70" s="280"/>
      <c r="X70" s="220"/>
      <c r="Y70" s="280"/>
      <c r="Z70" s="220"/>
      <c r="AA70" s="280"/>
      <c r="AB70" s="220"/>
      <c r="AC70" s="280"/>
    </row>
    <row r="71" spans="1:29" ht="12.75" customHeight="1" x14ac:dyDescent="0.25">
      <c r="A71" s="229"/>
      <c r="B71" s="229"/>
      <c r="C71" s="277"/>
      <c r="D71" s="277"/>
      <c r="E71" s="237"/>
      <c r="F71" s="237"/>
      <c r="G71" s="237"/>
      <c r="H71" s="237"/>
      <c r="I71" s="220"/>
      <c r="J71" s="220"/>
      <c r="K71" s="237"/>
      <c r="L71" s="237"/>
      <c r="M71" s="278"/>
      <c r="N71" s="278"/>
      <c r="O71" s="278"/>
      <c r="P71" s="220"/>
      <c r="Q71" s="220"/>
      <c r="R71" s="220"/>
      <c r="S71" s="220"/>
      <c r="T71" s="220"/>
      <c r="U71" s="280"/>
      <c r="V71" s="220"/>
      <c r="W71" s="280"/>
      <c r="X71" s="220"/>
      <c r="Y71" s="280"/>
      <c r="Z71" s="220"/>
      <c r="AA71" s="280"/>
      <c r="AB71" s="220"/>
      <c r="AC71" s="280"/>
    </row>
    <row r="72" spans="1:29" ht="12.75" customHeight="1" x14ac:dyDescent="0.25">
      <c r="A72" s="229"/>
      <c r="B72" s="229"/>
      <c r="C72" s="277"/>
      <c r="D72" s="277"/>
      <c r="E72" s="237"/>
      <c r="F72" s="237"/>
      <c r="G72" s="237"/>
      <c r="H72" s="237"/>
      <c r="I72" s="220"/>
      <c r="J72" s="220"/>
      <c r="K72" s="237"/>
      <c r="L72" s="237"/>
      <c r="M72" s="278"/>
      <c r="N72" s="278"/>
      <c r="O72" s="278"/>
      <c r="P72" s="220"/>
      <c r="Q72" s="220"/>
      <c r="R72" s="220"/>
      <c r="S72" s="220"/>
      <c r="T72" s="220"/>
      <c r="U72" s="280"/>
      <c r="V72" s="220"/>
      <c r="W72" s="280"/>
      <c r="X72" s="220"/>
      <c r="Y72" s="280"/>
      <c r="Z72" s="220"/>
      <c r="AA72" s="280"/>
      <c r="AB72" s="220"/>
      <c r="AC72" s="280"/>
    </row>
    <row r="73" spans="1:29" ht="12.75" customHeight="1" x14ac:dyDescent="0.25">
      <c r="A73" s="229"/>
      <c r="B73" s="229"/>
      <c r="C73" s="277"/>
      <c r="D73" s="277"/>
      <c r="E73" s="237"/>
      <c r="F73" s="237"/>
      <c r="G73" s="237"/>
      <c r="H73" s="237"/>
      <c r="I73" s="220"/>
      <c r="J73" s="220"/>
      <c r="K73" s="237"/>
      <c r="L73" s="237"/>
      <c r="M73" s="278"/>
      <c r="N73" s="278"/>
      <c r="O73" s="278"/>
      <c r="P73" s="220"/>
      <c r="Q73" s="220"/>
      <c r="R73" s="220"/>
      <c r="S73" s="220"/>
      <c r="T73" s="220"/>
      <c r="U73" s="280"/>
      <c r="V73" s="220"/>
      <c r="W73" s="280"/>
      <c r="X73" s="220"/>
      <c r="Y73" s="280"/>
      <c r="Z73" s="220"/>
      <c r="AA73" s="280"/>
      <c r="AB73" s="220"/>
      <c r="AC73" s="280"/>
    </row>
    <row r="74" spans="1:29" ht="12.75" customHeight="1" x14ac:dyDescent="0.25">
      <c r="A74" s="229"/>
      <c r="B74" s="229"/>
      <c r="C74" s="277"/>
      <c r="D74" s="277"/>
      <c r="E74" s="237"/>
      <c r="F74" s="237"/>
      <c r="G74" s="237"/>
      <c r="H74" s="237"/>
      <c r="I74" s="237"/>
      <c r="J74" s="220"/>
      <c r="K74" s="237"/>
      <c r="L74" s="237"/>
      <c r="M74" s="278"/>
      <c r="N74" s="278"/>
      <c r="O74" s="278"/>
      <c r="P74" s="220"/>
      <c r="Q74" s="220"/>
      <c r="R74" s="220"/>
      <c r="S74" s="220"/>
      <c r="T74" s="220"/>
      <c r="U74" s="280"/>
      <c r="V74" s="220"/>
      <c r="W74" s="280"/>
      <c r="X74" s="220"/>
      <c r="Y74" s="280"/>
      <c r="Z74" s="220"/>
      <c r="AA74" s="280"/>
      <c r="AB74" s="220"/>
      <c r="AC74" s="280"/>
    </row>
    <row r="75" spans="1:29" ht="12.75" customHeight="1" x14ac:dyDescent="0.25">
      <c r="A75" s="229"/>
      <c r="B75" s="229"/>
      <c r="C75" s="277"/>
      <c r="D75" s="277"/>
      <c r="E75" s="237"/>
      <c r="F75" s="237"/>
      <c r="G75" s="237"/>
      <c r="H75" s="237"/>
      <c r="I75" s="220"/>
      <c r="J75" s="220"/>
      <c r="K75" s="237"/>
      <c r="L75" s="237"/>
      <c r="M75" s="278"/>
      <c r="N75" s="278"/>
      <c r="O75" s="278"/>
      <c r="P75" s="220"/>
      <c r="Q75" s="220"/>
      <c r="R75" s="220"/>
      <c r="S75" s="220"/>
      <c r="T75" s="220"/>
      <c r="U75" s="280"/>
      <c r="V75" s="220"/>
      <c r="W75" s="280"/>
      <c r="X75" s="220"/>
      <c r="Y75" s="280"/>
      <c r="Z75" s="220"/>
      <c r="AA75" s="280"/>
      <c r="AB75" s="220"/>
      <c r="AC75" s="280"/>
    </row>
    <row r="76" spans="1:29" ht="12.75" customHeight="1" x14ac:dyDescent="0.25">
      <c r="A76" s="229"/>
      <c r="B76" s="229"/>
      <c r="C76" s="277"/>
      <c r="D76" s="277"/>
      <c r="E76" s="237"/>
      <c r="F76" s="237"/>
      <c r="G76" s="237"/>
      <c r="H76" s="237"/>
      <c r="I76" s="220"/>
      <c r="J76" s="220"/>
      <c r="K76" s="237"/>
      <c r="L76" s="237"/>
      <c r="M76" s="278"/>
      <c r="N76" s="278"/>
      <c r="O76" s="278"/>
      <c r="P76" s="220"/>
      <c r="Q76" s="220"/>
      <c r="R76" s="220"/>
      <c r="S76" s="220"/>
      <c r="T76" s="220"/>
      <c r="U76" s="280"/>
      <c r="V76" s="220"/>
      <c r="W76" s="280"/>
      <c r="X76" s="220"/>
      <c r="Y76" s="280"/>
      <c r="Z76" s="220"/>
      <c r="AA76" s="280"/>
      <c r="AB76" s="220"/>
      <c r="AC76" s="280"/>
    </row>
    <row r="77" spans="1:29" ht="12.75" customHeight="1" x14ac:dyDescent="0.25">
      <c r="A77" s="229"/>
      <c r="B77" s="229"/>
      <c r="C77" s="281"/>
      <c r="D77" s="281"/>
      <c r="E77" s="282"/>
      <c r="F77" s="237"/>
      <c r="G77" s="282"/>
      <c r="H77" s="282"/>
      <c r="I77" s="282"/>
      <c r="J77" s="282"/>
      <c r="K77" s="282"/>
      <c r="L77" s="282"/>
      <c r="M77" s="281"/>
      <c r="N77" s="281"/>
      <c r="O77" s="281"/>
      <c r="P77" s="220"/>
      <c r="Q77" s="220"/>
      <c r="R77" s="220"/>
      <c r="S77" s="220"/>
      <c r="T77" s="220"/>
      <c r="U77" s="280"/>
      <c r="V77" s="220"/>
      <c r="W77" s="280"/>
      <c r="X77" s="220"/>
      <c r="Y77" s="280"/>
      <c r="Z77" s="220"/>
      <c r="AA77" s="280"/>
      <c r="AB77" s="220"/>
      <c r="AC77" s="280"/>
    </row>
    <row r="78" spans="1:29" ht="12.75" customHeight="1" x14ac:dyDescent="0.25">
      <c r="A78" s="229"/>
      <c r="B78" s="229"/>
      <c r="C78" s="277"/>
      <c r="D78" s="277"/>
      <c r="E78" s="237"/>
      <c r="F78" s="237"/>
      <c r="G78" s="237"/>
      <c r="H78" s="237"/>
      <c r="I78" s="220"/>
      <c r="J78" s="220"/>
      <c r="K78" s="237"/>
      <c r="L78" s="237"/>
      <c r="M78" s="278"/>
      <c r="N78" s="278"/>
      <c r="O78" s="278"/>
      <c r="P78" s="220"/>
      <c r="Q78" s="220"/>
      <c r="R78" s="220"/>
      <c r="S78" s="220"/>
      <c r="T78" s="220"/>
      <c r="U78" s="280"/>
      <c r="V78" s="220"/>
      <c r="W78" s="280"/>
      <c r="X78" s="220"/>
      <c r="Y78" s="280"/>
      <c r="Z78" s="220"/>
      <c r="AA78" s="280"/>
      <c r="AB78" s="220"/>
      <c r="AC78" s="280"/>
    </row>
    <row r="79" spans="1:29" ht="12.75" customHeight="1" x14ac:dyDescent="0.25">
      <c r="A79" s="229"/>
      <c r="B79" s="229"/>
      <c r="C79" s="277"/>
      <c r="D79" s="277"/>
      <c r="E79" s="237"/>
      <c r="F79" s="237"/>
      <c r="G79" s="237"/>
      <c r="H79" s="237"/>
      <c r="I79" s="220"/>
      <c r="J79" s="220"/>
      <c r="K79" s="237"/>
      <c r="L79" s="237"/>
      <c r="M79" s="278"/>
      <c r="N79" s="278"/>
      <c r="O79" s="278"/>
      <c r="P79" s="220"/>
      <c r="Q79" s="220"/>
      <c r="R79" s="220"/>
      <c r="S79" s="220"/>
      <c r="T79" s="220"/>
      <c r="U79" s="280"/>
      <c r="V79" s="220"/>
      <c r="W79" s="280"/>
      <c r="X79" s="220"/>
      <c r="Y79" s="280"/>
      <c r="Z79" s="220"/>
      <c r="AA79" s="280"/>
      <c r="AB79" s="220"/>
      <c r="AC79" s="280"/>
    </row>
    <row r="80" spans="1:29" ht="12.75" customHeight="1" x14ac:dyDescent="0.25">
      <c r="A80" s="229"/>
      <c r="B80" s="229"/>
      <c r="C80" s="277"/>
      <c r="D80" s="277"/>
      <c r="E80" s="237"/>
      <c r="F80" s="237"/>
      <c r="G80" s="237"/>
      <c r="H80" s="237"/>
      <c r="I80" s="237"/>
      <c r="J80" s="220"/>
      <c r="K80" s="237"/>
      <c r="L80" s="237"/>
      <c r="M80" s="278"/>
      <c r="N80" s="278"/>
      <c r="O80" s="278"/>
      <c r="P80" s="220"/>
      <c r="Q80" s="220"/>
      <c r="R80" s="220"/>
      <c r="S80" s="220"/>
      <c r="T80" s="220"/>
      <c r="U80" s="280"/>
      <c r="V80" s="220"/>
      <c r="W80" s="280"/>
      <c r="X80" s="220"/>
      <c r="Y80" s="280"/>
      <c r="Z80" s="220"/>
      <c r="AA80" s="280"/>
      <c r="AB80" s="220"/>
      <c r="AC80" s="280"/>
    </row>
    <row r="81" spans="1:29" ht="12.75" customHeight="1" x14ac:dyDescent="0.25">
      <c r="A81" s="229"/>
      <c r="B81" s="229"/>
      <c r="C81" s="277"/>
      <c r="D81" s="277"/>
      <c r="E81" s="237"/>
      <c r="F81" s="237"/>
      <c r="G81" s="237"/>
      <c r="H81" s="237"/>
      <c r="I81" s="220"/>
      <c r="J81" s="220"/>
      <c r="K81" s="237"/>
      <c r="L81" s="237"/>
      <c r="M81" s="278"/>
      <c r="N81" s="278"/>
      <c r="O81" s="278"/>
      <c r="P81" s="220"/>
      <c r="Q81" s="220"/>
      <c r="R81" s="220"/>
      <c r="S81" s="220"/>
      <c r="T81" s="220"/>
      <c r="U81" s="280"/>
      <c r="V81" s="220"/>
      <c r="W81" s="280"/>
      <c r="X81" s="220"/>
      <c r="Y81" s="280"/>
      <c r="Z81" s="220"/>
      <c r="AA81" s="280"/>
      <c r="AB81" s="220"/>
      <c r="AC81" s="280"/>
    </row>
    <row r="82" spans="1:29" ht="12.75" customHeight="1" x14ac:dyDescent="0.25">
      <c r="A82" s="229"/>
      <c r="B82" s="229"/>
      <c r="C82" s="277"/>
      <c r="D82" s="277"/>
      <c r="E82" s="237"/>
      <c r="F82" s="237"/>
      <c r="G82" s="237"/>
      <c r="H82" s="237"/>
      <c r="I82" s="220"/>
      <c r="J82" s="220"/>
      <c r="K82" s="237"/>
      <c r="L82" s="237"/>
      <c r="M82" s="278"/>
      <c r="N82" s="278"/>
      <c r="O82" s="278"/>
      <c r="P82" s="220"/>
      <c r="Q82" s="220"/>
      <c r="R82" s="220"/>
      <c r="S82" s="220"/>
      <c r="T82" s="220"/>
      <c r="U82" s="280"/>
      <c r="V82" s="220"/>
      <c r="W82" s="280"/>
      <c r="X82" s="220"/>
      <c r="Y82" s="280"/>
      <c r="Z82" s="220"/>
      <c r="AA82" s="280"/>
      <c r="AB82" s="220"/>
      <c r="AC82" s="280"/>
    </row>
    <row r="83" spans="1:29" ht="12.75" customHeight="1" x14ac:dyDescent="0.25">
      <c r="A83" s="229"/>
      <c r="B83" s="229"/>
      <c r="C83" s="277"/>
      <c r="D83" s="277"/>
      <c r="E83" s="237"/>
      <c r="F83" s="237"/>
      <c r="G83" s="237"/>
      <c r="H83" s="237"/>
      <c r="I83" s="237"/>
      <c r="J83" s="220"/>
      <c r="K83" s="237"/>
      <c r="L83" s="237"/>
      <c r="M83" s="278"/>
      <c r="N83" s="278"/>
      <c r="O83" s="278"/>
      <c r="P83" s="220"/>
      <c r="Q83" s="220"/>
      <c r="R83" s="220"/>
      <c r="S83" s="220"/>
      <c r="T83" s="220"/>
      <c r="U83" s="280"/>
      <c r="V83" s="220"/>
      <c r="W83" s="280"/>
      <c r="X83" s="220"/>
      <c r="Y83" s="280"/>
      <c r="Z83" s="220"/>
      <c r="AA83" s="280"/>
      <c r="AB83" s="220"/>
      <c r="AC83" s="280"/>
    </row>
    <row r="84" spans="1:29" ht="12.75" customHeight="1" x14ac:dyDescent="0.25">
      <c r="A84" s="229"/>
      <c r="B84" s="229"/>
      <c r="C84" s="277"/>
      <c r="D84" s="277"/>
      <c r="E84" s="237"/>
      <c r="F84" s="237"/>
      <c r="G84" s="237"/>
      <c r="H84" s="237"/>
      <c r="I84" s="220"/>
      <c r="J84" s="220"/>
      <c r="K84" s="237"/>
      <c r="L84" s="237"/>
      <c r="M84" s="278"/>
      <c r="N84" s="278"/>
      <c r="O84" s="278"/>
      <c r="P84" s="220"/>
      <c r="Q84" s="220"/>
      <c r="R84" s="220"/>
      <c r="S84" s="220"/>
      <c r="T84" s="220"/>
      <c r="U84" s="280"/>
      <c r="V84" s="220"/>
      <c r="W84" s="280"/>
      <c r="X84" s="220"/>
      <c r="Y84" s="280"/>
      <c r="Z84" s="220"/>
      <c r="AA84" s="280"/>
      <c r="AB84" s="220"/>
      <c r="AC84" s="280"/>
    </row>
    <row r="85" spans="1:29" ht="12.75" customHeight="1" x14ac:dyDescent="0.25">
      <c r="A85" s="229"/>
      <c r="B85" s="229"/>
      <c r="C85" s="277"/>
      <c r="D85" s="277"/>
      <c r="E85" s="237"/>
      <c r="F85" s="237"/>
      <c r="G85" s="237"/>
      <c r="H85" s="237"/>
      <c r="I85" s="237"/>
      <c r="J85" s="220"/>
      <c r="K85" s="237"/>
      <c r="L85" s="237"/>
      <c r="M85" s="278"/>
      <c r="N85" s="278"/>
      <c r="O85" s="278"/>
      <c r="P85" s="220"/>
      <c r="Q85" s="220"/>
      <c r="R85" s="220"/>
      <c r="S85" s="220"/>
      <c r="T85" s="220"/>
      <c r="U85" s="280"/>
      <c r="V85" s="220"/>
      <c r="W85" s="280"/>
      <c r="X85" s="220"/>
      <c r="Y85" s="280"/>
      <c r="Z85" s="220"/>
      <c r="AA85" s="280"/>
      <c r="AB85" s="220"/>
      <c r="AC85" s="280"/>
    </row>
    <row r="86" spans="1:29" ht="12.75" customHeight="1" x14ac:dyDescent="0.25">
      <c r="A86" s="229"/>
      <c r="B86" s="229"/>
      <c r="C86" s="277"/>
      <c r="D86" s="277"/>
      <c r="E86" s="237"/>
      <c r="F86" s="237"/>
      <c r="G86" s="237"/>
      <c r="H86" s="237"/>
      <c r="I86" s="237"/>
      <c r="J86" s="220"/>
      <c r="K86" s="237"/>
      <c r="L86" s="237"/>
      <c r="M86" s="278"/>
      <c r="N86" s="278"/>
      <c r="O86" s="278"/>
      <c r="P86" s="220"/>
      <c r="Q86" s="220"/>
      <c r="R86" s="220"/>
      <c r="S86" s="220"/>
      <c r="T86" s="220"/>
      <c r="U86" s="280"/>
      <c r="V86" s="220"/>
      <c r="W86" s="280"/>
      <c r="X86" s="220"/>
      <c r="Y86" s="280"/>
      <c r="Z86" s="220"/>
      <c r="AA86" s="280"/>
      <c r="AB86" s="220"/>
      <c r="AC86" s="280"/>
    </row>
    <row r="87" spans="1:29" ht="12.75" customHeight="1" x14ac:dyDescent="0.25">
      <c r="A87" s="229"/>
      <c r="B87" s="229"/>
      <c r="C87" s="277"/>
      <c r="D87" s="277"/>
      <c r="E87" s="237"/>
      <c r="F87" s="237"/>
      <c r="G87" s="237"/>
      <c r="H87" s="237"/>
      <c r="I87" s="220"/>
      <c r="J87" s="220"/>
      <c r="K87" s="237"/>
      <c r="L87" s="237"/>
      <c r="M87" s="278"/>
      <c r="N87" s="278"/>
      <c r="O87" s="278"/>
      <c r="P87" s="220"/>
      <c r="Q87" s="220"/>
      <c r="R87" s="220"/>
      <c r="S87" s="220"/>
      <c r="T87" s="220"/>
      <c r="U87" s="280"/>
      <c r="V87" s="220"/>
      <c r="W87" s="280"/>
      <c r="X87" s="220"/>
      <c r="Y87" s="280"/>
      <c r="Z87" s="220"/>
      <c r="AA87" s="280"/>
      <c r="AB87" s="220"/>
      <c r="AC87" s="280"/>
    </row>
    <row r="88" spans="1:29" ht="12.75" customHeight="1" x14ac:dyDescent="0.25">
      <c r="A88" s="229"/>
      <c r="B88" s="229"/>
      <c r="C88" s="277"/>
      <c r="D88" s="277"/>
      <c r="E88" s="237"/>
      <c r="F88" s="237"/>
      <c r="G88" s="237"/>
      <c r="H88" s="237"/>
      <c r="I88" s="220"/>
      <c r="J88" s="220"/>
      <c r="K88" s="237"/>
      <c r="L88" s="237"/>
      <c r="M88" s="278"/>
      <c r="N88" s="278"/>
      <c r="O88" s="278"/>
      <c r="P88" s="220"/>
      <c r="Q88" s="220"/>
      <c r="R88" s="220"/>
      <c r="S88" s="220"/>
      <c r="T88" s="220"/>
      <c r="U88" s="280"/>
      <c r="V88" s="220"/>
      <c r="W88" s="280"/>
      <c r="X88" s="220"/>
      <c r="Y88" s="280"/>
      <c r="Z88" s="220"/>
      <c r="AA88" s="280"/>
      <c r="AB88" s="220"/>
      <c r="AC88" s="280"/>
    </row>
    <row r="89" spans="1:29" ht="12.75" customHeight="1" x14ac:dyDescent="0.25">
      <c r="A89" s="229"/>
      <c r="B89" s="229"/>
      <c r="C89" s="277"/>
      <c r="D89" s="277"/>
      <c r="E89" s="237"/>
      <c r="F89" s="237"/>
      <c r="G89" s="237"/>
      <c r="H89" s="237"/>
      <c r="I89" s="237"/>
      <c r="J89" s="220"/>
      <c r="K89" s="237"/>
      <c r="L89" s="237"/>
      <c r="M89" s="278"/>
      <c r="N89" s="278"/>
      <c r="O89" s="278"/>
      <c r="P89" s="220"/>
      <c r="Q89" s="220"/>
      <c r="R89" s="220"/>
      <c r="S89" s="220"/>
      <c r="T89" s="220"/>
      <c r="U89" s="280"/>
      <c r="V89" s="220"/>
      <c r="W89" s="280"/>
      <c r="X89" s="220"/>
      <c r="Y89" s="280"/>
      <c r="Z89" s="220"/>
      <c r="AA89" s="280"/>
      <c r="AB89" s="220"/>
      <c r="AC89" s="280"/>
    </row>
    <row r="90" spans="1:29" ht="12.75" customHeight="1" x14ac:dyDescent="0.25">
      <c r="A90" s="229"/>
      <c r="B90" s="229"/>
      <c r="C90" s="277"/>
      <c r="D90" s="277"/>
      <c r="E90" s="220"/>
      <c r="F90" s="237"/>
      <c r="G90" s="220"/>
      <c r="H90" s="220"/>
      <c r="I90" s="220"/>
      <c r="J90" s="220"/>
      <c r="K90" s="220"/>
      <c r="L90" s="220"/>
      <c r="M90" s="277"/>
      <c r="N90" s="277"/>
      <c r="O90" s="277"/>
      <c r="P90" s="220"/>
      <c r="Q90" s="220"/>
      <c r="R90" s="220"/>
      <c r="S90" s="220"/>
      <c r="T90" s="220"/>
      <c r="U90" s="280"/>
      <c r="V90" s="220"/>
      <c r="W90" s="280"/>
      <c r="X90" s="220"/>
      <c r="Y90" s="280"/>
      <c r="Z90" s="220"/>
      <c r="AA90" s="280"/>
      <c r="AB90" s="220"/>
      <c r="AC90" s="280"/>
    </row>
    <row r="91" spans="1:29" ht="12.75" customHeight="1" x14ac:dyDescent="0.25">
      <c r="A91" s="229"/>
      <c r="B91" s="229"/>
      <c r="C91" s="277"/>
      <c r="D91" s="277"/>
      <c r="E91" s="237"/>
      <c r="F91" s="237"/>
      <c r="G91" s="237"/>
      <c r="H91" s="237"/>
      <c r="I91" s="220"/>
      <c r="J91" s="220"/>
      <c r="K91" s="237"/>
      <c r="L91" s="237"/>
      <c r="M91" s="278"/>
      <c r="N91" s="278"/>
      <c r="O91" s="278"/>
      <c r="P91" s="220"/>
      <c r="Q91" s="220"/>
      <c r="R91" s="220"/>
      <c r="S91" s="220"/>
      <c r="T91" s="220"/>
      <c r="U91" s="280"/>
      <c r="V91" s="220"/>
      <c r="W91" s="280"/>
      <c r="X91" s="220"/>
      <c r="Y91" s="280"/>
      <c r="Z91" s="220"/>
      <c r="AA91" s="280"/>
      <c r="AB91" s="220"/>
      <c r="AC91" s="280"/>
    </row>
    <row r="92" spans="1:29" ht="12.75" customHeight="1" x14ac:dyDescent="0.25">
      <c r="A92" s="229"/>
      <c r="B92" s="229"/>
      <c r="C92" s="277"/>
      <c r="D92" s="277"/>
      <c r="E92" s="237"/>
      <c r="F92" s="237"/>
      <c r="G92" s="237"/>
      <c r="H92" s="237"/>
      <c r="I92" s="220"/>
      <c r="J92" s="220"/>
      <c r="K92" s="237"/>
      <c r="L92" s="237"/>
      <c r="M92" s="278"/>
      <c r="N92" s="278"/>
      <c r="O92" s="278"/>
      <c r="P92" s="220"/>
      <c r="Q92" s="220"/>
      <c r="R92" s="220"/>
      <c r="S92" s="220"/>
      <c r="T92" s="220"/>
      <c r="U92" s="280"/>
      <c r="V92" s="220"/>
      <c r="W92" s="280"/>
      <c r="X92" s="220"/>
      <c r="Y92" s="280"/>
      <c r="Z92" s="220"/>
      <c r="AA92" s="280"/>
      <c r="AB92" s="220"/>
      <c r="AC92" s="280"/>
    </row>
    <row r="93" spans="1:29" ht="12.75" customHeight="1" x14ac:dyDescent="0.25">
      <c r="A93" s="229"/>
      <c r="B93" s="229"/>
      <c r="C93" s="277"/>
      <c r="D93" s="277"/>
      <c r="E93" s="237"/>
      <c r="F93" s="237"/>
      <c r="G93" s="237"/>
      <c r="H93" s="237"/>
      <c r="I93" s="220"/>
      <c r="J93" s="220"/>
      <c r="K93" s="237"/>
      <c r="L93" s="237"/>
      <c r="M93" s="278"/>
      <c r="N93" s="278"/>
      <c r="O93" s="278"/>
      <c r="P93" s="220"/>
      <c r="Q93" s="220"/>
      <c r="R93" s="220"/>
      <c r="S93" s="220"/>
      <c r="T93" s="220"/>
      <c r="U93" s="280"/>
      <c r="V93" s="220"/>
      <c r="W93" s="280"/>
      <c r="X93" s="220"/>
      <c r="Y93" s="280"/>
      <c r="Z93" s="220"/>
      <c r="AA93" s="280"/>
      <c r="AB93" s="220"/>
      <c r="AC93" s="280"/>
    </row>
    <row r="94" spans="1:29" ht="12.75" customHeight="1" x14ac:dyDescent="0.25">
      <c r="A94" s="229"/>
      <c r="B94" s="229"/>
      <c r="C94" s="277"/>
      <c r="D94" s="277"/>
      <c r="E94" s="237"/>
      <c r="F94" s="237"/>
      <c r="G94" s="237"/>
      <c r="H94" s="237"/>
      <c r="I94" s="220"/>
      <c r="J94" s="220"/>
      <c r="K94" s="237"/>
      <c r="L94" s="237"/>
      <c r="M94" s="278"/>
      <c r="N94" s="278"/>
      <c r="O94" s="278"/>
      <c r="P94" s="220"/>
      <c r="Q94" s="220"/>
      <c r="R94" s="220"/>
      <c r="S94" s="220"/>
      <c r="T94" s="220"/>
      <c r="U94" s="280"/>
      <c r="V94" s="220"/>
      <c r="W94" s="280"/>
      <c r="X94" s="220"/>
      <c r="Y94" s="280"/>
      <c r="Z94" s="220"/>
      <c r="AA94" s="280"/>
      <c r="AB94" s="220"/>
      <c r="AC94" s="280"/>
    </row>
    <row r="95" spans="1:29" ht="12.75" customHeight="1" x14ac:dyDescent="0.25">
      <c r="A95" s="229"/>
      <c r="B95" s="229"/>
      <c r="C95" s="277"/>
      <c r="D95" s="277"/>
      <c r="E95" s="237"/>
      <c r="F95" s="237"/>
      <c r="G95" s="237"/>
      <c r="H95" s="237"/>
      <c r="I95" s="220"/>
      <c r="J95" s="220"/>
      <c r="K95" s="237"/>
      <c r="L95" s="237"/>
      <c r="M95" s="278"/>
      <c r="N95" s="278"/>
      <c r="O95" s="278"/>
      <c r="P95" s="220"/>
      <c r="Q95" s="220"/>
      <c r="R95" s="220"/>
      <c r="S95" s="220"/>
      <c r="T95" s="220"/>
      <c r="U95" s="280"/>
      <c r="V95" s="220"/>
      <c r="W95" s="280"/>
      <c r="X95" s="220"/>
      <c r="Y95" s="280"/>
      <c r="Z95" s="220"/>
      <c r="AA95" s="280"/>
      <c r="AB95" s="220"/>
      <c r="AC95" s="280"/>
    </row>
    <row r="96" spans="1:29" ht="12.75" customHeight="1" x14ac:dyDescent="0.25">
      <c r="A96" s="229"/>
      <c r="B96" s="229"/>
      <c r="C96" s="281"/>
      <c r="D96" s="281"/>
      <c r="E96" s="282"/>
      <c r="F96" s="237"/>
      <c r="G96" s="282"/>
      <c r="H96" s="282"/>
      <c r="I96" s="282"/>
      <c r="J96" s="282"/>
      <c r="K96" s="282"/>
      <c r="L96" s="282"/>
      <c r="M96" s="281"/>
      <c r="N96" s="281"/>
      <c r="O96" s="281"/>
      <c r="P96" s="220"/>
      <c r="Q96" s="220"/>
      <c r="R96" s="220"/>
      <c r="S96" s="220"/>
      <c r="T96" s="220"/>
      <c r="U96" s="280"/>
      <c r="V96" s="220"/>
      <c r="W96" s="280"/>
      <c r="X96" s="220"/>
      <c r="Y96" s="280"/>
      <c r="Z96" s="220"/>
      <c r="AA96" s="280"/>
      <c r="AB96" s="220"/>
      <c r="AC96" s="280"/>
    </row>
    <row r="97" spans="1:29" ht="12.75" customHeight="1" x14ac:dyDescent="0.25">
      <c r="A97" s="229"/>
      <c r="B97" s="229"/>
      <c r="C97" s="277"/>
      <c r="D97" s="277"/>
      <c r="E97" s="237"/>
      <c r="F97" s="237"/>
      <c r="G97" s="237"/>
      <c r="H97" s="237"/>
      <c r="I97" s="220"/>
      <c r="J97" s="220"/>
      <c r="K97" s="237"/>
      <c r="L97" s="237"/>
      <c r="M97" s="278"/>
      <c r="N97" s="278"/>
      <c r="O97" s="278"/>
      <c r="P97" s="220"/>
      <c r="Q97" s="220"/>
      <c r="R97" s="220"/>
      <c r="S97" s="220"/>
      <c r="T97" s="220"/>
      <c r="U97" s="280"/>
      <c r="V97" s="220"/>
      <c r="W97" s="280"/>
      <c r="X97" s="220"/>
      <c r="Y97" s="280"/>
      <c r="Z97" s="220"/>
      <c r="AA97" s="280"/>
      <c r="AB97" s="220"/>
      <c r="AC97" s="280"/>
    </row>
    <row r="98" spans="1:29" ht="12.75" customHeight="1" x14ac:dyDescent="0.25">
      <c r="A98" s="229"/>
      <c r="B98" s="229"/>
      <c r="C98" s="277"/>
      <c r="D98" s="277"/>
      <c r="E98" s="237"/>
      <c r="F98" s="237"/>
      <c r="G98" s="237"/>
      <c r="H98" s="237"/>
      <c r="I98" s="220"/>
      <c r="J98" s="220"/>
      <c r="K98" s="237"/>
      <c r="L98" s="237"/>
      <c r="M98" s="278"/>
      <c r="N98" s="278"/>
      <c r="O98" s="278"/>
      <c r="P98" s="220"/>
      <c r="Q98" s="220"/>
      <c r="R98" s="220"/>
      <c r="S98" s="220"/>
      <c r="T98" s="220"/>
      <c r="U98" s="280"/>
      <c r="V98" s="220"/>
      <c r="W98" s="280"/>
      <c r="X98" s="220"/>
      <c r="Y98" s="280"/>
      <c r="Z98" s="220"/>
      <c r="AA98" s="280"/>
      <c r="AB98" s="220"/>
      <c r="AC98" s="280"/>
    </row>
    <row r="99" spans="1:29" ht="12.75" customHeight="1" x14ac:dyDescent="0.25">
      <c r="A99" s="229"/>
      <c r="B99" s="229"/>
      <c r="C99" s="277"/>
      <c r="D99" s="277"/>
      <c r="E99" s="237"/>
      <c r="F99" s="237"/>
      <c r="G99" s="237"/>
      <c r="H99" s="237"/>
      <c r="I99" s="237"/>
      <c r="J99" s="220"/>
      <c r="K99" s="237"/>
      <c r="L99" s="237"/>
      <c r="M99" s="278"/>
      <c r="N99" s="278"/>
      <c r="O99" s="278"/>
      <c r="P99" s="220"/>
      <c r="Q99" s="220"/>
      <c r="R99" s="220"/>
      <c r="S99" s="220"/>
      <c r="T99" s="220"/>
      <c r="U99" s="280"/>
      <c r="V99" s="220"/>
      <c r="W99" s="280"/>
      <c r="X99" s="220"/>
      <c r="Y99" s="280"/>
      <c r="Z99" s="220"/>
      <c r="AA99" s="280"/>
      <c r="AB99" s="220"/>
      <c r="AC99" s="280"/>
    </row>
    <row r="100" spans="1:29" ht="12.75" customHeight="1" x14ac:dyDescent="0.25">
      <c r="A100" s="229"/>
      <c r="B100" s="229"/>
      <c r="C100" s="277"/>
      <c r="D100" s="277"/>
      <c r="E100" s="237"/>
      <c r="F100" s="237"/>
      <c r="G100" s="237"/>
      <c r="H100" s="237"/>
      <c r="I100" s="237"/>
      <c r="J100" s="220"/>
      <c r="K100" s="237"/>
      <c r="L100" s="237"/>
      <c r="M100" s="278"/>
      <c r="N100" s="278"/>
      <c r="O100" s="278"/>
      <c r="P100" s="220"/>
      <c r="Q100" s="220"/>
      <c r="R100" s="220"/>
      <c r="S100" s="220"/>
      <c r="T100" s="220"/>
      <c r="U100" s="280"/>
      <c r="V100" s="220"/>
      <c r="W100" s="280"/>
      <c r="X100" s="220"/>
      <c r="Y100" s="280"/>
      <c r="Z100" s="220"/>
      <c r="AA100" s="280"/>
      <c r="AB100" s="220"/>
      <c r="AC100" s="280"/>
    </row>
    <row r="101" spans="1:29" ht="12.75" customHeight="1" x14ac:dyDescent="0.25">
      <c r="A101" s="229"/>
      <c r="B101" s="229"/>
      <c r="C101" s="277"/>
      <c r="D101" s="277"/>
      <c r="E101" s="237"/>
      <c r="F101" s="237"/>
      <c r="G101" s="237"/>
      <c r="H101" s="237"/>
      <c r="I101" s="220"/>
      <c r="J101" s="220"/>
      <c r="K101" s="237"/>
      <c r="L101" s="237"/>
      <c r="M101" s="278"/>
      <c r="N101" s="278"/>
      <c r="O101" s="278"/>
      <c r="P101" s="220"/>
      <c r="Q101" s="220"/>
      <c r="R101" s="220"/>
      <c r="S101" s="220"/>
      <c r="T101" s="220"/>
      <c r="U101" s="280"/>
      <c r="V101" s="220"/>
      <c r="W101" s="280"/>
      <c r="X101" s="220"/>
      <c r="Y101" s="280"/>
      <c r="Z101" s="220"/>
      <c r="AA101" s="280"/>
      <c r="AB101" s="220"/>
      <c r="AC101" s="280"/>
    </row>
    <row r="102" spans="1:29" ht="12.75" customHeight="1" x14ac:dyDescent="0.25">
      <c r="A102" s="229"/>
      <c r="B102" s="229"/>
      <c r="C102" s="281"/>
      <c r="D102" s="281"/>
      <c r="E102" s="282"/>
      <c r="F102" s="237"/>
      <c r="G102" s="282"/>
      <c r="H102" s="282"/>
      <c r="I102" s="220"/>
      <c r="J102" s="282"/>
      <c r="K102" s="282"/>
      <c r="L102" s="282"/>
      <c r="M102" s="281"/>
      <c r="N102" s="281"/>
      <c r="O102" s="281"/>
      <c r="P102" s="220"/>
      <c r="Q102" s="220"/>
      <c r="R102" s="220"/>
      <c r="S102" s="220"/>
      <c r="T102" s="220"/>
      <c r="U102" s="280"/>
      <c r="V102" s="220"/>
      <c r="W102" s="280"/>
      <c r="X102" s="220"/>
      <c r="Y102" s="280"/>
      <c r="Z102" s="220"/>
      <c r="AA102" s="280"/>
      <c r="AB102" s="220"/>
      <c r="AC102" s="280"/>
    </row>
    <row r="103" spans="1:29" ht="12.75" customHeight="1" x14ac:dyDescent="0.25">
      <c r="A103" s="229"/>
      <c r="B103" s="229"/>
      <c r="C103" s="277"/>
      <c r="D103" s="277"/>
      <c r="E103" s="237"/>
      <c r="F103" s="237"/>
      <c r="G103" s="237"/>
      <c r="H103" s="237"/>
      <c r="I103" s="220"/>
      <c r="J103" s="220"/>
      <c r="K103" s="237"/>
      <c r="L103" s="237"/>
      <c r="M103" s="278"/>
      <c r="N103" s="278"/>
      <c r="O103" s="278"/>
      <c r="P103" s="220"/>
      <c r="Q103" s="220"/>
      <c r="R103" s="220"/>
      <c r="S103" s="220"/>
      <c r="T103" s="220"/>
      <c r="U103" s="280"/>
      <c r="V103" s="220"/>
      <c r="W103" s="280"/>
      <c r="X103" s="220"/>
      <c r="Y103" s="280"/>
      <c r="Z103" s="220"/>
      <c r="AA103" s="280"/>
      <c r="AB103" s="220"/>
      <c r="AC103" s="280"/>
    </row>
    <row r="104" spans="1:29" ht="12.75" customHeight="1" x14ac:dyDescent="0.25">
      <c r="A104" s="229"/>
      <c r="B104" s="229"/>
      <c r="C104" s="277"/>
      <c r="D104" s="277"/>
      <c r="E104" s="237"/>
      <c r="F104" s="237"/>
      <c r="G104" s="237"/>
      <c r="H104" s="237"/>
      <c r="I104" s="237"/>
      <c r="J104" s="220"/>
      <c r="K104" s="237"/>
      <c r="L104" s="237"/>
      <c r="M104" s="278"/>
      <c r="N104" s="278"/>
      <c r="O104" s="278"/>
      <c r="P104" s="220"/>
      <c r="Q104" s="220"/>
      <c r="R104" s="220"/>
      <c r="S104" s="220"/>
      <c r="T104" s="220"/>
      <c r="U104" s="280"/>
      <c r="V104" s="220"/>
      <c r="W104" s="280"/>
      <c r="X104" s="220"/>
      <c r="Y104" s="280"/>
      <c r="Z104" s="220"/>
      <c r="AA104" s="280"/>
      <c r="AB104" s="220"/>
      <c r="AC104" s="280"/>
    </row>
    <row r="105" spans="1:29" ht="12.75" customHeight="1" x14ac:dyDescent="0.25">
      <c r="A105" s="229"/>
      <c r="B105" s="229"/>
      <c r="C105" s="277"/>
      <c r="D105" s="277"/>
      <c r="E105" s="237"/>
      <c r="F105" s="237"/>
      <c r="G105" s="237"/>
      <c r="H105" s="237"/>
      <c r="I105" s="220"/>
      <c r="J105" s="220"/>
      <c r="K105" s="237"/>
      <c r="L105" s="237"/>
      <c r="M105" s="278"/>
      <c r="N105" s="278"/>
      <c r="O105" s="278"/>
      <c r="P105" s="220"/>
      <c r="Q105" s="220"/>
      <c r="R105" s="220"/>
      <c r="S105" s="220"/>
      <c r="T105" s="220"/>
      <c r="U105" s="280"/>
      <c r="V105" s="220"/>
      <c r="W105" s="280"/>
      <c r="X105" s="220"/>
      <c r="Y105" s="280"/>
      <c r="Z105" s="220"/>
      <c r="AA105" s="280"/>
      <c r="AB105" s="220"/>
      <c r="AC105" s="280"/>
    </row>
    <row r="106" spans="1:29" ht="12.75" customHeight="1" x14ac:dyDescent="0.25">
      <c r="A106" s="229"/>
      <c r="B106" s="229"/>
      <c r="C106" s="277"/>
      <c r="D106" s="277"/>
      <c r="E106" s="237"/>
      <c r="F106" s="237"/>
      <c r="G106" s="237"/>
      <c r="H106" s="237"/>
      <c r="I106" s="220"/>
      <c r="J106" s="220"/>
      <c r="K106" s="237"/>
      <c r="L106" s="237"/>
      <c r="M106" s="278"/>
      <c r="N106" s="278"/>
      <c r="O106" s="278"/>
      <c r="P106" s="220"/>
      <c r="Q106" s="220"/>
      <c r="R106" s="220"/>
      <c r="S106" s="220"/>
      <c r="T106" s="220"/>
      <c r="U106" s="280"/>
      <c r="V106" s="220"/>
      <c r="W106" s="280"/>
      <c r="X106" s="220"/>
      <c r="Y106" s="280"/>
      <c r="Z106" s="220"/>
      <c r="AA106" s="280"/>
      <c r="AB106" s="220"/>
      <c r="AC106" s="280"/>
    </row>
    <row r="107" spans="1:29" ht="12.75" customHeight="1" x14ac:dyDescent="0.25">
      <c r="A107" s="229"/>
      <c r="B107" s="229"/>
      <c r="C107" s="277"/>
      <c r="D107" s="277"/>
      <c r="E107" s="237"/>
      <c r="F107" s="237"/>
      <c r="G107" s="237"/>
      <c r="H107" s="237"/>
      <c r="I107" s="220"/>
      <c r="J107" s="220"/>
      <c r="K107" s="237"/>
      <c r="L107" s="237"/>
      <c r="M107" s="278"/>
      <c r="N107" s="278"/>
      <c r="O107" s="278"/>
      <c r="P107" s="220"/>
      <c r="Q107" s="220"/>
      <c r="R107" s="220"/>
      <c r="S107" s="220"/>
      <c r="T107" s="220"/>
      <c r="U107" s="280"/>
      <c r="V107" s="220"/>
      <c r="W107" s="280"/>
      <c r="X107" s="220"/>
      <c r="Y107" s="280"/>
      <c r="Z107" s="220"/>
      <c r="AA107" s="280"/>
      <c r="AB107" s="220"/>
      <c r="AC107" s="280"/>
    </row>
    <row r="108" spans="1:29" ht="12.75" customHeight="1" x14ac:dyDescent="0.25">
      <c r="A108" s="229"/>
      <c r="B108" s="229"/>
      <c r="C108" s="281"/>
      <c r="D108" s="281"/>
      <c r="E108" s="282"/>
      <c r="F108" s="237"/>
      <c r="G108" s="282"/>
      <c r="H108" s="282"/>
      <c r="I108" s="282"/>
      <c r="J108" s="282"/>
      <c r="K108" s="282"/>
      <c r="L108" s="282"/>
      <c r="M108" s="281"/>
      <c r="N108" s="281"/>
      <c r="O108" s="281"/>
      <c r="P108" s="220"/>
      <c r="Q108" s="220"/>
      <c r="R108" s="220"/>
      <c r="S108" s="220"/>
      <c r="T108" s="220"/>
      <c r="U108" s="280"/>
      <c r="V108" s="220"/>
      <c r="W108" s="280"/>
      <c r="X108" s="220"/>
      <c r="Y108" s="280"/>
      <c r="Z108" s="220"/>
      <c r="AA108" s="280"/>
      <c r="AB108" s="220"/>
      <c r="AC108" s="280"/>
    </row>
    <row r="109" spans="1:29" ht="12.75" customHeight="1" x14ac:dyDescent="0.25">
      <c r="A109" s="229"/>
      <c r="B109" s="229"/>
      <c r="C109" s="277"/>
      <c r="D109" s="277"/>
      <c r="E109" s="237"/>
      <c r="F109" s="237"/>
      <c r="G109" s="237"/>
      <c r="H109" s="237"/>
      <c r="I109" s="237"/>
      <c r="J109" s="220"/>
      <c r="K109" s="237"/>
      <c r="L109" s="237"/>
      <c r="M109" s="278"/>
      <c r="N109" s="278"/>
      <c r="O109" s="278"/>
      <c r="P109" s="220"/>
      <c r="Q109" s="220"/>
      <c r="R109" s="220"/>
      <c r="S109" s="220"/>
      <c r="T109" s="220"/>
      <c r="U109" s="280"/>
      <c r="V109" s="220"/>
      <c r="W109" s="280"/>
      <c r="X109" s="220"/>
      <c r="Y109" s="280"/>
      <c r="Z109" s="220"/>
      <c r="AA109" s="280"/>
      <c r="AB109" s="220"/>
      <c r="AC109" s="280"/>
    </row>
    <row r="110" spans="1:29" ht="12.75" customHeight="1" x14ac:dyDescent="0.25">
      <c r="A110" s="229"/>
      <c r="B110" s="229"/>
      <c r="C110" s="277"/>
      <c r="D110" s="277"/>
      <c r="E110" s="237"/>
      <c r="F110" s="237"/>
      <c r="G110" s="237"/>
      <c r="H110" s="237"/>
      <c r="I110" s="220"/>
      <c r="J110" s="220"/>
      <c r="K110" s="237"/>
      <c r="L110" s="237"/>
      <c r="M110" s="278"/>
      <c r="N110" s="278"/>
      <c r="O110" s="278"/>
      <c r="P110" s="220"/>
      <c r="Q110" s="220"/>
      <c r="R110" s="220"/>
      <c r="S110" s="220"/>
      <c r="T110" s="220"/>
      <c r="U110" s="280"/>
      <c r="V110" s="220"/>
      <c r="W110" s="280"/>
      <c r="X110" s="220"/>
      <c r="Y110" s="280"/>
      <c r="Z110" s="220"/>
      <c r="AA110" s="280"/>
      <c r="AB110" s="220"/>
      <c r="AC110" s="280"/>
    </row>
    <row r="111" spans="1:29" ht="12.75" customHeight="1" x14ac:dyDescent="0.25">
      <c r="A111" s="229"/>
      <c r="B111" s="229"/>
      <c r="C111" s="277"/>
      <c r="D111" s="277"/>
      <c r="E111" s="237"/>
      <c r="F111" s="237"/>
      <c r="G111" s="237"/>
      <c r="H111" s="237"/>
      <c r="I111" s="220"/>
      <c r="J111" s="220"/>
      <c r="K111" s="237"/>
      <c r="L111" s="237"/>
      <c r="M111" s="278"/>
      <c r="N111" s="278"/>
      <c r="O111" s="278"/>
      <c r="P111" s="220"/>
      <c r="Q111" s="220"/>
      <c r="R111" s="220"/>
      <c r="S111" s="220"/>
      <c r="T111" s="220"/>
      <c r="U111" s="280"/>
      <c r="V111" s="220"/>
      <c r="W111" s="280"/>
      <c r="X111" s="220"/>
      <c r="Y111" s="280"/>
      <c r="Z111" s="220"/>
      <c r="AA111" s="280"/>
      <c r="AB111" s="220"/>
      <c r="AC111" s="280"/>
    </row>
    <row r="112" spans="1:29" ht="12.75" customHeight="1" x14ac:dyDescent="0.25">
      <c r="A112" s="229"/>
      <c r="B112" s="229"/>
      <c r="C112" s="277"/>
      <c r="D112" s="277"/>
      <c r="E112" s="237"/>
      <c r="F112" s="237"/>
      <c r="G112" s="237"/>
      <c r="H112" s="237"/>
      <c r="I112" s="220"/>
      <c r="J112" s="220"/>
      <c r="K112" s="237"/>
      <c r="L112" s="237"/>
      <c r="M112" s="278"/>
      <c r="N112" s="278"/>
      <c r="O112" s="278"/>
      <c r="P112" s="220"/>
      <c r="Q112" s="220"/>
      <c r="R112" s="220"/>
      <c r="S112" s="220"/>
      <c r="T112" s="220"/>
      <c r="U112" s="280"/>
      <c r="V112" s="220"/>
      <c r="W112" s="280"/>
      <c r="X112" s="220"/>
      <c r="Y112" s="280"/>
      <c r="Z112" s="220"/>
      <c r="AA112" s="280"/>
      <c r="AB112" s="220"/>
      <c r="AC112" s="280"/>
    </row>
    <row r="113" spans="1:29" ht="12.75" customHeight="1" x14ac:dyDescent="0.25">
      <c r="A113" s="229"/>
      <c r="B113" s="229"/>
      <c r="C113" s="277"/>
      <c r="D113" s="277"/>
      <c r="E113" s="237"/>
      <c r="F113" s="237"/>
      <c r="G113" s="237"/>
      <c r="H113" s="237"/>
      <c r="I113" s="220"/>
      <c r="J113" s="220"/>
      <c r="K113" s="237"/>
      <c r="L113" s="237"/>
      <c r="M113" s="278"/>
      <c r="N113" s="278"/>
      <c r="O113" s="278"/>
      <c r="P113" s="220"/>
      <c r="Q113" s="220"/>
      <c r="R113" s="220"/>
      <c r="S113" s="220"/>
      <c r="T113" s="220"/>
      <c r="U113" s="280"/>
      <c r="V113" s="220"/>
      <c r="W113" s="280"/>
      <c r="X113" s="220"/>
      <c r="Y113" s="280"/>
      <c r="Z113" s="220"/>
      <c r="AA113" s="280"/>
      <c r="AB113" s="220"/>
      <c r="AC113" s="280"/>
    </row>
    <row r="114" spans="1:29" ht="12.75" customHeight="1" x14ac:dyDescent="0.25">
      <c r="A114" s="229"/>
      <c r="B114" s="229"/>
      <c r="C114" s="277"/>
      <c r="D114" s="277"/>
      <c r="E114" s="237"/>
      <c r="F114" s="237"/>
      <c r="G114" s="237"/>
      <c r="H114" s="237"/>
      <c r="I114" s="220"/>
      <c r="J114" s="220"/>
      <c r="K114" s="237"/>
      <c r="L114" s="237"/>
      <c r="M114" s="278"/>
      <c r="N114" s="278"/>
      <c r="O114" s="278"/>
      <c r="P114" s="220"/>
      <c r="Q114" s="220"/>
      <c r="R114" s="220"/>
      <c r="S114" s="220"/>
      <c r="T114" s="220"/>
      <c r="U114" s="280"/>
      <c r="V114" s="220"/>
      <c r="W114" s="280"/>
      <c r="X114" s="220"/>
      <c r="Y114" s="280"/>
      <c r="Z114" s="220"/>
      <c r="AA114" s="254"/>
      <c r="AB114" s="220"/>
      <c r="AC114" s="280"/>
    </row>
    <row r="115" spans="1:29" ht="12.75" customHeight="1" x14ac:dyDescent="0.25">
      <c r="A115" s="229"/>
      <c r="B115" s="229"/>
      <c r="C115" s="277"/>
      <c r="D115" s="277"/>
      <c r="E115" s="237"/>
      <c r="F115" s="237"/>
      <c r="G115" s="237"/>
      <c r="H115" s="237"/>
      <c r="I115" s="237"/>
      <c r="J115" s="220"/>
      <c r="K115" s="237"/>
      <c r="L115" s="237"/>
      <c r="M115" s="278"/>
      <c r="N115" s="278"/>
      <c r="O115" s="278"/>
      <c r="P115" s="220"/>
      <c r="Q115" s="220"/>
      <c r="R115" s="220"/>
      <c r="S115" s="220"/>
      <c r="T115" s="220"/>
      <c r="U115" s="280"/>
      <c r="V115" s="220"/>
      <c r="W115" s="280"/>
      <c r="X115" s="220"/>
      <c r="Y115" s="280"/>
      <c r="Z115" s="220"/>
      <c r="AA115" s="254"/>
      <c r="AB115" s="220"/>
      <c r="AC115" s="280"/>
    </row>
    <row r="116" spans="1:29" ht="12.75" customHeight="1" x14ac:dyDescent="0.25">
      <c r="A116" s="229"/>
      <c r="B116" s="229"/>
      <c r="C116" s="277"/>
      <c r="D116" s="277"/>
      <c r="E116" s="237"/>
      <c r="F116" s="237"/>
      <c r="G116" s="237"/>
      <c r="H116" s="237"/>
      <c r="I116" s="237"/>
      <c r="J116" s="220"/>
      <c r="K116" s="237"/>
      <c r="L116" s="237"/>
      <c r="M116" s="278"/>
      <c r="N116" s="278"/>
      <c r="O116" s="278"/>
      <c r="P116" s="220"/>
      <c r="Q116" s="220"/>
      <c r="R116" s="220"/>
      <c r="S116" s="220"/>
      <c r="T116" s="220"/>
      <c r="U116" s="280"/>
      <c r="V116" s="220"/>
      <c r="W116" s="280"/>
      <c r="X116" s="220"/>
      <c r="Y116" s="280"/>
      <c r="Z116" s="220"/>
      <c r="AA116" s="254"/>
      <c r="AB116" s="220"/>
      <c r="AC116" s="280"/>
    </row>
    <row r="117" spans="1:29" ht="12.75" customHeight="1" x14ac:dyDescent="0.25">
      <c r="A117" s="229"/>
      <c r="B117" s="229"/>
      <c r="C117" s="277"/>
      <c r="D117" s="277"/>
      <c r="E117" s="237"/>
      <c r="F117" s="237"/>
      <c r="G117" s="237"/>
      <c r="H117" s="237"/>
      <c r="I117" s="220"/>
      <c r="J117" s="220"/>
      <c r="K117" s="237"/>
      <c r="L117" s="237"/>
      <c r="M117" s="278"/>
      <c r="N117" s="278"/>
      <c r="O117" s="278"/>
      <c r="P117" s="220"/>
      <c r="Q117" s="220"/>
      <c r="R117" s="220"/>
      <c r="S117" s="220"/>
      <c r="T117" s="220"/>
      <c r="U117" s="280"/>
      <c r="V117" s="220"/>
      <c r="W117" s="280"/>
      <c r="X117" s="220"/>
      <c r="Y117" s="280"/>
      <c r="Z117" s="220"/>
      <c r="AA117" s="254"/>
      <c r="AB117" s="220"/>
      <c r="AC117" s="280"/>
    </row>
    <row r="118" spans="1:29" ht="12.75" customHeight="1" x14ac:dyDescent="0.25">
      <c r="A118" s="229"/>
      <c r="B118" s="229"/>
      <c r="C118" s="277"/>
      <c r="D118" s="277"/>
      <c r="E118" s="237"/>
      <c r="F118" s="237"/>
      <c r="G118" s="237"/>
      <c r="H118" s="237"/>
      <c r="I118" s="220"/>
      <c r="J118" s="220"/>
      <c r="K118" s="237"/>
      <c r="L118" s="237"/>
      <c r="M118" s="278"/>
      <c r="N118" s="278"/>
      <c r="O118" s="278"/>
      <c r="P118" s="220"/>
      <c r="Q118" s="220"/>
      <c r="R118" s="220"/>
      <c r="S118" s="220"/>
      <c r="T118" s="220"/>
      <c r="U118" s="280"/>
      <c r="V118" s="220"/>
      <c r="W118" s="280"/>
      <c r="X118" s="220"/>
      <c r="Y118" s="280"/>
      <c r="Z118" s="220"/>
      <c r="AA118" s="254"/>
      <c r="AB118" s="220"/>
      <c r="AC118" s="280"/>
    </row>
    <row r="119" spans="1:29" ht="12.75" customHeight="1" x14ac:dyDescent="0.25">
      <c r="A119" s="229"/>
      <c r="B119" s="229"/>
      <c r="C119" s="277"/>
      <c r="D119" s="277"/>
      <c r="E119" s="237"/>
      <c r="F119" s="237"/>
      <c r="G119" s="237"/>
      <c r="H119" s="237"/>
      <c r="I119" s="220"/>
      <c r="J119" s="220"/>
      <c r="K119" s="237"/>
      <c r="L119" s="237"/>
      <c r="M119" s="278"/>
      <c r="N119" s="278"/>
      <c r="O119" s="278"/>
      <c r="P119" s="220"/>
      <c r="Q119" s="220"/>
      <c r="R119" s="220"/>
      <c r="S119" s="220"/>
      <c r="T119" s="220"/>
      <c r="U119" s="280"/>
      <c r="V119" s="220"/>
      <c r="W119" s="280"/>
      <c r="X119" s="220"/>
      <c r="Y119" s="280"/>
      <c r="Z119" s="220"/>
      <c r="AA119" s="254"/>
      <c r="AB119" s="220"/>
      <c r="AC119" s="280"/>
    </row>
    <row r="120" spans="1:29" ht="12.75" customHeight="1" x14ac:dyDescent="0.25">
      <c r="A120" s="229"/>
      <c r="B120" s="229"/>
      <c r="C120" s="281"/>
      <c r="D120" s="281"/>
      <c r="E120" s="282"/>
      <c r="F120" s="237"/>
      <c r="G120" s="282"/>
      <c r="H120" s="282"/>
      <c r="I120" s="282"/>
      <c r="J120" s="282"/>
      <c r="K120" s="282"/>
      <c r="L120" s="282"/>
      <c r="M120" s="281"/>
      <c r="N120" s="281"/>
      <c r="O120" s="281"/>
      <c r="P120" s="220"/>
      <c r="Q120" s="220"/>
      <c r="R120" s="220"/>
      <c r="S120" s="220"/>
      <c r="T120" s="220"/>
      <c r="U120" s="280"/>
      <c r="V120" s="220"/>
      <c r="W120" s="280"/>
      <c r="X120" s="220"/>
      <c r="Y120" s="280"/>
      <c r="Z120" s="220"/>
      <c r="AA120" s="254"/>
      <c r="AB120" s="220"/>
      <c r="AC120" s="280"/>
    </row>
    <row r="121" spans="1:29" ht="12.75" customHeight="1" x14ac:dyDescent="0.25">
      <c r="A121" s="229"/>
      <c r="B121" s="229"/>
      <c r="C121" s="277"/>
      <c r="D121" s="277"/>
      <c r="E121" s="237"/>
      <c r="F121" s="237"/>
      <c r="G121" s="237"/>
      <c r="H121" s="237"/>
      <c r="I121" s="220"/>
      <c r="J121" s="220"/>
      <c r="K121" s="237"/>
      <c r="L121" s="237"/>
      <c r="M121" s="278"/>
      <c r="N121" s="278"/>
      <c r="O121" s="278"/>
      <c r="P121" s="220"/>
      <c r="Q121" s="220"/>
      <c r="R121" s="220"/>
      <c r="S121" s="220"/>
      <c r="T121" s="220"/>
      <c r="U121" s="280"/>
      <c r="V121" s="220"/>
      <c r="W121" s="280"/>
      <c r="X121" s="220"/>
      <c r="Y121" s="280"/>
      <c r="Z121" s="220"/>
      <c r="AA121" s="254"/>
      <c r="AB121" s="220"/>
      <c r="AC121" s="280"/>
    </row>
    <row r="122" spans="1:29" ht="12.75" customHeight="1" x14ac:dyDescent="0.25">
      <c r="A122" s="229"/>
      <c r="B122" s="229"/>
      <c r="C122" s="281"/>
      <c r="D122" s="281"/>
      <c r="E122" s="282"/>
      <c r="F122" s="237"/>
      <c r="G122" s="282"/>
      <c r="H122" s="282"/>
      <c r="I122" s="282"/>
      <c r="J122" s="282"/>
      <c r="K122" s="282"/>
      <c r="L122" s="282"/>
      <c r="M122" s="281"/>
      <c r="N122" s="281"/>
      <c r="O122" s="281"/>
      <c r="P122" s="220"/>
      <c r="Q122" s="220"/>
      <c r="R122" s="220"/>
      <c r="S122" s="220"/>
      <c r="T122" s="220"/>
      <c r="U122" s="280"/>
      <c r="V122" s="220"/>
      <c r="W122" s="280"/>
      <c r="X122" s="220"/>
      <c r="Y122" s="280"/>
      <c r="Z122" s="220"/>
      <c r="AA122" s="254"/>
      <c r="AB122" s="220"/>
      <c r="AC122" s="280"/>
    </row>
    <row r="123" spans="1:29" ht="12.75" customHeight="1" x14ac:dyDescent="0.25">
      <c r="A123" s="229"/>
      <c r="B123" s="229"/>
      <c r="C123" s="281"/>
      <c r="D123" s="281"/>
      <c r="E123" s="282"/>
      <c r="F123" s="237"/>
      <c r="G123" s="282"/>
      <c r="H123" s="282"/>
      <c r="I123" s="282"/>
      <c r="J123" s="282"/>
      <c r="K123" s="282"/>
      <c r="L123" s="282"/>
      <c r="M123" s="281"/>
      <c r="N123" s="281"/>
      <c r="O123" s="281"/>
      <c r="P123" s="220"/>
      <c r="Q123" s="220"/>
      <c r="R123" s="220"/>
      <c r="S123" s="220"/>
      <c r="T123" s="220"/>
      <c r="U123" s="280"/>
      <c r="V123" s="220"/>
      <c r="W123" s="280"/>
      <c r="X123" s="220"/>
      <c r="Y123" s="280"/>
      <c r="Z123" s="220"/>
      <c r="AA123" s="254"/>
      <c r="AB123" s="220"/>
      <c r="AC123" s="280"/>
    </row>
    <row r="124" spans="1:29" ht="12.75" customHeight="1" x14ac:dyDescent="0.25">
      <c r="A124" s="229"/>
      <c r="B124" s="229"/>
      <c r="C124" s="277"/>
      <c r="D124" s="277"/>
      <c r="E124" s="237"/>
      <c r="F124" s="237"/>
      <c r="G124" s="237"/>
      <c r="H124" s="237"/>
      <c r="I124" s="220"/>
      <c r="J124" s="220"/>
      <c r="K124" s="237"/>
      <c r="L124" s="237"/>
      <c r="M124" s="278"/>
      <c r="N124" s="278"/>
      <c r="O124" s="278"/>
      <c r="P124" s="220"/>
      <c r="Q124" s="220"/>
      <c r="R124" s="220"/>
      <c r="S124" s="220"/>
      <c r="T124" s="220"/>
      <c r="U124" s="280"/>
      <c r="V124" s="220"/>
      <c r="W124" s="280"/>
      <c r="X124" s="220"/>
      <c r="Y124" s="280"/>
      <c r="Z124" s="220"/>
      <c r="AA124" s="254"/>
      <c r="AB124" s="220"/>
      <c r="AC124" s="280"/>
    </row>
    <row r="125" spans="1:29" ht="12.75" customHeight="1" x14ac:dyDescent="0.25">
      <c r="A125" s="229"/>
      <c r="B125" s="229"/>
      <c r="C125" s="277"/>
      <c r="D125" s="277"/>
      <c r="E125" s="237"/>
      <c r="F125" s="237"/>
      <c r="G125" s="237"/>
      <c r="H125" s="237"/>
      <c r="I125" s="220"/>
      <c r="J125" s="220"/>
      <c r="K125" s="237"/>
      <c r="L125" s="237"/>
      <c r="M125" s="278"/>
      <c r="N125" s="278"/>
      <c r="O125" s="278"/>
      <c r="P125" s="220"/>
      <c r="Q125" s="220"/>
      <c r="R125" s="220"/>
      <c r="S125" s="220"/>
      <c r="T125" s="220"/>
      <c r="U125" s="280"/>
      <c r="V125" s="220"/>
      <c r="W125" s="280"/>
      <c r="X125" s="220"/>
      <c r="Y125" s="280"/>
      <c r="Z125" s="220"/>
      <c r="AA125" s="254"/>
      <c r="AB125" s="220"/>
      <c r="AC125" s="280"/>
    </row>
    <row r="126" spans="1:29" ht="12.75" customHeight="1" x14ac:dyDescent="0.25">
      <c r="A126" s="229"/>
      <c r="B126" s="229"/>
      <c r="C126" s="277"/>
      <c r="D126" s="277"/>
      <c r="E126" s="237"/>
      <c r="F126" s="237"/>
      <c r="G126" s="237"/>
      <c r="H126" s="237"/>
      <c r="I126" s="220"/>
      <c r="J126" s="220"/>
      <c r="K126" s="237"/>
      <c r="L126" s="237"/>
      <c r="M126" s="278"/>
      <c r="N126" s="278"/>
      <c r="O126" s="278"/>
      <c r="P126" s="220"/>
      <c r="Q126" s="220"/>
      <c r="R126" s="220"/>
      <c r="S126" s="220"/>
      <c r="T126" s="220"/>
      <c r="U126" s="280"/>
      <c r="V126" s="220"/>
      <c r="W126" s="280"/>
      <c r="X126" s="220"/>
      <c r="Y126" s="280"/>
      <c r="Z126" s="220"/>
      <c r="AA126" s="254"/>
      <c r="AB126" s="220"/>
      <c r="AC126" s="280"/>
    </row>
    <row r="127" spans="1:29" ht="12.75" customHeight="1" x14ac:dyDescent="0.25">
      <c r="A127" s="229"/>
      <c r="B127" s="229"/>
      <c r="C127" s="277"/>
      <c r="D127" s="277"/>
      <c r="E127" s="237"/>
      <c r="F127" s="237"/>
      <c r="G127" s="237"/>
      <c r="H127" s="237"/>
      <c r="I127" s="220"/>
      <c r="J127" s="220"/>
      <c r="K127" s="237"/>
      <c r="L127" s="237"/>
      <c r="M127" s="278"/>
      <c r="N127" s="278"/>
      <c r="O127" s="278"/>
      <c r="P127" s="220"/>
      <c r="Q127" s="220"/>
      <c r="R127" s="220"/>
      <c r="S127" s="220"/>
      <c r="T127" s="220"/>
      <c r="U127" s="280"/>
      <c r="V127" s="220"/>
      <c r="W127" s="280"/>
      <c r="X127" s="220"/>
      <c r="Y127" s="280"/>
      <c r="Z127" s="220"/>
      <c r="AA127" s="254"/>
      <c r="AB127" s="220"/>
      <c r="AC127" s="280"/>
    </row>
    <row r="128" spans="1:29" ht="12.75" customHeight="1" x14ac:dyDescent="0.25">
      <c r="A128" s="229"/>
      <c r="B128" s="229"/>
      <c r="C128" s="277"/>
      <c r="D128" s="277"/>
      <c r="E128" s="237"/>
      <c r="F128" s="237"/>
      <c r="G128" s="237"/>
      <c r="H128" s="237"/>
      <c r="I128" s="237"/>
      <c r="J128" s="220"/>
      <c r="K128" s="237"/>
      <c r="L128" s="237"/>
      <c r="M128" s="278"/>
      <c r="N128" s="278"/>
      <c r="O128" s="278"/>
      <c r="P128" s="220"/>
      <c r="Q128" s="220"/>
      <c r="R128" s="220"/>
      <c r="S128" s="220"/>
      <c r="T128" s="220"/>
      <c r="U128" s="280"/>
      <c r="V128" s="220"/>
      <c r="W128" s="280"/>
      <c r="X128" s="220"/>
      <c r="Y128" s="280"/>
      <c r="Z128" s="220"/>
      <c r="AA128" s="254"/>
      <c r="AB128" s="220"/>
      <c r="AC128" s="280"/>
    </row>
    <row r="129" spans="1:29" ht="12.75" customHeight="1" x14ac:dyDescent="0.25">
      <c r="A129" s="229"/>
      <c r="B129" s="229"/>
      <c r="C129" s="277"/>
      <c r="D129" s="277"/>
      <c r="E129" s="237"/>
      <c r="F129" s="237"/>
      <c r="G129" s="237"/>
      <c r="H129" s="237"/>
      <c r="I129" s="220"/>
      <c r="J129" s="220"/>
      <c r="K129" s="237"/>
      <c r="L129" s="237"/>
      <c r="M129" s="278"/>
      <c r="N129" s="278"/>
      <c r="O129" s="278"/>
      <c r="P129" s="220"/>
      <c r="Q129" s="220"/>
      <c r="R129" s="220"/>
      <c r="S129" s="220"/>
      <c r="T129" s="220"/>
      <c r="U129" s="280"/>
      <c r="V129" s="220"/>
      <c r="W129" s="280"/>
      <c r="X129" s="220"/>
      <c r="Y129" s="280"/>
      <c r="Z129" s="220"/>
      <c r="AA129" s="254"/>
      <c r="AB129" s="220"/>
      <c r="AC129" s="280"/>
    </row>
    <row r="130" spans="1:29" ht="12.75" customHeight="1" x14ac:dyDescent="0.25">
      <c r="A130" s="229"/>
      <c r="B130" s="229"/>
      <c r="C130" s="277"/>
      <c r="D130" s="277"/>
      <c r="E130" s="237"/>
      <c r="F130" s="237"/>
      <c r="G130" s="237"/>
      <c r="H130" s="237"/>
      <c r="I130" s="220"/>
      <c r="J130" s="220"/>
      <c r="K130" s="237"/>
      <c r="L130" s="237"/>
      <c r="M130" s="278"/>
      <c r="N130" s="278"/>
      <c r="O130" s="278"/>
      <c r="P130" s="220"/>
      <c r="Q130" s="220"/>
      <c r="R130" s="220"/>
      <c r="S130" s="220"/>
      <c r="T130" s="220"/>
      <c r="U130" s="280"/>
      <c r="V130" s="220"/>
      <c r="W130" s="280"/>
      <c r="X130" s="220"/>
      <c r="Y130" s="280"/>
      <c r="Z130" s="220"/>
      <c r="AA130" s="254"/>
      <c r="AB130" s="220"/>
      <c r="AC130" s="280"/>
    </row>
    <row r="131" spans="1:29" ht="12.75" customHeight="1" x14ac:dyDescent="0.25">
      <c r="A131" s="229"/>
      <c r="B131" s="229"/>
      <c r="C131" s="277"/>
      <c r="D131" s="277"/>
      <c r="E131" s="237"/>
      <c r="F131" s="237"/>
      <c r="G131" s="237"/>
      <c r="H131" s="237"/>
      <c r="I131" s="220"/>
      <c r="J131" s="220"/>
      <c r="K131" s="237"/>
      <c r="L131" s="237"/>
      <c r="M131" s="278"/>
      <c r="N131" s="278"/>
      <c r="O131" s="278"/>
      <c r="P131" s="220"/>
      <c r="Q131" s="220"/>
      <c r="R131" s="220"/>
      <c r="S131" s="220"/>
      <c r="T131" s="220"/>
      <c r="U131" s="280"/>
      <c r="V131" s="220"/>
      <c r="W131" s="280"/>
      <c r="X131" s="220"/>
      <c r="Y131" s="280"/>
      <c r="Z131" s="220"/>
      <c r="AA131" s="254"/>
      <c r="AB131" s="220"/>
      <c r="AC131" s="280"/>
    </row>
    <row r="132" spans="1:29" ht="12.75" customHeight="1" x14ac:dyDescent="0.25">
      <c r="A132" s="229"/>
      <c r="B132" s="229"/>
      <c r="C132" s="277"/>
      <c r="D132" s="277"/>
      <c r="E132" s="237"/>
      <c r="F132" s="237"/>
      <c r="G132" s="237"/>
      <c r="H132" s="237"/>
      <c r="I132" s="220"/>
      <c r="J132" s="220"/>
      <c r="K132" s="237"/>
      <c r="L132" s="237"/>
      <c r="M132" s="278"/>
      <c r="N132" s="278"/>
      <c r="O132" s="278"/>
      <c r="P132" s="220"/>
      <c r="Q132" s="220"/>
      <c r="R132" s="220"/>
      <c r="S132" s="220"/>
      <c r="T132" s="220"/>
      <c r="U132" s="280"/>
      <c r="V132" s="220"/>
      <c r="W132" s="280"/>
      <c r="X132" s="220"/>
      <c r="Y132" s="280"/>
      <c r="Z132" s="220"/>
      <c r="AA132" s="254"/>
      <c r="AB132" s="220"/>
      <c r="AC132" s="280"/>
    </row>
    <row r="133" spans="1:29" ht="12.75" customHeight="1" x14ac:dyDescent="0.25">
      <c r="A133" s="229"/>
      <c r="B133" s="229"/>
      <c r="C133" s="277"/>
      <c r="D133" s="277"/>
      <c r="E133" s="237"/>
      <c r="F133" s="237"/>
      <c r="G133" s="237"/>
      <c r="H133" s="237"/>
      <c r="I133" s="220"/>
      <c r="J133" s="220"/>
      <c r="K133" s="237"/>
      <c r="L133" s="237"/>
      <c r="M133" s="278"/>
      <c r="N133" s="278"/>
      <c r="O133" s="278"/>
      <c r="P133" s="220"/>
      <c r="Q133" s="220"/>
      <c r="R133" s="220"/>
      <c r="S133" s="220"/>
      <c r="T133" s="220"/>
      <c r="U133" s="280"/>
      <c r="V133" s="220"/>
      <c r="W133" s="280"/>
      <c r="X133" s="220"/>
      <c r="Y133" s="280"/>
      <c r="Z133" s="220"/>
      <c r="AA133" s="254"/>
      <c r="AB133" s="220"/>
      <c r="AC133" s="280"/>
    </row>
    <row r="134" spans="1:29" ht="12.75" customHeight="1" x14ac:dyDescent="0.25">
      <c r="A134" s="229"/>
      <c r="B134" s="229"/>
      <c r="C134" s="277"/>
      <c r="D134" s="277"/>
      <c r="E134" s="237"/>
      <c r="F134" s="237"/>
      <c r="G134" s="237"/>
      <c r="H134" s="237"/>
      <c r="I134" s="237"/>
      <c r="J134" s="237"/>
      <c r="K134" s="237"/>
      <c r="L134" s="237"/>
      <c r="M134" s="278"/>
      <c r="N134" s="278"/>
      <c r="O134" s="278"/>
      <c r="P134" s="220"/>
      <c r="Q134" s="220"/>
      <c r="R134" s="220"/>
      <c r="S134" s="220"/>
      <c r="T134" s="220"/>
      <c r="U134" s="280"/>
      <c r="V134" s="220"/>
      <c r="W134" s="280"/>
      <c r="X134" s="220"/>
      <c r="Y134" s="280"/>
      <c r="Z134" s="220"/>
      <c r="AA134" s="254"/>
      <c r="AB134" s="220"/>
      <c r="AC134" s="280"/>
    </row>
    <row r="135" spans="1:29" ht="12.75" customHeight="1" x14ac:dyDescent="0.25">
      <c r="A135" s="229"/>
      <c r="B135" s="229"/>
      <c r="C135" s="277"/>
      <c r="D135" s="277"/>
      <c r="E135" s="237"/>
      <c r="F135" s="237"/>
      <c r="G135" s="237"/>
      <c r="H135" s="237"/>
      <c r="I135" s="220"/>
      <c r="J135" s="220"/>
      <c r="K135" s="237"/>
      <c r="L135" s="237"/>
      <c r="M135" s="278"/>
      <c r="N135" s="278"/>
      <c r="O135" s="278"/>
      <c r="P135" s="220"/>
      <c r="Q135" s="220"/>
      <c r="R135" s="220"/>
      <c r="S135" s="220"/>
      <c r="T135" s="220"/>
      <c r="U135" s="280"/>
      <c r="V135" s="220"/>
      <c r="W135" s="280"/>
      <c r="X135" s="220"/>
      <c r="Y135" s="280"/>
      <c r="Z135" s="220"/>
      <c r="AA135" s="254"/>
      <c r="AB135" s="220"/>
      <c r="AC135" s="280"/>
    </row>
    <row r="136" spans="1:29" ht="12.75" customHeight="1" x14ac:dyDescent="0.25">
      <c r="A136" s="229"/>
      <c r="B136" s="229"/>
      <c r="C136" s="277"/>
      <c r="D136" s="277"/>
      <c r="E136" s="237"/>
      <c r="F136" s="237"/>
      <c r="G136" s="237"/>
      <c r="H136" s="237"/>
      <c r="I136" s="237"/>
      <c r="J136" s="220"/>
      <c r="K136" s="237"/>
      <c r="L136" s="237"/>
      <c r="M136" s="278"/>
      <c r="N136" s="278"/>
      <c r="O136" s="278"/>
      <c r="P136" s="220"/>
      <c r="Q136" s="220"/>
      <c r="R136" s="220"/>
      <c r="S136" s="220"/>
      <c r="T136" s="220"/>
      <c r="U136" s="280"/>
      <c r="V136" s="220"/>
      <c r="W136" s="280"/>
      <c r="X136" s="220"/>
      <c r="Y136" s="280"/>
      <c r="Z136" s="220"/>
      <c r="AA136" s="254"/>
      <c r="AB136" s="220"/>
      <c r="AC136" s="280"/>
    </row>
    <row r="137" spans="1:29" ht="12.75" customHeight="1" x14ac:dyDescent="0.25">
      <c r="A137" s="229"/>
      <c r="B137" s="229"/>
      <c r="C137" s="277"/>
      <c r="D137" s="277"/>
      <c r="E137" s="237"/>
      <c r="F137" s="237"/>
      <c r="G137" s="237"/>
      <c r="H137" s="237"/>
      <c r="I137" s="220"/>
      <c r="J137" s="220"/>
      <c r="K137" s="237"/>
      <c r="L137" s="237"/>
      <c r="M137" s="278"/>
      <c r="N137" s="278"/>
      <c r="O137" s="278"/>
      <c r="P137" s="220"/>
      <c r="Q137" s="220"/>
      <c r="R137" s="220"/>
      <c r="S137" s="220"/>
      <c r="T137" s="220"/>
      <c r="U137" s="280"/>
      <c r="V137" s="220"/>
      <c r="W137" s="280"/>
      <c r="X137" s="220"/>
      <c r="Y137" s="280"/>
      <c r="Z137" s="220"/>
      <c r="AA137" s="254"/>
      <c r="AB137" s="220"/>
      <c r="AC137" s="280"/>
    </row>
    <row r="138" spans="1:29" ht="12.75" customHeight="1" x14ac:dyDescent="0.25">
      <c r="A138" s="229"/>
      <c r="B138" s="229"/>
      <c r="C138" s="277"/>
      <c r="D138" s="277"/>
      <c r="E138" s="237"/>
      <c r="F138" s="237"/>
      <c r="G138" s="237"/>
      <c r="H138" s="237"/>
      <c r="I138" s="220"/>
      <c r="J138" s="220"/>
      <c r="K138" s="237"/>
      <c r="L138" s="237"/>
      <c r="M138" s="278"/>
      <c r="N138" s="278"/>
      <c r="O138" s="278"/>
      <c r="P138" s="220"/>
      <c r="Q138" s="220"/>
      <c r="R138" s="220"/>
      <c r="S138" s="220"/>
      <c r="T138" s="220"/>
      <c r="U138" s="280"/>
      <c r="V138" s="220"/>
      <c r="W138" s="280"/>
      <c r="X138" s="220"/>
      <c r="Y138" s="280"/>
      <c r="Z138" s="220"/>
      <c r="AA138" s="254"/>
      <c r="AB138" s="220"/>
      <c r="AC138" s="280"/>
    </row>
    <row r="139" spans="1:29" ht="12.75" customHeight="1" x14ac:dyDescent="0.25">
      <c r="A139" s="229"/>
      <c r="B139" s="229"/>
      <c r="C139" s="277"/>
      <c r="D139" s="277"/>
      <c r="E139" s="237"/>
      <c r="F139" s="237"/>
      <c r="G139" s="237"/>
      <c r="H139" s="237"/>
      <c r="I139" s="237"/>
      <c r="J139" s="220"/>
      <c r="K139" s="237"/>
      <c r="L139" s="237"/>
      <c r="M139" s="278"/>
      <c r="N139" s="278"/>
      <c r="O139" s="278"/>
      <c r="P139" s="220"/>
      <c r="Q139" s="220"/>
      <c r="R139" s="220"/>
      <c r="S139" s="220"/>
      <c r="T139" s="220"/>
      <c r="U139" s="280"/>
      <c r="V139" s="220"/>
      <c r="W139" s="280"/>
      <c r="X139" s="220"/>
      <c r="Y139" s="280"/>
      <c r="Z139" s="220"/>
      <c r="AA139" s="254"/>
      <c r="AB139" s="220"/>
      <c r="AC139" s="280"/>
    </row>
    <row r="140" spans="1:29" ht="12.75" customHeight="1" x14ac:dyDescent="0.25">
      <c r="A140" s="229"/>
      <c r="B140" s="229"/>
      <c r="C140" s="277"/>
      <c r="D140" s="277"/>
      <c r="E140" s="237"/>
      <c r="F140" s="237"/>
      <c r="G140" s="237"/>
      <c r="H140" s="237"/>
      <c r="I140" s="220"/>
      <c r="J140" s="220"/>
      <c r="K140" s="237"/>
      <c r="L140" s="237"/>
      <c r="M140" s="278"/>
      <c r="N140" s="278"/>
      <c r="O140" s="278"/>
      <c r="P140" s="220"/>
      <c r="Q140" s="220"/>
      <c r="R140" s="220"/>
      <c r="S140" s="220"/>
      <c r="T140" s="220"/>
      <c r="U140" s="280"/>
      <c r="V140" s="220"/>
      <c r="W140" s="280"/>
      <c r="X140" s="220"/>
      <c r="Y140" s="280"/>
      <c r="Z140" s="220"/>
      <c r="AA140" s="254"/>
      <c r="AB140" s="220"/>
      <c r="AC140" s="280"/>
    </row>
    <row r="141" spans="1:29" ht="12.75" customHeight="1" x14ac:dyDescent="0.25">
      <c r="A141" s="229"/>
      <c r="B141" s="229"/>
      <c r="C141" s="277"/>
      <c r="D141" s="277"/>
      <c r="E141" s="237"/>
      <c r="F141" s="237"/>
      <c r="G141" s="237"/>
      <c r="H141" s="237"/>
      <c r="I141" s="220"/>
      <c r="J141" s="220"/>
      <c r="K141" s="237"/>
      <c r="L141" s="237"/>
      <c r="M141" s="278"/>
      <c r="N141" s="278"/>
      <c r="O141" s="278"/>
      <c r="P141" s="220"/>
      <c r="Q141" s="220"/>
      <c r="R141" s="220"/>
      <c r="S141" s="220"/>
      <c r="T141" s="220"/>
      <c r="U141" s="280"/>
      <c r="V141" s="220"/>
      <c r="W141" s="280"/>
      <c r="X141" s="220"/>
      <c r="Y141" s="280"/>
      <c r="Z141" s="220"/>
      <c r="AA141" s="254"/>
      <c r="AB141" s="220"/>
      <c r="AC141" s="280"/>
    </row>
    <row r="142" spans="1:29" ht="12.75" customHeight="1" x14ac:dyDescent="0.25">
      <c r="A142" s="229"/>
      <c r="B142" s="229"/>
      <c r="C142" s="277"/>
      <c r="D142" s="277"/>
      <c r="E142" s="237"/>
      <c r="F142" s="237"/>
      <c r="G142" s="237"/>
      <c r="H142" s="237"/>
      <c r="I142" s="220"/>
      <c r="J142" s="220"/>
      <c r="K142" s="237"/>
      <c r="L142" s="237"/>
      <c r="M142" s="278"/>
      <c r="N142" s="278"/>
      <c r="O142" s="278"/>
      <c r="P142" s="220"/>
      <c r="Q142" s="220"/>
      <c r="R142" s="220"/>
      <c r="S142" s="220"/>
      <c r="T142" s="220"/>
      <c r="U142" s="280"/>
      <c r="V142" s="220"/>
      <c r="W142" s="280"/>
      <c r="X142" s="220"/>
      <c r="Y142" s="280"/>
      <c r="Z142" s="220"/>
      <c r="AA142" s="254"/>
      <c r="AB142" s="220"/>
      <c r="AC142" s="280"/>
    </row>
    <row r="143" spans="1:29" ht="12.75" customHeight="1" x14ac:dyDescent="0.25">
      <c r="A143" s="229"/>
      <c r="B143" s="229"/>
      <c r="C143" s="277"/>
      <c r="D143" s="277"/>
      <c r="E143" s="237"/>
      <c r="F143" s="237"/>
      <c r="G143" s="237"/>
      <c r="H143" s="237"/>
      <c r="I143" s="237"/>
      <c r="J143" s="220"/>
      <c r="K143" s="237"/>
      <c r="L143" s="237"/>
      <c r="M143" s="278"/>
      <c r="N143" s="278"/>
      <c r="O143" s="278"/>
      <c r="P143" s="220"/>
      <c r="Q143" s="220"/>
      <c r="R143" s="220"/>
      <c r="S143" s="220"/>
      <c r="T143" s="220"/>
      <c r="U143" s="280"/>
      <c r="V143" s="220"/>
      <c r="W143" s="280"/>
      <c r="X143" s="220"/>
      <c r="Y143" s="280"/>
      <c r="Z143" s="220"/>
      <c r="AA143" s="254"/>
      <c r="AB143" s="220"/>
      <c r="AC143" s="280"/>
    </row>
    <row r="144" spans="1:29" ht="12.75" customHeight="1" x14ac:dyDescent="0.25">
      <c r="A144" s="229"/>
      <c r="B144" s="229"/>
      <c r="C144" s="277"/>
      <c r="D144" s="277"/>
      <c r="E144" s="237"/>
      <c r="F144" s="237"/>
      <c r="G144" s="237"/>
      <c r="H144" s="237"/>
      <c r="I144" s="220"/>
      <c r="J144" s="220"/>
      <c r="K144" s="237"/>
      <c r="L144" s="237"/>
      <c r="M144" s="278"/>
      <c r="N144" s="278"/>
      <c r="O144" s="278"/>
      <c r="P144" s="220"/>
      <c r="Q144" s="220"/>
      <c r="R144" s="220"/>
      <c r="S144" s="220"/>
      <c r="T144" s="220"/>
      <c r="U144" s="280"/>
      <c r="V144" s="220"/>
      <c r="W144" s="280"/>
      <c r="X144" s="220"/>
      <c r="Y144" s="280"/>
      <c r="Z144" s="220"/>
      <c r="AA144" s="254"/>
      <c r="AB144" s="220"/>
      <c r="AC144" s="280"/>
    </row>
    <row r="145" spans="1:29" ht="12.75" customHeight="1" x14ac:dyDescent="0.25">
      <c r="A145" s="229"/>
      <c r="B145" s="229"/>
      <c r="C145" s="277"/>
      <c r="D145" s="277"/>
      <c r="E145" s="237"/>
      <c r="F145" s="237"/>
      <c r="G145" s="237"/>
      <c r="H145" s="237"/>
      <c r="I145" s="220"/>
      <c r="J145" s="220"/>
      <c r="K145" s="237"/>
      <c r="L145" s="237"/>
      <c r="M145" s="278"/>
      <c r="N145" s="278"/>
      <c r="O145" s="278"/>
      <c r="P145" s="220"/>
      <c r="Q145" s="220"/>
      <c r="R145" s="220"/>
      <c r="S145" s="220"/>
      <c r="T145" s="220"/>
      <c r="U145" s="280"/>
      <c r="V145" s="220"/>
      <c r="W145" s="280"/>
      <c r="X145" s="220"/>
      <c r="Y145" s="280"/>
      <c r="Z145" s="220"/>
      <c r="AA145" s="254"/>
      <c r="AB145" s="220"/>
      <c r="AC145" s="280"/>
    </row>
    <row r="146" spans="1:29" ht="12.75" customHeight="1" x14ac:dyDescent="0.25">
      <c r="A146" s="229"/>
      <c r="B146" s="229"/>
      <c r="C146" s="277"/>
      <c r="D146" s="277"/>
      <c r="E146" s="237"/>
      <c r="F146" s="237"/>
      <c r="G146" s="237"/>
      <c r="H146" s="237"/>
      <c r="I146" s="220"/>
      <c r="J146" s="220"/>
      <c r="K146" s="237"/>
      <c r="L146" s="237"/>
      <c r="M146" s="278"/>
      <c r="N146" s="278"/>
      <c r="O146" s="278"/>
      <c r="P146" s="220"/>
      <c r="Q146" s="220"/>
      <c r="R146" s="220"/>
      <c r="S146" s="220"/>
      <c r="T146" s="220"/>
      <c r="U146" s="280"/>
      <c r="V146" s="220"/>
      <c r="W146" s="280"/>
      <c r="X146" s="220"/>
      <c r="Y146" s="280"/>
      <c r="Z146" s="220"/>
      <c r="AA146" s="254"/>
      <c r="AB146" s="220"/>
      <c r="AC146" s="280"/>
    </row>
    <row r="147" spans="1:29" ht="12.75" customHeight="1" x14ac:dyDescent="0.25">
      <c r="A147" s="229"/>
      <c r="B147" s="229"/>
      <c r="C147" s="277"/>
      <c r="D147" s="277"/>
      <c r="E147" s="237"/>
      <c r="F147" s="237"/>
      <c r="G147" s="237"/>
      <c r="H147" s="237"/>
      <c r="I147" s="220"/>
      <c r="J147" s="220"/>
      <c r="K147" s="237"/>
      <c r="L147" s="237"/>
      <c r="M147" s="278"/>
      <c r="N147" s="278"/>
      <c r="O147" s="278"/>
      <c r="P147" s="220"/>
      <c r="Q147" s="220"/>
      <c r="R147" s="220"/>
      <c r="S147" s="220"/>
      <c r="T147" s="220"/>
      <c r="U147" s="280"/>
      <c r="V147" s="220"/>
      <c r="W147" s="280"/>
      <c r="X147" s="220"/>
      <c r="Y147" s="280"/>
      <c r="Z147" s="220"/>
      <c r="AA147" s="254"/>
      <c r="AB147" s="220"/>
      <c r="AC147" s="280"/>
    </row>
    <row r="148" spans="1:29" ht="12.75" customHeight="1" x14ac:dyDescent="0.25">
      <c r="A148" s="229"/>
      <c r="B148" s="229"/>
      <c r="C148" s="277"/>
      <c r="D148" s="277"/>
      <c r="E148" s="237"/>
      <c r="F148" s="237"/>
      <c r="G148" s="237"/>
      <c r="H148" s="237"/>
      <c r="I148" s="220"/>
      <c r="J148" s="220"/>
      <c r="K148" s="237"/>
      <c r="L148" s="237"/>
      <c r="M148" s="278"/>
      <c r="N148" s="278"/>
      <c r="O148" s="278"/>
      <c r="P148" s="220"/>
      <c r="Q148" s="220"/>
      <c r="R148" s="220"/>
      <c r="S148" s="220"/>
      <c r="T148" s="220"/>
      <c r="U148" s="280"/>
      <c r="V148" s="220"/>
      <c r="W148" s="280"/>
      <c r="X148" s="220"/>
      <c r="Y148" s="280"/>
      <c r="Z148" s="220"/>
      <c r="AA148" s="254"/>
      <c r="AB148" s="220"/>
      <c r="AC148" s="280"/>
    </row>
    <row r="149" spans="1:29" ht="12.75" customHeight="1" x14ac:dyDescent="0.25">
      <c r="A149" s="229"/>
      <c r="B149" s="229"/>
      <c r="C149" s="277"/>
      <c r="D149" s="277"/>
      <c r="E149" s="237"/>
      <c r="F149" s="237"/>
      <c r="G149" s="237"/>
      <c r="H149" s="237"/>
      <c r="I149" s="237"/>
      <c r="J149" s="220"/>
      <c r="K149" s="237"/>
      <c r="L149" s="237"/>
      <c r="M149" s="278"/>
      <c r="N149" s="278"/>
      <c r="O149" s="278"/>
      <c r="P149" s="220"/>
      <c r="Q149" s="220"/>
      <c r="R149" s="220"/>
      <c r="S149" s="220"/>
      <c r="T149" s="220"/>
      <c r="U149" s="280"/>
      <c r="V149" s="220"/>
      <c r="W149" s="280"/>
      <c r="X149" s="220"/>
      <c r="Y149" s="280"/>
      <c r="Z149" s="220"/>
      <c r="AA149" s="254"/>
      <c r="AB149" s="220"/>
      <c r="AC149" s="280"/>
    </row>
    <row r="150" spans="1:29" ht="12.75" customHeight="1" x14ac:dyDescent="0.25">
      <c r="A150" s="229"/>
      <c r="B150" s="229"/>
      <c r="C150" s="277"/>
      <c r="D150" s="277"/>
      <c r="E150" s="237"/>
      <c r="F150" s="237"/>
      <c r="G150" s="237"/>
      <c r="H150" s="237"/>
      <c r="I150" s="220"/>
      <c r="J150" s="220"/>
      <c r="K150" s="237"/>
      <c r="L150" s="237"/>
      <c r="M150" s="278"/>
      <c r="N150" s="278"/>
      <c r="O150" s="278"/>
      <c r="P150" s="220"/>
      <c r="Q150" s="220"/>
      <c r="R150" s="220"/>
      <c r="S150" s="220"/>
      <c r="T150" s="220"/>
      <c r="U150" s="280"/>
      <c r="V150" s="220"/>
      <c r="W150" s="280"/>
      <c r="X150" s="220"/>
      <c r="Y150" s="280"/>
      <c r="Z150" s="220"/>
      <c r="AA150" s="254"/>
      <c r="AB150" s="220"/>
      <c r="AC150" s="280"/>
    </row>
    <row r="151" spans="1:29" ht="12.75" customHeight="1" x14ac:dyDescent="0.25">
      <c r="A151" s="229"/>
      <c r="B151" s="229"/>
      <c r="C151" s="281"/>
      <c r="D151" s="281"/>
      <c r="E151" s="282"/>
      <c r="F151" s="237"/>
      <c r="G151" s="282"/>
      <c r="H151" s="282"/>
      <c r="I151" s="282"/>
      <c r="J151" s="282"/>
      <c r="K151" s="282"/>
      <c r="L151" s="282"/>
      <c r="M151" s="281"/>
      <c r="N151" s="281"/>
      <c r="O151" s="281"/>
      <c r="P151" s="220"/>
      <c r="Q151" s="220"/>
      <c r="R151" s="220"/>
      <c r="S151" s="220"/>
      <c r="T151" s="220"/>
      <c r="U151" s="280"/>
      <c r="V151" s="220"/>
      <c r="W151" s="280"/>
      <c r="X151" s="220"/>
      <c r="Y151" s="280"/>
      <c r="Z151" s="220"/>
      <c r="AA151" s="254"/>
      <c r="AB151" s="220"/>
      <c r="AC151" s="280"/>
    </row>
    <row r="152" spans="1:29" ht="12.75" customHeight="1" x14ac:dyDescent="0.25">
      <c r="A152" s="229"/>
      <c r="B152" s="229"/>
      <c r="C152" s="277"/>
      <c r="D152" s="277"/>
      <c r="E152" s="237"/>
      <c r="F152" s="237"/>
      <c r="G152" s="237"/>
      <c r="H152" s="237"/>
      <c r="I152" s="220"/>
      <c r="J152" s="220"/>
      <c r="K152" s="237"/>
      <c r="L152" s="237"/>
      <c r="M152" s="278"/>
      <c r="N152" s="278"/>
      <c r="O152" s="278"/>
      <c r="P152" s="220"/>
      <c r="Q152" s="220"/>
      <c r="R152" s="220"/>
      <c r="S152" s="220"/>
      <c r="T152" s="220"/>
      <c r="U152" s="280"/>
      <c r="V152" s="220"/>
      <c r="W152" s="280"/>
      <c r="X152" s="220"/>
      <c r="Y152" s="280"/>
      <c r="Z152" s="220"/>
      <c r="AA152" s="254"/>
      <c r="AB152" s="220"/>
      <c r="AC152" s="280"/>
    </row>
    <row r="153" spans="1:29" ht="12.75" customHeight="1" x14ac:dyDescent="0.25">
      <c r="A153" s="229"/>
      <c r="B153" s="229"/>
      <c r="C153" s="277"/>
      <c r="D153" s="277"/>
      <c r="E153" s="237"/>
      <c r="F153" s="237"/>
      <c r="G153" s="237"/>
      <c r="H153" s="237"/>
      <c r="I153" s="220"/>
      <c r="J153" s="220"/>
      <c r="K153" s="237"/>
      <c r="L153" s="237"/>
      <c r="M153" s="278"/>
      <c r="N153" s="278"/>
      <c r="O153" s="278"/>
      <c r="P153" s="220"/>
      <c r="Q153" s="220"/>
      <c r="R153" s="220"/>
      <c r="S153" s="220"/>
      <c r="T153" s="220"/>
      <c r="U153" s="280"/>
      <c r="V153" s="220"/>
      <c r="W153" s="280"/>
      <c r="X153" s="220"/>
      <c r="Y153" s="280"/>
      <c r="Z153" s="220"/>
      <c r="AA153" s="254"/>
      <c r="AB153" s="220"/>
      <c r="AC153" s="280"/>
    </row>
    <row r="154" spans="1:29" ht="12.75" customHeight="1" x14ac:dyDescent="0.25">
      <c r="A154" s="229"/>
      <c r="B154" s="229"/>
      <c r="C154" s="277"/>
      <c r="D154" s="277"/>
      <c r="E154" s="237"/>
      <c r="F154" s="237"/>
      <c r="G154" s="237"/>
      <c r="H154" s="237"/>
      <c r="I154" s="220"/>
      <c r="J154" s="220"/>
      <c r="K154" s="237"/>
      <c r="L154" s="237"/>
      <c r="M154" s="278"/>
      <c r="N154" s="278"/>
      <c r="O154" s="278"/>
      <c r="P154" s="220"/>
      <c r="Q154" s="220"/>
      <c r="R154" s="220"/>
      <c r="S154" s="220"/>
      <c r="T154" s="220"/>
      <c r="U154" s="280"/>
      <c r="V154" s="220"/>
      <c r="W154" s="280"/>
      <c r="X154" s="220"/>
      <c r="Y154" s="280"/>
      <c r="Z154" s="220"/>
      <c r="AA154" s="254"/>
      <c r="AB154" s="220"/>
      <c r="AC154" s="280"/>
    </row>
    <row r="155" spans="1:29" ht="12.75" customHeight="1" x14ac:dyDescent="0.25">
      <c r="A155" s="229"/>
      <c r="B155" s="229"/>
      <c r="C155" s="277"/>
      <c r="D155" s="277"/>
      <c r="E155" s="237"/>
      <c r="F155" s="237"/>
      <c r="G155" s="237"/>
      <c r="H155" s="237"/>
      <c r="I155" s="220"/>
      <c r="J155" s="220"/>
      <c r="K155" s="237"/>
      <c r="L155" s="237"/>
      <c r="M155" s="278"/>
      <c r="N155" s="278"/>
      <c r="O155" s="278"/>
      <c r="P155" s="220"/>
      <c r="Q155" s="220"/>
      <c r="R155" s="220"/>
      <c r="S155" s="220"/>
      <c r="T155" s="220"/>
      <c r="U155" s="280"/>
      <c r="V155" s="220"/>
      <c r="W155" s="280"/>
      <c r="X155" s="220"/>
      <c r="Y155" s="280"/>
      <c r="Z155" s="220"/>
      <c r="AA155" s="254"/>
      <c r="AB155" s="220"/>
      <c r="AC155" s="280"/>
    </row>
    <row r="156" spans="1:29" ht="12.75" customHeight="1" x14ac:dyDescent="0.25">
      <c r="A156" s="229"/>
      <c r="B156" s="229"/>
      <c r="C156" s="281"/>
      <c r="D156" s="281"/>
      <c r="E156" s="282"/>
      <c r="F156" s="237"/>
      <c r="G156" s="282"/>
      <c r="H156" s="282"/>
      <c r="I156" s="282"/>
      <c r="J156" s="220"/>
      <c r="K156" s="282"/>
      <c r="L156" s="282"/>
      <c r="M156" s="281"/>
      <c r="N156" s="281"/>
      <c r="O156" s="281"/>
      <c r="P156" s="220"/>
      <c r="Q156" s="220"/>
      <c r="R156" s="220"/>
      <c r="S156" s="220"/>
      <c r="T156" s="220"/>
      <c r="U156" s="280"/>
      <c r="V156" s="220"/>
      <c r="W156" s="280"/>
      <c r="X156" s="220"/>
      <c r="Y156" s="280"/>
      <c r="Z156" s="220"/>
      <c r="AA156" s="254"/>
      <c r="AB156" s="220"/>
      <c r="AC156" s="280"/>
    </row>
    <row r="157" spans="1:29" ht="12.75" customHeight="1" x14ac:dyDescent="0.25">
      <c r="A157" s="229"/>
      <c r="B157" s="229"/>
      <c r="C157" s="277"/>
      <c r="D157" s="277"/>
      <c r="E157" s="237"/>
      <c r="F157" s="237"/>
      <c r="G157" s="237"/>
      <c r="H157" s="237"/>
      <c r="I157" s="220"/>
      <c r="J157" s="220"/>
      <c r="K157" s="237"/>
      <c r="L157" s="237"/>
      <c r="M157" s="278"/>
      <c r="N157" s="278"/>
      <c r="O157" s="278"/>
      <c r="P157" s="220"/>
      <c r="Q157" s="220"/>
      <c r="R157" s="220"/>
      <c r="S157" s="220"/>
      <c r="T157" s="220"/>
      <c r="U157" s="280"/>
      <c r="V157" s="220"/>
      <c r="W157" s="280"/>
      <c r="X157" s="220"/>
      <c r="Y157" s="280"/>
      <c r="Z157" s="220"/>
      <c r="AA157" s="254"/>
      <c r="AB157" s="220"/>
      <c r="AC157" s="280"/>
    </row>
    <row r="158" spans="1:29" ht="12.75" customHeight="1" x14ac:dyDescent="0.25">
      <c r="A158" s="229"/>
      <c r="B158" s="229"/>
      <c r="C158" s="281"/>
      <c r="D158" s="281"/>
      <c r="E158" s="282"/>
      <c r="F158" s="237"/>
      <c r="G158" s="282"/>
      <c r="H158" s="282"/>
      <c r="I158" s="220"/>
      <c r="J158" s="282"/>
      <c r="K158" s="282"/>
      <c r="L158" s="282"/>
      <c r="M158" s="281"/>
      <c r="N158" s="281"/>
      <c r="O158" s="281"/>
      <c r="P158" s="220"/>
      <c r="Q158" s="220"/>
      <c r="R158" s="220"/>
      <c r="S158" s="220"/>
      <c r="T158" s="220"/>
      <c r="U158" s="280"/>
      <c r="V158" s="220"/>
      <c r="W158" s="280"/>
      <c r="X158" s="220"/>
      <c r="Y158" s="280"/>
      <c r="Z158" s="220"/>
      <c r="AA158" s="254"/>
      <c r="AB158" s="220"/>
      <c r="AC158" s="280"/>
    </row>
    <row r="159" spans="1:29" ht="12.75" customHeight="1" x14ac:dyDescent="0.25">
      <c r="A159" s="229"/>
      <c r="B159" s="229"/>
      <c r="C159" s="277"/>
      <c r="D159" s="277"/>
      <c r="E159" s="237"/>
      <c r="F159" s="237"/>
      <c r="G159" s="237"/>
      <c r="H159" s="237"/>
      <c r="I159" s="220"/>
      <c r="J159" s="220"/>
      <c r="K159" s="237"/>
      <c r="L159" s="237"/>
      <c r="M159" s="278"/>
      <c r="N159" s="278"/>
      <c r="O159" s="278"/>
      <c r="P159" s="220"/>
      <c r="Q159" s="220"/>
      <c r="R159" s="220"/>
      <c r="S159" s="220"/>
      <c r="T159" s="220"/>
      <c r="U159" s="280"/>
      <c r="V159" s="220"/>
      <c r="W159" s="280"/>
      <c r="X159" s="220"/>
      <c r="Y159" s="280"/>
      <c r="Z159" s="220"/>
      <c r="AA159" s="254"/>
      <c r="AB159" s="220"/>
      <c r="AC159" s="280"/>
    </row>
    <row r="160" spans="1:29" ht="12.75" customHeight="1" x14ac:dyDescent="0.25">
      <c r="A160" s="229"/>
      <c r="B160" s="229"/>
      <c r="C160" s="277"/>
      <c r="D160" s="277"/>
      <c r="E160" s="237"/>
      <c r="F160" s="237"/>
      <c r="G160" s="237"/>
      <c r="H160" s="237"/>
      <c r="I160" s="237"/>
      <c r="J160" s="220"/>
      <c r="K160" s="237"/>
      <c r="L160" s="237"/>
      <c r="M160" s="278"/>
      <c r="N160" s="278"/>
      <c r="O160" s="278"/>
      <c r="P160" s="220"/>
      <c r="Q160" s="220"/>
      <c r="R160" s="220"/>
      <c r="S160" s="220"/>
      <c r="T160" s="220"/>
      <c r="U160" s="280"/>
      <c r="V160" s="220"/>
      <c r="W160" s="280"/>
      <c r="X160" s="220"/>
      <c r="Y160" s="280"/>
      <c r="Z160" s="220"/>
      <c r="AA160" s="254"/>
      <c r="AB160" s="220"/>
      <c r="AC160" s="280"/>
    </row>
    <row r="161" spans="1:29" ht="12.75" customHeight="1" x14ac:dyDescent="0.25">
      <c r="A161" s="229"/>
      <c r="B161" s="229"/>
      <c r="C161" s="277"/>
      <c r="D161" s="277"/>
      <c r="E161" s="237"/>
      <c r="F161" s="237"/>
      <c r="G161" s="237"/>
      <c r="H161" s="237"/>
      <c r="I161" s="220"/>
      <c r="J161" s="220"/>
      <c r="K161" s="237"/>
      <c r="L161" s="237"/>
      <c r="M161" s="278"/>
      <c r="N161" s="278"/>
      <c r="O161" s="278"/>
      <c r="P161" s="220"/>
      <c r="Q161" s="220"/>
      <c r="R161" s="220"/>
      <c r="S161" s="220"/>
      <c r="T161" s="220"/>
      <c r="U161" s="280"/>
      <c r="V161" s="220"/>
      <c r="W161" s="280"/>
      <c r="X161" s="220"/>
      <c r="Y161" s="280"/>
      <c r="Z161" s="220"/>
      <c r="AA161" s="254"/>
      <c r="AB161" s="220"/>
      <c r="AC161" s="280"/>
    </row>
    <row r="162" spans="1:29" ht="12.75" customHeight="1" x14ac:dyDescent="0.25">
      <c r="A162" s="229"/>
      <c r="B162" s="229"/>
      <c r="C162" s="277"/>
      <c r="D162" s="277"/>
      <c r="E162" s="237"/>
      <c r="F162" s="237"/>
      <c r="G162" s="237"/>
      <c r="H162" s="237"/>
      <c r="I162" s="220"/>
      <c r="J162" s="220"/>
      <c r="K162" s="237"/>
      <c r="L162" s="237"/>
      <c r="M162" s="278"/>
      <c r="N162" s="278"/>
      <c r="O162" s="278"/>
      <c r="P162" s="220"/>
      <c r="Q162" s="220"/>
      <c r="R162" s="220"/>
      <c r="S162" s="220"/>
      <c r="T162" s="220"/>
      <c r="U162" s="280"/>
      <c r="V162" s="220"/>
      <c r="W162" s="280"/>
      <c r="X162" s="220"/>
      <c r="Y162" s="280"/>
      <c r="Z162" s="220"/>
      <c r="AA162" s="254"/>
      <c r="AB162" s="220"/>
      <c r="AC162" s="280"/>
    </row>
    <row r="163" spans="1:29" ht="12.75" customHeight="1" x14ac:dyDescent="0.25">
      <c r="A163" s="229"/>
      <c r="B163" s="229"/>
      <c r="C163" s="281"/>
      <c r="D163" s="281"/>
      <c r="E163" s="282"/>
      <c r="F163" s="237"/>
      <c r="G163" s="282"/>
      <c r="H163" s="282"/>
      <c r="I163" s="220"/>
      <c r="J163" s="282"/>
      <c r="K163" s="282"/>
      <c r="L163" s="282"/>
      <c r="M163" s="281"/>
      <c r="N163" s="281"/>
      <c r="O163" s="281"/>
      <c r="P163" s="220"/>
      <c r="Q163" s="220"/>
      <c r="R163" s="220"/>
      <c r="S163" s="220"/>
      <c r="T163" s="220"/>
      <c r="U163" s="280"/>
      <c r="V163" s="220"/>
      <c r="W163" s="280"/>
      <c r="X163" s="220"/>
      <c r="Y163" s="280"/>
      <c r="Z163" s="220"/>
      <c r="AA163" s="254"/>
      <c r="AB163" s="220"/>
      <c r="AC163" s="280"/>
    </row>
    <row r="164" spans="1:29" ht="12.75" customHeight="1" x14ac:dyDescent="0.25">
      <c r="A164" s="229"/>
      <c r="B164" s="229"/>
      <c r="C164" s="277"/>
      <c r="D164" s="277"/>
      <c r="E164" s="237"/>
      <c r="F164" s="237"/>
      <c r="G164" s="237"/>
      <c r="H164" s="237"/>
      <c r="I164" s="220"/>
      <c r="J164" s="220"/>
      <c r="K164" s="237"/>
      <c r="L164" s="237"/>
      <c r="M164" s="278"/>
      <c r="N164" s="278"/>
      <c r="O164" s="278"/>
      <c r="P164" s="220"/>
      <c r="Q164" s="220"/>
      <c r="R164" s="220"/>
      <c r="S164" s="220"/>
      <c r="T164" s="220"/>
      <c r="U164" s="280"/>
      <c r="V164" s="220"/>
      <c r="W164" s="280"/>
      <c r="X164" s="220"/>
      <c r="Y164" s="280"/>
      <c r="Z164" s="220"/>
      <c r="AA164" s="254"/>
      <c r="AB164" s="220"/>
      <c r="AC164" s="280"/>
    </row>
    <row r="165" spans="1:29" ht="12.75" customHeight="1" x14ac:dyDescent="0.25">
      <c r="A165" s="229"/>
      <c r="B165" s="229"/>
      <c r="C165" s="277"/>
      <c r="D165" s="277"/>
      <c r="E165" s="237"/>
      <c r="F165" s="237"/>
      <c r="G165" s="237"/>
      <c r="H165" s="237"/>
      <c r="I165" s="220"/>
      <c r="J165" s="220"/>
      <c r="K165" s="237"/>
      <c r="L165" s="237"/>
      <c r="M165" s="278"/>
      <c r="N165" s="278"/>
      <c r="O165" s="278"/>
      <c r="P165" s="220"/>
      <c r="Q165" s="220"/>
      <c r="R165" s="220"/>
      <c r="S165" s="220"/>
      <c r="T165" s="220"/>
      <c r="U165" s="280"/>
      <c r="V165" s="220"/>
      <c r="W165" s="280"/>
      <c r="X165" s="220"/>
      <c r="Y165" s="280"/>
      <c r="Z165" s="220"/>
      <c r="AA165" s="254"/>
      <c r="AB165" s="220"/>
      <c r="AC165" s="280"/>
    </row>
    <row r="166" spans="1:29" ht="12.75" customHeight="1" x14ac:dyDescent="0.25">
      <c r="A166" s="229"/>
      <c r="B166" s="229"/>
      <c r="C166" s="277"/>
      <c r="D166" s="277"/>
      <c r="E166" s="237"/>
      <c r="F166" s="237"/>
      <c r="G166" s="237"/>
      <c r="H166" s="237"/>
      <c r="I166" s="220"/>
      <c r="J166" s="220"/>
      <c r="K166" s="237"/>
      <c r="L166" s="237"/>
      <c r="M166" s="278"/>
      <c r="N166" s="278"/>
      <c r="O166" s="278"/>
      <c r="P166" s="220"/>
      <c r="Q166" s="220"/>
      <c r="R166" s="220"/>
      <c r="S166" s="220"/>
      <c r="T166" s="220"/>
      <c r="U166" s="280"/>
      <c r="V166" s="220"/>
      <c r="W166" s="280"/>
      <c r="X166" s="220"/>
      <c r="Y166" s="280"/>
      <c r="Z166" s="220"/>
      <c r="AA166" s="254"/>
      <c r="AB166" s="220"/>
      <c r="AC166" s="280"/>
    </row>
    <row r="167" spans="1:29" ht="12.75" customHeight="1" x14ac:dyDescent="0.25">
      <c r="A167" s="229"/>
      <c r="B167" s="229"/>
      <c r="C167" s="277"/>
      <c r="D167" s="277"/>
      <c r="E167" s="220"/>
      <c r="F167" s="237"/>
      <c r="G167" s="220"/>
      <c r="H167" s="220"/>
      <c r="I167" s="220"/>
      <c r="J167" s="220"/>
      <c r="K167" s="220"/>
      <c r="L167" s="220"/>
      <c r="M167" s="277"/>
      <c r="N167" s="277"/>
      <c r="O167" s="277"/>
      <c r="P167" s="220"/>
      <c r="Q167" s="220"/>
      <c r="R167" s="220"/>
      <c r="S167" s="220"/>
      <c r="T167" s="220"/>
      <c r="U167" s="280"/>
      <c r="V167" s="220"/>
      <c r="W167" s="280"/>
      <c r="X167" s="220"/>
      <c r="Y167" s="280"/>
      <c r="Z167" s="220"/>
      <c r="AA167" s="254"/>
      <c r="AB167" s="220"/>
      <c r="AC167" s="280"/>
    </row>
    <row r="168" spans="1:29" ht="12.75" customHeight="1" x14ac:dyDescent="0.25">
      <c r="A168" s="229"/>
      <c r="B168" s="229"/>
      <c r="C168" s="277"/>
      <c r="D168" s="277"/>
      <c r="E168" s="237"/>
      <c r="F168" s="237"/>
      <c r="G168" s="237"/>
      <c r="H168" s="237"/>
      <c r="I168" s="220"/>
      <c r="J168" s="220"/>
      <c r="K168" s="237"/>
      <c r="L168" s="237"/>
      <c r="M168" s="278"/>
      <c r="N168" s="278"/>
      <c r="O168" s="278"/>
      <c r="P168" s="220"/>
      <c r="Q168" s="220"/>
      <c r="R168" s="220"/>
      <c r="S168" s="220"/>
      <c r="T168" s="220"/>
      <c r="U168" s="280"/>
      <c r="V168" s="220"/>
      <c r="W168" s="280"/>
      <c r="X168" s="220"/>
      <c r="Y168" s="280"/>
      <c r="Z168" s="220"/>
      <c r="AA168" s="254"/>
      <c r="AB168" s="220"/>
      <c r="AC168" s="280"/>
    </row>
    <row r="169" spans="1:29" ht="12.75" customHeight="1" x14ac:dyDescent="0.25">
      <c r="A169" s="229"/>
      <c r="B169" s="229"/>
      <c r="C169" s="281"/>
      <c r="D169" s="281"/>
      <c r="E169" s="282"/>
      <c r="F169" s="237"/>
      <c r="G169" s="282"/>
      <c r="H169" s="282"/>
      <c r="I169" s="282"/>
      <c r="J169" s="282"/>
      <c r="K169" s="282"/>
      <c r="L169" s="282"/>
      <c r="M169" s="281"/>
      <c r="N169" s="281"/>
      <c r="O169" s="281"/>
      <c r="P169" s="220"/>
      <c r="Q169" s="220"/>
      <c r="R169" s="220"/>
      <c r="S169" s="220"/>
      <c r="T169" s="220"/>
      <c r="U169" s="280"/>
      <c r="V169" s="220"/>
      <c r="W169" s="280"/>
      <c r="X169" s="220"/>
      <c r="Y169" s="280"/>
      <c r="Z169" s="220"/>
      <c r="AA169" s="254"/>
      <c r="AB169" s="220"/>
      <c r="AC169" s="280"/>
    </row>
    <row r="170" spans="1:29" ht="12.75" customHeight="1" x14ac:dyDescent="0.25">
      <c r="A170" s="229"/>
      <c r="B170" s="229"/>
      <c r="C170" s="277"/>
      <c r="D170" s="277"/>
      <c r="E170" s="237"/>
      <c r="F170" s="237"/>
      <c r="G170" s="237"/>
      <c r="H170" s="237"/>
      <c r="I170" s="220"/>
      <c r="J170" s="220"/>
      <c r="K170" s="237"/>
      <c r="L170" s="237"/>
      <c r="M170" s="278"/>
      <c r="N170" s="278"/>
      <c r="O170" s="278"/>
      <c r="P170" s="220"/>
      <c r="Q170" s="220"/>
      <c r="R170" s="220"/>
      <c r="S170" s="220"/>
      <c r="T170" s="220"/>
      <c r="U170" s="280"/>
      <c r="V170" s="220"/>
      <c r="W170" s="280"/>
      <c r="X170" s="220"/>
      <c r="Y170" s="280"/>
      <c r="Z170" s="220"/>
      <c r="AA170" s="254"/>
      <c r="AB170" s="220"/>
      <c r="AC170" s="280"/>
    </row>
    <row r="171" spans="1:29" ht="12.75" customHeight="1" x14ac:dyDescent="0.25">
      <c r="A171" s="229"/>
      <c r="B171" s="229"/>
      <c r="C171" s="277"/>
      <c r="D171" s="277"/>
      <c r="E171" s="237"/>
      <c r="F171" s="237"/>
      <c r="G171" s="237"/>
      <c r="H171" s="237"/>
      <c r="I171" s="220"/>
      <c r="J171" s="220"/>
      <c r="K171" s="237"/>
      <c r="L171" s="237"/>
      <c r="M171" s="278"/>
      <c r="N171" s="278"/>
      <c r="O171" s="278"/>
      <c r="P171" s="220"/>
      <c r="Q171" s="220"/>
      <c r="R171" s="220"/>
      <c r="S171" s="220"/>
      <c r="T171" s="220"/>
      <c r="U171" s="280"/>
      <c r="V171" s="220"/>
      <c r="W171" s="280"/>
      <c r="X171" s="220"/>
      <c r="Y171" s="280"/>
      <c r="Z171" s="220"/>
      <c r="AA171" s="254"/>
      <c r="AB171" s="220"/>
      <c r="AC171" s="280"/>
    </row>
    <row r="172" spans="1:29" ht="12.75" customHeight="1" x14ac:dyDescent="0.25">
      <c r="A172" s="229"/>
      <c r="B172" s="229"/>
      <c r="C172" s="281"/>
      <c r="D172" s="281"/>
      <c r="E172" s="282"/>
      <c r="F172" s="237"/>
      <c r="G172" s="282"/>
      <c r="H172" s="282"/>
      <c r="I172" s="282"/>
      <c r="J172" s="282"/>
      <c r="K172" s="282"/>
      <c r="L172" s="282"/>
      <c r="M172" s="281"/>
      <c r="N172" s="281"/>
      <c r="O172" s="281"/>
      <c r="P172" s="220"/>
      <c r="Q172" s="220"/>
      <c r="R172" s="220"/>
      <c r="S172" s="220"/>
      <c r="T172" s="220"/>
      <c r="U172" s="280"/>
      <c r="V172" s="220"/>
      <c r="W172" s="280"/>
      <c r="X172" s="220"/>
      <c r="Y172" s="280"/>
      <c r="Z172" s="220"/>
      <c r="AA172" s="254"/>
      <c r="AB172" s="220"/>
      <c r="AC172" s="280"/>
    </row>
    <row r="173" spans="1:29" ht="12.75" customHeight="1" x14ac:dyDescent="0.25">
      <c r="A173" s="229"/>
      <c r="B173" s="229"/>
      <c r="C173" s="277"/>
      <c r="D173" s="277"/>
      <c r="E173" s="237"/>
      <c r="F173" s="237"/>
      <c r="G173" s="237"/>
      <c r="H173" s="237"/>
      <c r="I173" s="220"/>
      <c r="J173" s="220"/>
      <c r="K173" s="237"/>
      <c r="L173" s="237"/>
      <c r="M173" s="278"/>
      <c r="N173" s="278"/>
      <c r="O173" s="278"/>
      <c r="P173" s="220"/>
      <c r="Q173" s="220"/>
      <c r="R173" s="220"/>
      <c r="S173" s="220"/>
      <c r="T173" s="220"/>
      <c r="U173" s="280"/>
      <c r="V173" s="220"/>
      <c r="W173" s="280"/>
      <c r="X173" s="220"/>
      <c r="Y173" s="280"/>
      <c r="Z173" s="220"/>
      <c r="AA173" s="254"/>
      <c r="AB173" s="220"/>
      <c r="AC173" s="280"/>
    </row>
    <row r="174" spans="1:29" ht="12.75" customHeight="1" x14ac:dyDescent="0.25">
      <c r="A174" s="229"/>
      <c r="B174" s="229"/>
      <c r="C174" s="277"/>
      <c r="D174" s="277"/>
      <c r="E174" s="237"/>
      <c r="F174" s="237"/>
      <c r="G174" s="237"/>
      <c r="H174" s="237"/>
      <c r="I174" s="220"/>
      <c r="J174" s="220"/>
      <c r="K174" s="237"/>
      <c r="L174" s="237"/>
      <c r="M174" s="278"/>
      <c r="N174" s="278"/>
      <c r="O174" s="278"/>
      <c r="P174" s="220"/>
      <c r="Q174" s="220"/>
      <c r="R174" s="220"/>
      <c r="S174" s="220"/>
      <c r="T174" s="220"/>
      <c r="U174" s="280"/>
      <c r="V174" s="220"/>
      <c r="W174" s="280"/>
      <c r="X174" s="220"/>
      <c r="Y174" s="280"/>
      <c r="Z174" s="220"/>
      <c r="AA174" s="254"/>
      <c r="AB174" s="220"/>
      <c r="AC174" s="254"/>
    </row>
    <row r="175" spans="1:29" ht="12.75" customHeight="1" x14ac:dyDescent="0.25">
      <c r="A175" s="229"/>
      <c r="B175" s="229"/>
      <c r="C175" s="281"/>
      <c r="D175" s="281"/>
      <c r="E175" s="282"/>
      <c r="F175" s="237"/>
      <c r="G175" s="282"/>
      <c r="H175" s="282"/>
      <c r="I175" s="282"/>
      <c r="J175" s="282"/>
      <c r="K175" s="282"/>
      <c r="L175" s="282"/>
      <c r="M175" s="281"/>
      <c r="N175" s="281"/>
      <c r="O175" s="281"/>
      <c r="P175" s="220"/>
      <c r="Q175" s="220"/>
      <c r="R175" s="220"/>
      <c r="S175" s="220"/>
      <c r="T175" s="220"/>
      <c r="U175" s="280"/>
      <c r="V175" s="220"/>
      <c r="W175" s="280"/>
      <c r="X175" s="220"/>
      <c r="Y175" s="280"/>
      <c r="Z175" s="220"/>
      <c r="AA175" s="254"/>
      <c r="AB175" s="220"/>
      <c r="AC175" s="254"/>
    </row>
    <row r="176" spans="1:29" ht="12.75" customHeight="1" x14ac:dyDescent="0.25">
      <c r="A176" s="229"/>
      <c r="B176" s="229"/>
      <c r="C176" s="277"/>
      <c r="D176" s="277"/>
      <c r="E176" s="237"/>
      <c r="F176" s="237"/>
      <c r="G176" s="237"/>
      <c r="H176" s="237"/>
      <c r="I176" s="237"/>
      <c r="J176" s="220"/>
      <c r="K176" s="237"/>
      <c r="L176" s="237"/>
      <c r="M176" s="278"/>
      <c r="N176" s="278"/>
      <c r="O176" s="278"/>
      <c r="P176" s="220"/>
      <c r="Q176" s="220"/>
      <c r="R176" s="220"/>
      <c r="S176" s="220"/>
      <c r="T176" s="220"/>
      <c r="U176" s="280"/>
      <c r="V176" s="220"/>
      <c r="W176" s="280"/>
      <c r="X176" s="220"/>
      <c r="Y176" s="280"/>
      <c r="Z176" s="220"/>
      <c r="AA176" s="254"/>
      <c r="AB176" s="220"/>
      <c r="AC176" s="254"/>
    </row>
    <row r="177" spans="1:29" ht="12.75" customHeight="1" x14ac:dyDescent="0.25">
      <c r="A177" s="229"/>
      <c r="B177" s="229"/>
      <c r="C177" s="277"/>
      <c r="D177" s="277"/>
      <c r="E177" s="237"/>
      <c r="F177" s="237"/>
      <c r="G177" s="237"/>
      <c r="H177" s="237"/>
      <c r="I177" s="237"/>
      <c r="J177" s="220"/>
      <c r="K177" s="237"/>
      <c r="L177" s="237"/>
      <c r="M177" s="278"/>
      <c r="N177" s="278"/>
      <c r="O177" s="278"/>
      <c r="P177" s="220"/>
      <c r="Q177" s="220"/>
      <c r="R177" s="220"/>
      <c r="S177" s="220"/>
      <c r="T177" s="220"/>
      <c r="U177" s="280"/>
      <c r="V177" s="220"/>
      <c r="W177" s="280"/>
      <c r="X177" s="220"/>
      <c r="Y177" s="280"/>
      <c r="Z177" s="220"/>
      <c r="AA177" s="254"/>
      <c r="AB177" s="220"/>
      <c r="AC177" s="254"/>
    </row>
    <row r="178" spans="1:29" ht="12.75" customHeight="1" x14ac:dyDescent="0.25">
      <c r="A178" s="229"/>
      <c r="B178" s="229"/>
      <c r="C178" s="281"/>
      <c r="D178" s="281"/>
      <c r="E178" s="282"/>
      <c r="F178" s="237"/>
      <c r="G178" s="282"/>
      <c r="H178" s="282"/>
      <c r="I178" s="282"/>
      <c r="J178" s="282"/>
      <c r="K178" s="282"/>
      <c r="L178" s="282"/>
      <c r="M178" s="281"/>
      <c r="N178" s="281"/>
      <c r="O178" s="281"/>
      <c r="P178" s="220"/>
      <c r="Q178" s="220"/>
      <c r="R178" s="220"/>
      <c r="S178" s="220"/>
      <c r="T178" s="220"/>
      <c r="U178" s="280"/>
      <c r="V178" s="220"/>
      <c r="W178" s="280"/>
      <c r="X178" s="220"/>
      <c r="Y178" s="280"/>
      <c r="Z178" s="220"/>
      <c r="AA178" s="254"/>
      <c r="AB178" s="220"/>
      <c r="AC178" s="254"/>
    </row>
    <row r="179" spans="1:29" ht="12.75" customHeight="1" x14ac:dyDescent="0.25">
      <c r="A179" s="229"/>
      <c r="B179" s="229"/>
      <c r="C179" s="277"/>
      <c r="D179" s="277"/>
      <c r="E179" s="237"/>
      <c r="F179" s="237"/>
      <c r="G179" s="237"/>
      <c r="H179" s="237"/>
      <c r="I179" s="237"/>
      <c r="J179" s="220"/>
      <c r="K179" s="237"/>
      <c r="L179" s="237"/>
      <c r="M179" s="278"/>
      <c r="N179" s="278"/>
      <c r="O179" s="278"/>
      <c r="P179" s="220"/>
      <c r="Q179" s="220"/>
      <c r="R179" s="220"/>
      <c r="S179" s="220"/>
      <c r="T179" s="220"/>
      <c r="U179" s="280"/>
      <c r="V179" s="220"/>
      <c r="W179" s="280"/>
      <c r="X179" s="220"/>
      <c r="Y179" s="280"/>
      <c r="Z179" s="220"/>
      <c r="AA179" s="254"/>
      <c r="AB179" s="220"/>
      <c r="AC179" s="254"/>
    </row>
    <row r="180" spans="1:29" ht="12.75" customHeight="1" x14ac:dyDescent="0.25">
      <c r="A180" s="229"/>
      <c r="B180" s="229"/>
      <c r="C180" s="281"/>
      <c r="D180" s="281"/>
      <c r="E180" s="282"/>
      <c r="F180" s="237"/>
      <c r="G180" s="282"/>
      <c r="H180" s="282"/>
      <c r="I180" s="282"/>
      <c r="J180" s="282"/>
      <c r="K180" s="282"/>
      <c r="L180" s="282"/>
      <c r="M180" s="281"/>
      <c r="N180" s="281"/>
      <c r="O180" s="281"/>
      <c r="P180" s="220"/>
      <c r="Q180" s="220"/>
      <c r="R180" s="220"/>
      <c r="S180" s="220"/>
      <c r="T180" s="220"/>
      <c r="U180" s="280"/>
      <c r="V180" s="220"/>
      <c r="W180" s="280"/>
      <c r="X180" s="220"/>
      <c r="Y180" s="280"/>
      <c r="Z180" s="220"/>
      <c r="AA180" s="254"/>
      <c r="AB180" s="220"/>
      <c r="AC180" s="254"/>
    </row>
    <row r="181" spans="1:29" ht="12.75" customHeight="1" x14ac:dyDescent="0.25">
      <c r="A181" s="229"/>
      <c r="B181" s="229"/>
      <c r="C181" s="277"/>
      <c r="D181" s="277"/>
      <c r="E181" s="237"/>
      <c r="F181" s="237"/>
      <c r="G181" s="237"/>
      <c r="H181" s="237"/>
      <c r="I181" s="220"/>
      <c r="J181" s="220"/>
      <c r="K181" s="237"/>
      <c r="L181" s="237"/>
      <c r="M181" s="278"/>
      <c r="N181" s="278"/>
      <c r="O181" s="278"/>
      <c r="P181" s="220"/>
      <c r="Q181" s="220"/>
      <c r="R181" s="220"/>
      <c r="S181" s="220"/>
      <c r="T181" s="220"/>
      <c r="U181" s="280"/>
      <c r="V181" s="220"/>
      <c r="W181" s="280"/>
      <c r="X181" s="220"/>
      <c r="Y181" s="280"/>
      <c r="Z181" s="220"/>
      <c r="AA181" s="254"/>
      <c r="AB181" s="220"/>
      <c r="AC181" s="254"/>
    </row>
    <row r="182" spans="1:29" ht="12.75" customHeight="1" x14ac:dyDescent="0.25">
      <c r="A182" s="229"/>
      <c r="B182" s="229"/>
      <c r="C182" s="277"/>
      <c r="D182" s="277"/>
      <c r="E182" s="237"/>
      <c r="F182" s="237"/>
      <c r="G182" s="237"/>
      <c r="H182" s="237"/>
      <c r="I182" s="220"/>
      <c r="J182" s="220"/>
      <c r="K182" s="237"/>
      <c r="L182" s="237"/>
      <c r="M182" s="278"/>
      <c r="N182" s="278"/>
      <c r="O182" s="278"/>
      <c r="P182" s="220"/>
      <c r="Q182" s="220"/>
      <c r="R182" s="220"/>
      <c r="S182" s="220"/>
      <c r="T182" s="220"/>
      <c r="U182" s="280"/>
      <c r="V182" s="220"/>
      <c r="W182" s="280"/>
      <c r="X182" s="220"/>
      <c r="Y182" s="280"/>
      <c r="Z182" s="220"/>
      <c r="AA182" s="254"/>
      <c r="AB182" s="220"/>
      <c r="AC182" s="254"/>
    </row>
    <row r="183" spans="1:29" ht="12.75" customHeight="1" x14ac:dyDescent="0.25">
      <c r="A183" s="229"/>
      <c r="B183" s="229"/>
      <c r="C183" s="281"/>
      <c r="D183" s="281"/>
      <c r="E183" s="282"/>
      <c r="F183" s="237"/>
      <c r="G183" s="282"/>
      <c r="H183" s="282"/>
      <c r="I183" s="282"/>
      <c r="J183" s="282"/>
      <c r="K183" s="282"/>
      <c r="L183" s="282"/>
      <c r="M183" s="281"/>
      <c r="N183" s="281"/>
      <c r="O183" s="281"/>
      <c r="P183" s="220"/>
      <c r="Q183" s="220"/>
      <c r="R183" s="220"/>
      <c r="S183" s="220"/>
      <c r="T183" s="220"/>
      <c r="U183" s="280"/>
      <c r="V183" s="220"/>
      <c r="W183" s="280"/>
      <c r="X183" s="220"/>
      <c r="Y183" s="280"/>
      <c r="Z183" s="220"/>
      <c r="AA183" s="254"/>
      <c r="AB183" s="220"/>
      <c r="AC183" s="254"/>
    </row>
    <row r="184" spans="1:29" ht="12.75" customHeight="1" x14ac:dyDescent="0.25">
      <c r="A184" s="229"/>
      <c r="B184" s="229"/>
      <c r="C184" s="277"/>
      <c r="D184" s="277"/>
      <c r="E184" s="237"/>
      <c r="F184" s="237"/>
      <c r="G184" s="237"/>
      <c r="H184" s="237"/>
      <c r="I184" s="237"/>
      <c r="J184" s="220"/>
      <c r="K184" s="237"/>
      <c r="L184" s="237"/>
      <c r="M184" s="278"/>
      <c r="N184" s="278"/>
      <c r="O184" s="278"/>
      <c r="P184" s="220"/>
      <c r="Q184" s="220"/>
      <c r="R184" s="220"/>
      <c r="S184" s="220"/>
      <c r="T184" s="220"/>
      <c r="U184" s="280"/>
      <c r="V184" s="220"/>
      <c r="W184" s="280"/>
      <c r="X184" s="220"/>
      <c r="Y184" s="280"/>
      <c r="Z184" s="220"/>
      <c r="AA184" s="254"/>
      <c r="AB184" s="220"/>
      <c r="AC184" s="254"/>
    </row>
    <row r="185" spans="1:29" ht="12.75" customHeight="1" x14ac:dyDescent="0.25">
      <c r="A185" s="229"/>
      <c r="B185" s="229"/>
      <c r="C185" s="277"/>
      <c r="D185" s="277"/>
      <c r="E185" s="237"/>
      <c r="F185" s="237"/>
      <c r="G185" s="237"/>
      <c r="H185" s="237"/>
      <c r="I185" s="220"/>
      <c r="J185" s="220"/>
      <c r="K185" s="237"/>
      <c r="L185" s="237"/>
      <c r="M185" s="278"/>
      <c r="N185" s="278"/>
      <c r="O185" s="278"/>
      <c r="P185" s="220"/>
      <c r="Q185" s="220"/>
      <c r="R185" s="220"/>
      <c r="S185" s="220"/>
      <c r="T185" s="220"/>
      <c r="U185" s="280"/>
      <c r="V185" s="220"/>
      <c r="W185" s="280"/>
      <c r="X185" s="220"/>
      <c r="Y185" s="280"/>
      <c r="Z185" s="220"/>
      <c r="AA185" s="254"/>
      <c r="AB185" s="220"/>
      <c r="AC185" s="254"/>
    </row>
    <row r="186" spans="1:29" ht="12.75" customHeight="1" x14ac:dyDescent="0.25">
      <c r="A186" s="229"/>
      <c r="B186" s="229"/>
      <c r="C186" s="277"/>
      <c r="D186" s="277"/>
      <c r="E186" s="237"/>
      <c r="F186" s="237"/>
      <c r="G186" s="237"/>
      <c r="H186" s="237"/>
      <c r="I186" s="237"/>
      <c r="J186" s="220"/>
      <c r="K186" s="237"/>
      <c r="L186" s="237"/>
      <c r="M186" s="278"/>
      <c r="N186" s="278"/>
      <c r="O186" s="278"/>
      <c r="P186" s="220"/>
      <c r="Q186" s="220"/>
      <c r="R186" s="220"/>
      <c r="S186" s="220"/>
      <c r="T186" s="220"/>
      <c r="U186" s="280"/>
      <c r="V186" s="220"/>
      <c r="W186" s="280"/>
      <c r="X186" s="220"/>
      <c r="Y186" s="280"/>
      <c r="Z186" s="220"/>
      <c r="AA186" s="254"/>
      <c r="AB186" s="220"/>
      <c r="AC186" s="254"/>
    </row>
    <row r="187" spans="1:29" ht="12.75" customHeight="1" x14ac:dyDescent="0.25">
      <c r="A187" s="229"/>
      <c r="B187" s="229"/>
      <c r="C187" s="277"/>
      <c r="D187" s="277"/>
      <c r="E187" s="237"/>
      <c r="F187" s="237"/>
      <c r="G187" s="237"/>
      <c r="H187" s="237"/>
      <c r="I187" s="220"/>
      <c r="J187" s="220"/>
      <c r="K187" s="237"/>
      <c r="L187" s="237"/>
      <c r="M187" s="278"/>
      <c r="N187" s="278"/>
      <c r="O187" s="278"/>
      <c r="P187" s="220"/>
      <c r="Q187" s="220"/>
      <c r="R187" s="220"/>
      <c r="S187" s="220"/>
      <c r="T187" s="220"/>
      <c r="U187" s="280"/>
      <c r="V187" s="220"/>
      <c r="W187" s="280"/>
      <c r="X187" s="220"/>
      <c r="Y187" s="280"/>
      <c r="Z187" s="220"/>
      <c r="AA187" s="254"/>
      <c r="AB187" s="220"/>
      <c r="AC187" s="254"/>
    </row>
    <row r="188" spans="1:29" ht="12.75" customHeight="1" x14ac:dyDescent="0.25">
      <c r="A188" s="229"/>
      <c r="B188" s="229"/>
      <c r="C188" s="277"/>
      <c r="D188" s="277"/>
      <c r="E188" s="237"/>
      <c r="F188" s="237"/>
      <c r="G188" s="237"/>
      <c r="H188" s="237"/>
      <c r="I188" s="220"/>
      <c r="J188" s="220"/>
      <c r="K188" s="237"/>
      <c r="L188" s="237"/>
      <c r="M188" s="278"/>
      <c r="N188" s="278"/>
      <c r="O188" s="278"/>
      <c r="P188" s="220"/>
      <c r="Q188" s="220"/>
      <c r="R188" s="220"/>
      <c r="S188" s="220"/>
      <c r="T188" s="220"/>
      <c r="U188" s="280"/>
      <c r="V188" s="220"/>
      <c r="W188" s="280"/>
      <c r="X188" s="220"/>
      <c r="Y188" s="280"/>
      <c r="Z188" s="220"/>
      <c r="AA188" s="254"/>
      <c r="AB188" s="220"/>
      <c r="AC188" s="254"/>
    </row>
    <row r="189" spans="1:29" ht="12.75" customHeight="1" x14ac:dyDescent="0.25">
      <c r="A189" s="229"/>
      <c r="B189" s="229"/>
      <c r="C189" s="281"/>
      <c r="D189" s="281"/>
      <c r="E189" s="282"/>
      <c r="F189" s="237"/>
      <c r="G189" s="282"/>
      <c r="H189" s="282"/>
      <c r="I189" s="282"/>
      <c r="J189" s="282"/>
      <c r="K189" s="282"/>
      <c r="L189" s="282"/>
      <c r="M189" s="281"/>
      <c r="N189" s="281"/>
      <c r="O189" s="281"/>
      <c r="P189" s="220"/>
      <c r="Q189" s="220"/>
      <c r="R189" s="220"/>
      <c r="S189" s="220"/>
      <c r="T189" s="220"/>
      <c r="U189" s="280"/>
      <c r="V189" s="220"/>
      <c r="W189" s="280"/>
      <c r="X189" s="220"/>
      <c r="Y189" s="280"/>
      <c r="Z189" s="220"/>
      <c r="AA189" s="254"/>
      <c r="AB189" s="220"/>
      <c r="AC189" s="254"/>
    </row>
    <row r="190" spans="1:29" ht="12.75" customHeight="1" x14ac:dyDescent="0.25">
      <c r="A190" s="229"/>
      <c r="B190" s="229"/>
      <c r="C190" s="277"/>
      <c r="D190" s="277"/>
      <c r="E190" s="237"/>
      <c r="F190" s="237"/>
      <c r="G190" s="237"/>
      <c r="H190" s="237"/>
      <c r="I190" s="237"/>
      <c r="J190" s="220"/>
      <c r="K190" s="237"/>
      <c r="L190" s="237"/>
      <c r="M190" s="278"/>
      <c r="N190" s="278"/>
      <c r="O190" s="278"/>
      <c r="P190" s="220"/>
      <c r="Q190" s="220"/>
      <c r="R190" s="220"/>
      <c r="S190" s="220"/>
      <c r="T190" s="220"/>
      <c r="U190" s="280"/>
      <c r="V190" s="220"/>
      <c r="W190" s="280"/>
      <c r="X190" s="220"/>
      <c r="Y190" s="280"/>
      <c r="Z190" s="220"/>
      <c r="AA190" s="254"/>
      <c r="AB190" s="220"/>
      <c r="AC190" s="254"/>
    </row>
    <row r="191" spans="1:29" ht="12.75" customHeight="1" x14ac:dyDescent="0.25">
      <c r="A191" s="229"/>
      <c r="B191" s="229"/>
      <c r="C191" s="277"/>
      <c r="D191" s="277"/>
      <c r="E191" s="237"/>
      <c r="F191" s="237"/>
      <c r="G191" s="237"/>
      <c r="H191" s="237"/>
      <c r="I191" s="237"/>
      <c r="J191" s="220"/>
      <c r="K191" s="237"/>
      <c r="L191" s="237"/>
      <c r="M191" s="278"/>
      <c r="N191" s="278"/>
      <c r="O191" s="278"/>
      <c r="P191" s="220"/>
      <c r="Q191" s="220"/>
      <c r="R191" s="220"/>
      <c r="S191" s="220"/>
      <c r="T191" s="220"/>
      <c r="U191" s="280"/>
      <c r="V191" s="220"/>
      <c r="W191" s="280"/>
      <c r="X191" s="220"/>
      <c r="Y191" s="280"/>
      <c r="Z191" s="220"/>
      <c r="AA191" s="254"/>
      <c r="AB191" s="220"/>
      <c r="AC191" s="254"/>
    </row>
    <row r="192" spans="1:29" ht="12.75" customHeight="1" x14ac:dyDescent="0.25">
      <c r="A192" s="229"/>
      <c r="B192" s="229"/>
      <c r="C192" s="277"/>
      <c r="D192" s="277"/>
      <c r="E192" s="237"/>
      <c r="F192" s="237"/>
      <c r="G192" s="237"/>
      <c r="H192" s="237"/>
      <c r="I192" s="220"/>
      <c r="J192" s="220"/>
      <c r="K192" s="237"/>
      <c r="L192" s="237"/>
      <c r="M192" s="278"/>
      <c r="N192" s="278"/>
      <c r="O192" s="278"/>
      <c r="P192" s="220"/>
      <c r="Q192" s="220"/>
      <c r="R192" s="220"/>
      <c r="S192" s="220"/>
      <c r="T192" s="220"/>
      <c r="U192" s="280"/>
      <c r="V192" s="220"/>
      <c r="W192" s="280"/>
      <c r="X192" s="220"/>
      <c r="Y192" s="280"/>
      <c r="Z192" s="220"/>
      <c r="AA192" s="254"/>
      <c r="AB192" s="220"/>
      <c r="AC192" s="254"/>
    </row>
    <row r="193" spans="1:29" ht="12.75" customHeight="1" x14ac:dyDescent="0.25">
      <c r="A193" s="229"/>
      <c r="B193" s="229"/>
      <c r="C193" s="277"/>
      <c r="D193" s="277"/>
      <c r="E193" s="237"/>
      <c r="F193" s="237"/>
      <c r="G193" s="237"/>
      <c r="H193" s="237"/>
      <c r="I193" s="220"/>
      <c r="J193" s="220"/>
      <c r="K193" s="237"/>
      <c r="L193" s="237"/>
      <c r="M193" s="278"/>
      <c r="N193" s="278"/>
      <c r="O193" s="278"/>
      <c r="P193" s="220"/>
      <c r="Q193" s="220"/>
      <c r="R193" s="220"/>
      <c r="S193" s="220"/>
      <c r="T193" s="220"/>
      <c r="U193" s="280"/>
      <c r="V193" s="220"/>
      <c r="W193" s="280"/>
      <c r="X193" s="220"/>
      <c r="Y193" s="280"/>
      <c r="Z193" s="220"/>
      <c r="AA193" s="254"/>
      <c r="AB193" s="220"/>
      <c r="AC193" s="254"/>
    </row>
    <row r="194" spans="1:29" ht="12.75" customHeight="1" x14ac:dyDescent="0.25">
      <c r="A194" s="229"/>
      <c r="B194" s="229"/>
      <c r="C194" s="277"/>
      <c r="D194" s="277"/>
      <c r="E194" s="237"/>
      <c r="F194" s="237"/>
      <c r="G194" s="237"/>
      <c r="H194" s="237"/>
      <c r="I194" s="220"/>
      <c r="J194" s="220"/>
      <c r="K194" s="237"/>
      <c r="L194" s="237"/>
      <c r="M194" s="278"/>
      <c r="N194" s="278"/>
      <c r="O194" s="278"/>
      <c r="P194" s="220"/>
      <c r="Q194" s="220"/>
      <c r="R194" s="220"/>
      <c r="S194" s="220"/>
      <c r="T194" s="220"/>
      <c r="U194" s="280"/>
      <c r="V194" s="220"/>
      <c r="W194" s="280"/>
      <c r="X194" s="220"/>
      <c r="Y194" s="280"/>
      <c r="Z194" s="220"/>
      <c r="AA194" s="254"/>
      <c r="AB194" s="220"/>
      <c r="AC194" s="254"/>
    </row>
    <row r="195" spans="1:29" ht="12.75" customHeight="1" x14ac:dyDescent="0.25">
      <c r="A195" s="229"/>
      <c r="B195" s="229"/>
      <c r="C195" s="277"/>
      <c r="D195" s="277"/>
      <c r="E195" s="237"/>
      <c r="F195" s="237"/>
      <c r="G195" s="237"/>
      <c r="H195" s="237"/>
      <c r="I195" s="220"/>
      <c r="J195" s="220"/>
      <c r="K195" s="237"/>
      <c r="L195" s="237"/>
      <c r="M195" s="278"/>
      <c r="N195" s="278"/>
      <c r="O195" s="278"/>
      <c r="P195" s="220"/>
      <c r="Q195" s="220"/>
      <c r="R195" s="220"/>
      <c r="S195" s="220"/>
      <c r="T195" s="220"/>
      <c r="U195" s="280"/>
      <c r="V195" s="220"/>
      <c r="W195" s="280"/>
      <c r="X195" s="220"/>
      <c r="Y195" s="280"/>
      <c r="Z195" s="220"/>
      <c r="AA195" s="254"/>
      <c r="AB195" s="220"/>
      <c r="AC195" s="254"/>
    </row>
    <row r="196" spans="1:29" ht="12.75" customHeight="1" x14ac:dyDescent="0.25">
      <c r="A196" s="229"/>
      <c r="B196" s="229"/>
      <c r="C196" s="281"/>
      <c r="D196" s="281"/>
      <c r="E196" s="282"/>
      <c r="F196" s="237"/>
      <c r="G196" s="282"/>
      <c r="H196" s="282"/>
      <c r="I196" s="282"/>
      <c r="J196" s="282"/>
      <c r="K196" s="282"/>
      <c r="L196" s="282"/>
      <c r="M196" s="281"/>
      <c r="N196" s="281"/>
      <c r="O196" s="281"/>
      <c r="P196" s="220"/>
      <c r="Q196" s="220"/>
      <c r="R196" s="220"/>
      <c r="S196" s="220"/>
      <c r="T196" s="220"/>
      <c r="U196" s="280"/>
      <c r="V196" s="220"/>
      <c r="W196" s="280"/>
      <c r="X196" s="220"/>
      <c r="Y196" s="280"/>
      <c r="Z196" s="220"/>
      <c r="AA196" s="254"/>
      <c r="AB196" s="220"/>
      <c r="AC196" s="254"/>
    </row>
    <row r="197" spans="1:29" ht="12.75" customHeight="1" x14ac:dyDescent="0.25">
      <c r="A197" s="229"/>
      <c r="B197" s="229"/>
      <c r="C197" s="277"/>
      <c r="D197" s="277"/>
      <c r="E197" s="237"/>
      <c r="F197" s="237"/>
      <c r="G197" s="237"/>
      <c r="H197" s="237"/>
      <c r="I197" s="237"/>
      <c r="J197" s="237"/>
      <c r="K197" s="237"/>
      <c r="L197" s="237"/>
      <c r="M197" s="278"/>
      <c r="N197" s="278"/>
      <c r="O197" s="278"/>
      <c r="P197" s="220"/>
      <c r="Q197" s="220"/>
      <c r="R197" s="220"/>
      <c r="S197" s="220"/>
      <c r="T197" s="220"/>
      <c r="U197" s="280"/>
      <c r="V197" s="220"/>
      <c r="W197" s="280"/>
      <c r="X197" s="220"/>
      <c r="Y197" s="280"/>
      <c r="Z197" s="220"/>
      <c r="AA197" s="254"/>
      <c r="AB197" s="220"/>
      <c r="AC197" s="254"/>
    </row>
    <row r="198" spans="1:29" ht="12.75" customHeight="1" x14ac:dyDescent="0.25">
      <c r="A198" s="229"/>
      <c r="B198" s="229"/>
      <c r="C198" s="281"/>
      <c r="D198" s="281"/>
      <c r="E198" s="282"/>
      <c r="F198" s="237"/>
      <c r="G198" s="282"/>
      <c r="H198" s="282"/>
      <c r="I198" s="282"/>
      <c r="J198" s="282"/>
      <c r="K198" s="282"/>
      <c r="L198" s="282"/>
      <c r="M198" s="281"/>
      <c r="N198" s="281"/>
      <c r="O198" s="281"/>
      <c r="P198" s="220"/>
      <c r="Q198" s="220"/>
      <c r="R198" s="220"/>
      <c r="S198" s="220"/>
      <c r="T198" s="220"/>
      <c r="U198" s="280"/>
      <c r="V198" s="220"/>
      <c r="W198" s="280"/>
      <c r="X198" s="220"/>
      <c r="Y198" s="280"/>
      <c r="Z198" s="220"/>
      <c r="AA198" s="254"/>
      <c r="AB198" s="220"/>
      <c r="AC198" s="254"/>
    </row>
    <row r="199" spans="1:29" ht="12.75" customHeight="1" x14ac:dyDescent="0.25">
      <c r="A199" s="229"/>
      <c r="B199" s="229"/>
      <c r="C199" s="277"/>
      <c r="D199" s="277"/>
      <c r="E199" s="237"/>
      <c r="F199" s="237"/>
      <c r="G199" s="237"/>
      <c r="H199" s="237"/>
      <c r="I199" s="237"/>
      <c r="J199" s="220"/>
      <c r="K199" s="237"/>
      <c r="L199" s="237"/>
      <c r="M199" s="278"/>
      <c r="N199" s="278"/>
      <c r="O199" s="278"/>
      <c r="P199" s="220"/>
      <c r="Q199" s="220"/>
      <c r="R199" s="220"/>
      <c r="S199" s="220"/>
      <c r="T199" s="220"/>
      <c r="U199" s="280"/>
      <c r="V199" s="220"/>
      <c r="W199" s="280"/>
      <c r="X199" s="220"/>
      <c r="Y199" s="280"/>
      <c r="Z199" s="220"/>
      <c r="AA199" s="254"/>
      <c r="AB199" s="220"/>
      <c r="AC199" s="254"/>
    </row>
    <row r="200" spans="1:29" ht="12.75" customHeight="1" x14ac:dyDescent="0.25">
      <c r="A200" s="229"/>
      <c r="B200" s="229"/>
      <c r="C200" s="277"/>
      <c r="D200" s="277"/>
      <c r="E200" s="237"/>
      <c r="F200" s="237"/>
      <c r="G200" s="220"/>
      <c r="H200" s="220"/>
      <c r="I200" s="220"/>
      <c r="J200" s="220"/>
      <c r="K200" s="220"/>
      <c r="L200" s="220"/>
      <c r="M200" s="277"/>
      <c r="N200" s="277"/>
      <c r="O200" s="277"/>
      <c r="P200" s="220"/>
      <c r="Q200" s="220"/>
      <c r="R200" s="220"/>
      <c r="S200" s="220"/>
      <c r="T200" s="220"/>
      <c r="U200" s="280"/>
      <c r="V200" s="220"/>
      <c r="W200" s="280"/>
      <c r="X200" s="220"/>
      <c r="Y200" s="280"/>
      <c r="Z200" s="220"/>
      <c r="AA200" s="254"/>
      <c r="AB200" s="220"/>
      <c r="AC200" s="254"/>
    </row>
  </sheetData>
  <sheetProtection algorithmName="SHA-512" hashValue="NmVloWTbAYSryQJPVco9N2tuv7mB1jCEmtQWTF+jb+FrLKv9aO2DIGe+hUgbWKM5xyagGrP9GO70M0Mpf9UMNA==" saltValue="fR6IZ9z1uvsBoaTCnpJH+w==" spinCount="100000" sheet="1" objects="1" scenarios="1" formatCells="0" formatRows="0"/>
  <sortState xmlns:xlrd2="http://schemas.microsoft.com/office/spreadsheetml/2017/richdata2" ref="C13:AC200">
    <sortCondition ref="E13:E200"/>
  </sortState>
  <conditionalFormatting sqref="S13:S200">
    <cfRule type="expression" priority="1">
      <formula>AND($Q13="Yes",$R13="Yes")</formula>
    </cfRule>
    <cfRule type="expression" dxfId="18" priority="2">
      <formula>OR($Q13&lt;&gt;"Yes",$R13&lt;&gt;"Yes")</formula>
    </cfRule>
  </conditionalFormatting>
  <conditionalFormatting sqref="T13:AC200">
    <cfRule type="expression" priority="9">
      <formula>$S13="No"</formula>
    </cfRule>
    <cfRule type="expression" dxfId="17" priority="10">
      <formula>$S13&lt;&gt;"No"</formula>
    </cfRule>
  </conditionalFormatting>
  <conditionalFormatting sqref="Q13:R200">
    <cfRule type="expression" priority="11">
      <formula>$P13="No"</formula>
    </cfRule>
    <cfRule type="expression" dxfId="16" priority="12">
      <formula>$P13&lt;&gt;"No"</formula>
    </cfRule>
  </conditionalFormatting>
  <dataValidations count="25">
    <dataValidation type="list" allowBlank="1" showInputMessage="1" showErrorMessage="1" sqref="L201:L1048576 L12" xr:uid="{A6252744-C358-B241-B3EF-403E2514963A}">
      <formula1>#REF!</formula1>
    </dataValidation>
    <dataValidation type="list" operator="lessThanOrEqual" allowBlank="1" showInputMessage="1" showErrorMessage="1" errorTitle="Max Length Exceed" error="Value cannot exceed 2 characters." sqref="L13:L200" xr:uid="{37076C4C-ABE5-476A-8823-8121E1BB03D5}">
      <formula1>State</formula1>
    </dataValidation>
    <dataValidation type="list" allowBlank="1" showInputMessage="1" showErrorMessage="1" sqref="Q13:Q200" xr:uid="{AA2EC504-54DD-4AE7-96B2-5E98A6863013}">
      <formula1>YesNo</formula1>
    </dataValidation>
    <dataValidation type="list" allowBlank="1" showInputMessage="1" showErrorMessage="1" sqref="F13:F200" xr:uid="{81F21A6E-0882-4602-8CBE-3F51DA3F2024}">
      <formula1>Subrecipient</formula1>
    </dataValidation>
    <dataValidation type="textLength" operator="equal" allowBlank="1" showInputMessage="1" showErrorMessage="1" errorTitle="Invalid Length" error="Value must equal 12 characters." sqref="C13:C200" xr:uid="{E5069D37-F728-41D2-AD94-A62A538A0DD3}">
      <formula1>12</formula1>
    </dataValidation>
    <dataValidation type="textLength" operator="equal" allowBlank="1" showInputMessage="1" showErrorMessage="1" errorTitle="Invalid Length" error="Value must equal 9 characters." sqref="D13:D200" xr:uid="{24C173BB-3E38-4853-ACFB-E1E2C3287ED8}">
      <formula1>9</formula1>
    </dataValidation>
    <dataValidation type="textLength" operator="lessThanOrEqual" allowBlank="1" showInputMessage="1" showErrorMessage="1" errorTitle="Max Length Exceed" error="Value cannot exceed 80 characters." sqref="E13:E200" xr:uid="{61F95B9F-7B13-4095-A5D5-959F1EA40560}">
      <formula1>80</formula1>
    </dataValidation>
    <dataValidation type="textLength" operator="lessThanOrEqual" allowBlank="1" showInputMessage="1" showErrorMessage="1" errorTitle="Max Length Exceed" error="Value cannot exceed 40 characters." sqref="G13:G200" xr:uid="{8DCB238F-A636-4AA8-8C88-B3AC11E48DC5}">
      <formula1>40</formula1>
    </dataValidation>
    <dataValidation type="textLength" operator="lessThanOrEqual" allowBlank="1" showInputMessage="1" showErrorMessage="1" errorTitle="Max Length Exceed" error="Value cannot exceed 255 characters." sqref="H13:H200" xr:uid="{8FC95034-6105-45C4-A713-7B17AF3EAF91}">
      <formula1>255</formula1>
    </dataValidation>
    <dataValidation type="textLength" operator="lessThanOrEqual" allowBlank="1" showInputMessage="1" showErrorMessage="1" errorTitle="Max Length Exceed" error="Value cannot exceed 255 characters." sqref="I13:I200" xr:uid="{48625326-3C95-4A91-9EA4-717A1CECC21E}">
      <formula1>255</formula1>
    </dataValidation>
    <dataValidation type="textLength" operator="lessThanOrEqual" allowBlank="1" showInputMessage="1" showErrorMessage="1" errorTitle="Max Length Exceed" error="Value cannot exceed 255 characters." sqref="J13:J200" xr:uid="{CC477010-B756-4CBD-A36F-F49CE2610021}">
      <formula1>255</formula1>
    </dataValidation>
    <dataValidation type="textLength" operator="lessThanOrEqual" allowBlank="1" showInputMessage="1" showErrorMessage="1" errorTitle="Max Length Exceed" error="Value cannot exceed 100 characters." sqref="K13:K200" xr:uid="{31DA4FE5-12A8-41DC-9EC5-7691F90D606F}">
      <formula1>100</formula1>
    </dataValidation>
    <dataValidation type="textLength" operator="lessThanOrEqual" allowBlank="1" showInputMessage="1" showErrorMessage="1" errorTitle="Max Length Exceed" error="Value cannot exceed 5 characters." sqref="M13:M200" xr:uid="{775AEDFD-8CD2-4F7F-855F-AE4A1C81C2AD}">
      <formula1>5</formula1>
    </dataValidation>
    <dataValidation type="textLength" operator="lessThanOrEqual" allowBlank="1" showInputMessage="1" showErrorMessage="1" errorTitle="Max Length Exceed" error="Value cannot exceed 4 characters." sqref="N13:N200" xr:uid="{1782499D-8383-4C94-8BB1-34DC3BE00C28}">
      <formula1>4</formula1>
    </dataValidation>
    <dataValidation type="textLength" operator="lessThanOrEqual" allowBlank="1" showInputMessage="1" showErrorMessage="1" errorTitle="Max Length Exceed" error="Value cannot exceed 2 characters." sqref="O13:O200" xr:uid="{4DEDB41E-F213-4352-A941-8FC12D621781}">
      <formula1>2</formula1>
    </dataValidation>
    <dataValidation type="textLength" operator="lessThanOrEqual" allowBlank="1" showInputMessage="1" showErrorMessage="1" errorTitle="Max Length Exceed" error="Value cannot exceed 80 characters." sqref="T13:T200" xr:uid="{3BAC34CD-E53D-4DFA-BD14-30BA4A0C2081}">
      <formula1>80</formula1>
    </dataValidation>
    <dataValidation type="decimal" operator="lessThanOrEqual" allowBlank="1" showInputMessage="1" showErrorMessage="1" errorTitle="Maximum Exceeded" error="Value cannot exceed 999,999,999,999.99" sqref="U13:U200" xr:uid="{E98AB57A-3BC0-4B48-8181-3BEA7284DB0A}">
      <formula1>999999999999.99</formula1>
    </dataValidation>
    <dataValidation type="textLength" operator="lessThanOrEqual" allowBlank="1" showInputMessage="1" showErrorMessage="1" errorTitle="Max Length Exceed" error="Value cannot exceed 80 characters." sqref="V13:V200" xr:uid="{19757530-9B96-482D-AC59-7D345B04B503}">
      <formula1>80</formula1>
    </dataValidation>
    <dataValidation type="decimal" operator="lessThanOrEqual" allowBlank="1" showInputMessage="1" showErrorMessage="1" errorTitle="Maximum Exceeded" error="Value cannot exceed 999,999,999,999.99" sqref="W13:W200" xr:uid="{6A8BBB9B-B422-4664-80A5-B947528D1256}">
      <formula1>999999999999.99</formula1>
    </dataValidation>
    <dataValidation type="textLength" operator="lessThanOrEqual" allowBlank="1" showInputMessage="1" showErrorMessage="1" errorTitle="Max Length Exceed" error="Value cannot exceed 80 characters." sqref="X13:X200" xr:uid="{271BF641-1961-4DCC-AC77-303A2051783B}">
      <formula1>80</formula1>
    </dataValidation>
    <dataValidation type="decimal" operator="lessThanOrEqual" allowBlank="1" showInputMessage="1" showErrorMessage="1" errorTitle="Maximum Exceeded" error="Value cannot exceed 999,999,999,999.99" sqref="Y13:Y200" xr:uid="{CCEF1FDD-CEE5-4B72-AB06-0E29CB143ABB}">
      <formula1>999999999999.99</formula1>
    </dataValidation>
    <dataValidation type="textLength" operator="lessThanOrEqual" allowBlank="1" showInputMessage="1" showErrorMessage="1" errorTitle="Max Length Exceed" error="Value cannot exceed 80 characters." sqref="Z13:Z200" xr:uid="{39C97D11-57F0-4377-A18D-A00B60F16DA2}">
      <formula1>80</formula1>
    </dataValidation>
    <dataValidation type="decimal" operator="lessThanOrEqual" allowBlank="1" showInputMessage="1" showErrorMessage="1" errorTitle="Maximum Exceeded" error="Value cannot exceed 999,999,999,999.99" sqref="AA13:AA200" xr:uid="{3AC89F04-6CAB-4222-AB8B-8CAE82236827}">
      <formula1>999999999999.99</formula1>
    </dataValidation>
    <dataValidation type="textLength" operator="lessThanOrEqual" allowBlank="1" showInputMessage="1" showErrorMessage="1" errorTitle="Max Length Exceed" error="Value cannot exceed 80 characters." sqref="AB13:AB200" xr:uid="{06373678-4489-4648-A2B0-6EFBCF5E47FA}">
      <formula1>80</formula1>
    </dataValidation>
    <dataValidation type="decimal" operator="lessThanOrEqual" allowBlank="1" showInputMessage="1" showErrorMessage="1" errorTitle="Maximum Exceeded" error="Value cannot exceed 999,999,999,999.99" sqref="AC13:AC200" xr:uid="{E9F9D55C-3E3B-44AF-BC1D-FC3B8BA12731}">
      <formula1>999999999999.99</formula1>
    </dataValidation>
  </dataValidations>
  <hyperlinks>
    <hyperlink ref="S12" r:id="rId1" xr:uid="{ABA28EE7-DFC2-4411-B287-C4B0106CBF51}"/>
  </hyperlinks>
  <pageMargins left="0.78749999999999998" right="0.78749999999999998" top="1.05277777777778" bottom="1.05277777777778" header="0" footer="0"/>
  <pageSetup orientation="portrait"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DF23B717-43F2-40F3-BF61-121ADBFE2FF9}">
          <x14:formula1>
            <xm:f>Dropdowns!$H$3:$H$4</xm:f>
          </x14:formula1>
          <xm:sqref>R13:S200 P13:P1048576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G200"/>
  <sheetViews>
    <sheetView showGridLines="0" zoomScaleNormal="100" workbookViewId="0">
      <pane xSplit="8" ySplit="12" topLeftCell="I19" activePane="bottomRight" state="frozen"/>
      <selection pane="topRight" activeCell="F1" sqref="F1"/>
      <selection pane="bottomLeft" activeCell="A12" sqref="A12"/>
      <selection pane="bottomRight" sqref="A1:XFD10"/>
    </sheetView>
  </sheetViews>
  <sheetFormatPr defaultColWidth="14.453125" defaultRowHeight="12.75" customHeight="1" x14ac:dyDescent="0.25"/>
  <cols>
    <col min="1" max="1" width="13.81640625" style="165" hidden="1" customWidth="1"/>
    <col min="2" max="2" width="7.54296875" style="165" hidden="1" customWidth="1"/>
    <col min="3" max="3" width="20.7265625" style="165" customWidth="1"/>
    <col min="4" max="6" width="20.81640625" style="165" customWidth="1"/>
    <col min="7" max="7" width="19.54296875" style="204" customWidth="1"/>
    <col min="8" max="8" width="21.81640625" style="204" customWidth="1"/>
    <col min="9" max="9" width="21.81640625" style="204" hidden="1" customWidth="1"/>
    <col min="10" max="10" width="30.453125" style="165" customWidth="1"/>
    <col min="11" max="11" width="20.54296875" style="205" customWidth="1"/>
    <col min="12" max="12" width="14.54296875" style="206" customWidth="1"/>
    <col min="13" max="13" width="53.453125" style="206" customWidth="1"/>
    <col min="14" max="16" width="14.54296875" style="206" customWidth="1"/>
    <col min="17" max="17" width="14.54296875" style="170" customWidth="1"/>
    <col min="18" max="18" width="30" style="165" customWidth="1"/>
    <col min="19" max="21" width="15" style="165" bestFit="1" customWidth="1"/>
    <col min="22" max="22" width="20.54296875" style="165" customWidth="1"/>
    <col min="23" max="23" width="15" style="204" bestFit="1" customWidth="1"/>
    <col min="24" max="24" width="15" style="204" customWidth="1"/>
    <col min="25" max="25" width="27.54296875" style="165" customWidth="1"/>
    <col min="26" max="26" width="18" style="165" customWidth="1"/>
    <col min="27" max="27" width="22.90625" style="165" customWidth="1"/>
    <col min="28" max="33" width="11.453125" style="165" customWidth="1"/>
    <col min="34" max="16384" width="14.453125" style="165"/>
  </cols>
  <sheetData>
    <row r="1" spans="1:33" ht="27" hidden="1" customHeight="1" x14ac:dyDescent="0.25">
      <c r="A1" s="110" t="s">
        <v>393</v>
      </c>
      <c r="B1" s="123"/>
      <c r="C1" s="122"/>
      <c r="D1" s="122"/>
      <c r="E1" s="122"/>
      <c r="F1" s="122"/>
      <c r="G1" s="138"/>
      <c r="H1" s="138"/>
      <c r="I1" s="138"/>
      <c r="J1" s="122"/>
      <c r="K1" s="139"/>
      <c r="L1" s="121"/>
      <c r="M1" s="121"/>
      <c r="N1" s="121"/>
      <c r="O1" s="121" t="s">
        <v>452</v>
      </c>
      <c r="P1" s="121"/>
      <c r="Q1" s="140"/>
      <c r="R1" s="122"/>
      <c r="S1" s="122"/>
      <c r="T1" s="122"/>
      <c r="U1" s="122"/>
      <c r="V1" s="122"/>
      <c r="W1" s="138"/>
      <c r="X1" s="138"/>
      <c r="Y1" s="122"/>
      <c r="Z1" s="122"/>
      <c r="AA1" s="122"/>
    </row>
    <row r="2" spans="1:33" ht="27" hidden="1" customHeight="1" x14ac:dyDescent="0.25">
      <c r="A2" s="110" t="s">
        <v>394</v>
      </c>
      <c r="B2" s="123"/>
      <c r="C2" s="141"/>
      <c r="D2" s="141"/>
      <c r="E2" s="141"/>
      <c r="F2" s="141"/>
      <c r="G2" s="141"/>
      <c r="H2" s="142"/>
      <c r="I2" s="142"/>
      <c r="J2" s="141"/>
      <c r="K2" s="141"/>
      <c r="L2" s="141"/>
      <c r="M2" s="141"/>
      <c r="N2" s="141"/>
      <c r="O2" s="154"/>
      <c r="P2" s="141"/>
      <c r="Q2" s="141"/>
      <c r="R2" s="141"/>
      <c r="S2" s="141"/>
      <c r="T2" s="141"/>
      <c r="U2" s="141"/>
      <c r="V2" s="141"/>
      <c r="W2" s="141"/>
      <c r="X2" s="141"/>
      <c r="Y2" s="141"/>
      <c r="Z2" s="141"/>
      <c r="AA2" s="141"/>
    </row>
    <row r="3" spans="1:33" s="202" customFormat="1" ht="27" hidden="1" customHeight="1" x14ac:dyDescent="0.25">
      <c r="A3" s="110" t="s">
        <v>163</v>
      </c>
      <c r="B3" s="123"/>
      <c r="C3" s="115" t="s">
        <v>680</v>
      </c>
      <c r="D3" s="115" t="s">
        <v>681</v>
      </c>
      <c r="E3" s="115" t="s">
        <v>1033</v>
      </c>
      <c r="F3" s="152" t="s">
        <v>872</v>
      </c>
      <c r="G3" s="144" t="s">
        <v>139</v>
      </c>
      <c r="H3" s="144" t="s">
        <v>247</v>
      </c>
      <c r="I3" s="144" t="s">
        <v>1033</v>
      </c>
      <c r="J3" s="144" t="s">
        <v>248</v>
      </c>
      <c r="K3" s="145" t="s">
        <v>249</v>
      </c>
      <c r="L3" s="145" t="s">
        <v>250</v>
      </c>
      <c r="M3" s="145" t="s">
        <v>251</v>
      </c>
      <c r="N3" s="145" t="s">
        <v>252</v>
      </c>
      <c r="O3" s="145" t="s">
        <v>751</v>
      </c>
      <c r="P3" s="145" t="s">
        <v>258</v>
      </c>
      <c r="Q3" s="145" t="s">
        <v>259</v>
      </c>
      <c r="R3" s="145" t="s">
        <v>260</v>
      </c>
      <c r="S3" s="145" t="s">
        <v>261</v>
      </c>
      <c r="T3" s="145" t="s">
        <v>262</v>
      </c>
      <c r="U3" s="145" t="s">
        <v>263</v>
      </c>
      <c r="V3" s="145" t="s">
        <v>210</v>
      </c>
      <c r="W3" s="145" t="s">
        <v>264</v>
      </c>
      <c r="X3" s="145" t="s">
        <v>265</v>
      </c>
      <c r="Y3" s="145" t="s">
        <v>268</v>
      </c>
      <c r="Z3" s="145" t="s">
        <v>1010</v>
      </c>
      <c r="AA3" s="145" t="s">
        <v>1011</v>
      </c>
    </row>
    <row r="4" spans="1:33" s="202" customFormat="1" ht="27" hidden="1" customHeight="1" x14ac:dyDescent="0.25">
      <c r="A4" s="110" t="s">
        <v>162</v>
      </c>
      <c r="B4" s="123"/>
      <c r="C4" s="235" t="s">
        <v>1001</v>
      </c>
      <c r="D4" s="235" t="s">
        <v>1001</v>
      </c>
      <c r="E4" s="235" t="s">
        <v>1024</v>
      </c>
      <c r="F4" s="152" t="s">
        <v>149</v>
      </c>
      <c r="G4" s="130" t="s">
        <v>149</v>
      </c>
      <c r="H4" s="130" t="s">
        <v>149</v>
      </c>
      <c r="I4" s="130" t="s">
        <v>1027</v>
      </c>
      <c r="J4" s="130" t="s">
        <v>149</v>
      </c>
      <c r="K4" s="130" t="s">
        <v>149</v>
      </c>
      <c r="L4" s="130" t="s">
        <v>149</v>
      </c>
      <c r="M4" s="146" t="s">
        <v>149</v>
      </c>
      <c r="N4" s="146" t="s">
        <v>516</v>
      </c>
      <c r="O4" s="146" t="s">
        <v>516</v>
      </c>
      <c r="P4" s="130" t="s">
        <v>149</v>
      </c>
      <c r="Q4" s="130" t="s">
        <v>149</v>
      </c>
      <c r="R4" s="147" t="s">
        <v>149</v>
      </c>
      <c r="S4" s="147" t="s">
        <v>150</v>
      </c>
      <c r="T4" s="147" t="s">
        <v>150</v>
      </c>
      <c r="U4" s="147" t="s">
        <v>149</v>
      </c>
      <c r="V4" s="147" t="s">
        <v>149</v>
      </c>
      <c r="W4" s="147" t="s">
        <v>149</v>
      </c>
      <c r="X4" s="147" t="s">
        <v>150</v>
      </c>
      <c r="Y4" s="133" t="s">
        <v>149</v>
      </c>
      <c r="Z4" s="133" t="s">
        <v>149</v>
      </c>
      <c r="AA4" s="133" t="s">
        <v>516</v>
      </c>
    </row>
    <row r="5" spans="1:33" s="202" customFormat="1" ht="27" hidden="1" customHeight="1" x14ac:dyDescent="0.25">
      <c r="A5" s="110" t="s">
        <v>395</v>
      </c>
      <c r="B5" s="123"/>
      <c r="C5" s="148" t="s">
        <v>654</v>
      </c>
      <c r="D5" s="148" t="s">
        <v>655</v>
      </c>
      <c r="E5" s="148"/>
      <c r="F5" s="120" t="s">
        <v>657</v>
      </c>
      <c r="G5" s="144" t="s">
        <v>650</v>
      </c>
      <c r="H5" s="144" t="s">
        <v>682</v>
      </c>
      <c r="I5" s="144"/>
      <c r="J5" s="144" t="s">
        <v>683</v>
      </c>
      <c r="K5" s="144" t="s">
        <v>684</v>
      </c>
      <c r="L5" s="144" t="s">
        <v>685</v>
      </c>
      <c r="M5" s="145"/>
      <c r="N5" s="144" t="s">
        <v>687</v>
      </c>
      <c r="O5" s="143" t="s">
        <v>183</v>
      </c>
      <c r="P5" s="144" t="s">
        <v>688</v>
      </c>
      <c r="Q5" s="144" t="s">
        <v>689</v>
      </c>
      <c r="R5" s="144" t="s">
        <v>690</v>
      </c>
      <c r="S5" s="144" t="s">
        <v>691</v>
      </c>
      <c r="T5" s="144" t="s">
        <v>692</v>
      </c>
      <c r="U5" s="144" t="s">
        <v>693</v>
      </c>
      <c r="V5" s="144" t="s">
        <v>694</v>
      </c>
      <c r="W5" s="144" t="s">
        <v>695</v>
      </c>
      <c r="X5" s="144" t="s">
        <v>665</v>
      </c>
      <c r="Y5" s="145"/>
      <c r="Z5" s="145"/>
      <c r="AA5" s="145"/>
    </row>
    <row r="6" spans="1:33" s="202" customFormat="1" ht="27" hidden="1" customHeight="1" x14ac:dyDescent="0.25">
      <c r="A6" s="110" t="s">
        <v>166</v>
      </c>
      <c r="B6" s="123"/>
      <c r="C6" s="148" t="s">
        <v>134</v>
      </c>
      <c r="D6" s="148" t="s">
        <v>134</v>
      </c>
      <c r="E6" s="148" t="s">
        <v>134</v>
      </c>
      <c r="F6" s="115" t="s">
        <v>668</v>
      </c>
      <c r="G6" s="130" t="s">
        <v>134</v>
      </c>
      <c r="H6" s="130" t="s">
        <v>134</v>
      </c>
      <c r="I6" s="130" t="s">
        <v>134</v>
      </c>
      <c r="J6" s="132" t="s">
        <v>272</v>
      </c>
      <c r="K6" s="130" t="s">
        <v>134</v>
      </c>
      <c r="L6" s="130" t="s">
        <v>134</v>
      </c>
      <c r="M6" s="146" t="s">
        <v>686</v>
      </c>
      <c r="N6" s="146" t="s">
        <v>134</v>
      </c>
      <c r="O6" s="154" t="s">
        <v>134</v>
      </c>
      <c r="P6" s="130" t="s">
        <v>134</v>
      </c>
      <c r="Q6" s="130" t="s">
        <v>134</v>
      </c>
      <c r="R6" s="148" t="s">
        <v>134</v>
      </c>
      <c r="S6" s="148" t="s">
        <v>134</v>
      </c>
      <c r="T6" s="148" t="s">
        <v>134</v>
      </c>
      <c r="U6" s="148" t="s">
        <v>134</v>
      </c>
      <c r="V6" s="148" t="s">
        <v>696</v>
      </c>
      <c r="W6" s="148" t="s">
        <v>134</v>
      </c>
      <c r="X6" s="148" t="s">
        <v>134</v>
      </c>
      <c r="Y6" s="148" t="s">
        <v>134</v>
      </c>
      <c r="Z6" s="115" t="s">
        <v>178</v>
      </c>
      <c r="AA6" s="148" t="s">
        <v>134</v>
      </c>
    </row>
    <row r="7" spans="1:33" s="202" customFormat="1" ht="27" hidden="1" customHeight="1" x14ac:dyDescent="0.25">
      <c r="A7" s="110" t="s">
        <v>167</v>
      </c>
      <c r="B7" s="123"/>
      <c r="C7" s="122" t="s">
        <v>1026</v>
      </c>
      <c r="D7" s="122" t="s">
        <v>1026</v>
      </c>
      <c r="E7" s="122" t="s">
        <v>1030</v>
      </c>
      <c r="F7" s="122" t="s">
        <v>171</v>
      </c>
      <c r="G7" s="130" t="s">
        <v>169</v>
      </c>
      <c r="H7" s="130" t="s">
        <v>169</v>
      </c>
      <c r="I7" s="130" t="s">
        <v>1030</v>
      </c>
      <c r="J7" s="130" t="s">
        <v>171</v>
      </c>
      <c r="K7" s="130" t="s">
        <v>173</v>
      </c>
      <c r="L7" s="130" t="s">
        <v>2</v>
      </c>
      <c r="M7" s="130" t="s">
        <v>171</v>
      </c>
      <c r="N7" s="146" t="s">
        <v>169</v>
      </c>
      <c r="O7" s="146" t="s">
        <v>169</v>
      </c>
      <c r="P7" s="130" t="s">
        <v>2</v>
      </c>
      <c r="Q7" s="130" t="s">
        <v>2</v>
      </c>
      <c r="R7" s="122" t="s">
        <v>169</v>
      </c>
      <c r="S7" s="122" t="s">
        <v>169</v>
      </c>
      <c r="T7" s="122" t="s">
        <v>169</v>
      </c>
      <c r="U7" s="122" t="s">
        <v>169</v>
      </c>
      <c r="V7" s="122" t="s">
        <v>171</v>
      </c>
      <c r="W7" s="122" t="s">
        <v>185</v>
      </c>
      <c r="X7" s="122" t="s">
        <v>185</v>
      </c>
      <c r="Y7" s="122" t="s">
        <v>169</v>
      </c>
      <c r="Z7" s="122" t="s">
        <v>171</v>
      </c>
      <c r="AA7" s="122" t="s">
        <v>169</v>
      </c>
    </row>
    <row r="8" spans="1:33" s="202" customFormat="1" ht="27" hidden="1" customHeight="1" x14ac:dyDescent="0.25">
      <c r="A8" s="110" t="s">
        <v>168</v>
      </c>
      <c r="B8" s="123"/>
      <c r="C8" s="122">
        <v>12</v>
      </c>
      <c r="D8" s="122">
        <v>9</v>
      </c>
      <c r="E8" s="122" t="s">
        <v>134</v>
      </c>
      <c r="F8" s="122" t="s">
        <v>134</v>
      </c>
      <c r="G8" s="133">
        <v>20</v>
      </c>
      <c r="H8" s="133">
        <v>20</v>
      </c>
      <c r="I8" s="133" t="s">
        <v>134</v>
      </c>
      <c r="J8" s="133" t="s">
        <v>134</v>
      </c>
      <c r="K8" s="130" t="s">
        <v>174</v>
      </c>
      <c r="L8" s="133" t="s">
        <v>745</v>
      </c>
      <c r="M8" s="149" t="s">
        <v>134</v>
      </c>
      <c r="N8" s="150">
        <v>100</v>
      </c>
      <c r="O8" s="150">
        <v>3000</v>
      </c>
      <c r="P8" s="133" t="s">
        <v>745</v>
      </c>
      <c r="Q8" s="133" t="s">
        <v>745</v>
      </c>
      <c r="R8" s="122">
        <v>120</v>
      </c>
      <c r="S8" s="122">
        <v>120</v>
      </c>
      <c r="T8" s="122">
        <v>120</v>
      </c>
      <c r="U8" s="122">
        <v>40</v>
      </c>
      <c r="V8" s="122">
        <v>2</v>
      </c>
      <c r="W8" s="122">
        <v>5</v>
      </c>
      <c r="X8" s="122">
        <v>4</v>
      </c>
      <c r="Y8" s="122">
        <v>750</v>
      </c>
      <c r="Z8" s="122" t="s">
        <v>134</v>
      </c>
      <c r="AA8" s="122">
        <v>250</v>
      </c>
    </row>
    <row r="9" spans="1:33" s="202" customFormat="1" ht="27" hidden="1" customHeight="1" x14ac:dyDescent="0.25">
      <c r="A9" s="110" t="s">
        <v>396</v>
      </c>
      <c r="B9" s="123"/>
      <c r="C9" s="115"/>
      <c r="D9" s="115"/>
      <c r="E9" s="115"/>
      <c r="F9" s="115"/>
      <c r="G9" s="144"/>
      <c r="H9" s="144"/>
      <c r="I9" s="144"/>
      <c r="J9" s="144"/>
      <c r="K9" s="145"/>
      <c r="L9" s="145"/>
      <c r="M9" s="145"/>
      <c r="N9" s="145"/>
      <c r="O9" s="143"/>
      <c r="P9" s="145"/>
      <c r="Q9" s="145"/>
      <c r="R9" s="145"/>
      <c r="S9" s="145"/>
      <c r="T9" s="145"/>
      <c r="U9" s="145"/>
      <c r="V9" s="145"/>
      <c r="W9" s="145"/>
      <c r="X9" s="145"/>
      <c r="Y9" s="145"/>
      <c r="Z9" s="145"/>
      <c r="AA9" s="145"/>
    </row>
    <row r="10" spans="1:33" s="202" customFormat="1" ht="35.15" hidden="1" customHeight="1" x14ac:dyDescent="0.25">
      <c r="A10" s="86" t="s">
        <v>752</v>
      </c>
      <c r="B10" s="92"/>
      <c r="C10" s="127" t="s">
        <v>1005</v>
      </c>
      <c r="D10" s="127" t="s">
        <v>1006</v>
      </c>
      <c r="E10" s="127" t="s">
        <v>1025</v>
      </c>
      <c r="F10" s="93" t="s">
        <v>764</v>
      </c>
      <c r="G10" s="93" t="s">
        <v>779</v>
      </c>
      <c r="H10" s="93" t="s">
        <v>780</v>
      </c>
      <c r="I10" s="93" t="s">
        <v>1031</v>
      </c>
      <c r="J10" s="93" t="s">
        <v>781</v>
      </c>
      <c r="K10" s="93" t="s">
        <v>782</v>
      </c>
      <c r="L10" s="93" t="s">
        <v>783</v>
      </c>
      <c r="M10" s="93" t="s">
        <v>784</v>
      </c>
      <c r="N10" s="93" t="s">
        <v>785</v>
      </c>
      <c r="O10" s="93" t="s">
        <v>795</v>
      </c>
      <c r="P10" s="93" t="s">
        <v>786</v>
      </c>
      <c r="Q10" s="93" t="s">
        <v>787</v>
      </c>
      <c r="R10" s="93" t="s">
        <v>788</v>
      </c>
      <c r="S10" s="93" t="s">
        <v>789</v>
      </c>
      <c r="T10" s="93" t="s">
        <v>790</v>
      </c>
      <c r="U10" s="93" t="s">
        <v>791</v>
      </c>
      <c r="V10" s="93" t="s">
        <v>792</v>
      </c>
      <c r="W10" s="93" t="s">
        <v>793</v>
      </c>
      <c r="X10" s="93" t="s">
        <v>794</v>
      </c>
      <c r="Y10" s="93" t="s">
        <v>796</v>
      </c>
      <c r="Z10" s="93" t="s">
        <v>1009</v>
      </c>
      <c r="AA10" s="93" t="s">
        <v>1012</v>
      </c>
    </row>
    <row r="11" spans="1:33" s="202" customFormat="1" ht="14" x14ac:dyDescent="0.25">
      <c r="A11" s="70"/>
      <c r="B11" s="70"/>
      <c r="C11" s="69">
        <f>Cover!$C$2</f>
        <v>0</v>
      </c>
      <c r="D11" s="103"/>
      <c r="E11" s="103"/>
      <c r="F11" s="103"/>
      <c r="G11" s="104"/>
      <c r="H11" s="104"/>
      <c r="I11" s="104"/>
      <c r="J11" s="104"/>
      <c r="K11" s="105"/>
      <c r="L11" s="105"/>
      <c r="M11" s="105"/>
      <c r="N11" s="105"/>
      <c r="O11" s="105"/>
      <c r="P11" s="105"/>
      <c r="Q11" s="105"/>
      <c r="R11" s="105"/>
      <c r="S11" s="105"/>
      <c r="T11" s="105"/>
      <c r="U11" s="105"/>
      <c r="V11" s="105"/>
      <c r="W11" s="105"/>
      <c r="X11" s="105"/>
      <c r="Y11" s="105"/>
      <c r="Z11" s="105"/>
      <c r="AA11" s="105"/>
    </row>
    <row r="12" spans="1:33" s="161" customFormat="1" ht="65" x14ac:dyDescent="0.3">
      <c r="A12" s="50" t="s">
        <v>151</v>
      </c>
      <c r="B12" s="50"/>
      <c r="C12" s="234" t="s">
        <v>1003</v>
      </c>
      <c r="D12" s="234" t="s">
        <v>1004</v>
      </c>
      <c r="E12" s="307" t="s">
        <v>9</v>
      </c>
      <c r="F12" s="234" t="s">
        <v>667</v>
      </c>
      <c r="G12" s="234" t="s">
        <v>5</v>
      </c>
      <c r="H12" s="234" t="s">
        <v>330</v>
      </c>
      <c r="I12" s="234" t="s">
        <v>1034</v>
      </c>
      <c r="J12" s="234" t="s">
        <v>255</v>
      </c>
      <c r="K12" s="234" t="s">
        <v>256</v>
      </c>
      <c r="L12" s="234" t="s">
        <v>257</v>
      </c>
      <c r="M12" s="234" t="s">
        <v>253</v>
      </c>
      <c r="N12" s="234" t="s">
        <v>254</v>
      </c>
      <c r="O12" s="234" t="s">
        <v>502</v>
      </c>
      <c r="P12" s="313" t="s">
        <v>54</v>
      </c>
      <c r="Q12" s="313" t="s">
        <v>55</v>
      </c>
      <c r="R12" s="234" t="s">
        <v>56</v>
      </c>
      <c r="S12" s="314" t="s">
        <v>57</v>
      </c>
      <c r="T12" s="314" t="s">
        <v>58</v>
      </c>
      <c r="U12" s="234" t="s">
        <v>59</v>
      </c>
      <c r="V12" s="234" t="s">
        <v>60</v>
      </c>
      <c r="W12" s="311" t="s">
        <v>61</v>
      </c>
      <c r="X12" s="312" t="s">
        <v>266</v>
      </c>
      <c r="Y12" s="311" t="s">
        <v>267</v>
      </c>
      <c r="Z12" s="311" t="s">
        <v>1007</v>
      </c>
      <c r="AA12" s="311" t="s">
        <v>1008</v>
      </c>
      <c r="AB12" s="200"/>
      <c r="AC12" s="200"/>
      <c r="AD12" s="200"/>
      <c r="AE12" s="200"/>
      <c r="AF12" s="200"/>
      <c r="AG12" s="200"/>
    </row>
    <row r="13" spans="1:33" ht="12.75" customHeight="1" x14ac:dyDescent="0.3">
      <c r="A13" s="229" t="s">
        <v>165</v>
      </c>
      <c r="B13" s="229"/>
      <c r="C13" s="277"/>
      <c r="D13" s="303"/>
      <c r="E13" s="304" t="str">
        <f>IFERROR(IF(ISBLANK(C13),IF(ISBLANK(D13),"",VLOOKUP(D13,Subrecipient!$D$13:$E$200,2,FALSE)),VLOOKUP(C13,Subrecipient!$C$13:$E$200,3,FALSE)),"Not Found")</f>
        <v/>
      </c>
      <c r="F13" s="220"/>
      <c r="G13" s="284"/>
      <c r="H13" s="277"/>
      <c r="I13" s="304" t="str">
        <f>E13</f>
        <v/>
      </c>
      <c r="J13" s="220"/>
      <c r="K13" s="254"/>
      <c r="L13" s="222"/>
      <c r="M13" s="223"/>
      <c r="N13" s="223"/>
      <c r="O13" s="223"/>
      <c r="P13" s="222"/>
      <c r="Q13" s="285"/>
      <c r="R13" s="220"/>
      <c r="S13" s="220"/>
      <c r="T13" s="220"/>
      <c r="U13" s="220"/>
      <c r="V13" s="220"/>
      <c r="W13" s="277"/>
      <c r="X13" s="277"/>
      <c r="Y13" s="220"/>
      <c r="Z13" s="220"/>
      <c r="AA13" s="220"/>
    </row>
    <row r="14" spans="1:33" ht="12.75" customHeight="1" x14ac:dyDescent="0.3">
      <c r="A14" s="229"/>
      <c r="B14" s="229"/>
      <c r="C14" s="221"/>
      <c r="D14" s="303"/>
      <c r="E14" s="304" t="str">
        <f>IFERROR(IF(ISBLANK(C14),IF(ISBLANK(D14),"",VLOOKUP(D14,Subrecipient!$D$13:$E$200,2,FALSE)),VLOOKUP(C14,Subrecipient!$C$13:$E$200,3,FALSE)),"Not Found")</f>
        <v/>
      </c>
      <c r="F14" s="220"/>
      <c r="G14" s="284"/>
      <c r="H14" s="277"/>
      <c r="I14" s="304" t="str">
        <f t="shared" ref="I14:I77" si="0">E14</f>
        <v/>
      </c>
      <c r="J14" s="220"/>
      <c r="K14" s="254"/>
      <c r="L14" s="222"/>
      <c r="M14" s="223"/>
      <c r="N14" s="223"/>
      <c r="O14" s="223"/>
      <c r="P14" s="222"/>
      <c r="Q14" s="285"/>
      <c r="R14" s="220"/>
      <c r="S14" s="220"/>
      <c r="T14" s="220"/>
      <c r="U14" s="220"/>
      <c r="V14" s="220"/>
      <c r="W14" s="277"/>
      <c r="X14" s="277"/>
      <c r="Y14" s="220"/>
      <c r="Z14" s="220"/>
      <c r="AA14" s="220"/>
    </row>
    <row r="15" spans="1:33" ht="12.75" customHeight="1" x14ac:dyDescent="0.3">
      <c r="A15" s="229"/>
      <c r="B15" s="229"/>
      <c r="C15" s="277"/>
      <c r="D15" s="303"/>
      <c r="E15" s="304" t="str">
        <f>IFERROR(IF(ISBLANK(C15),IF(ISBLANK(D15),"",VLOOKUP(D15,Subrecipient!$D$13:$E$200,2,FALSE)),VLOOKUP(C15,Subrecipient!$C$13:$E$200,3,FALSE)),"Not Found")</f>
        <v/>
      </c>
      <c r="F15" s="220"/>
      <c r="G15" s="284"/>
      <c r="H15" s="277"/>
      <c r="I15" s="304" t="str">
        <f t="shared" si="0"/>
        <v/>
      </c>
      <c r="J15" s="220"/>
      <c r="K15" s="254"/>
      <c r="L15" s="222"/>
      <c r="M15" s="223"/>
      <c r="N15" s="223"/>
      <c r="O15" s="223"/>
      <c r="P15" s="222"/>
      <c r="Q15" s="285"/>
      <c r="R15" s="220"/>
      <c r="S15" s="220"/>
      <c r="T15" s="220"/>
      <c r="U15" s="220"/>
      <c r="V15" s="220"/>
      <c r="W15" s="277"/>
      <c r="X15" s="277"/>
      <c r="Y15" s="220"/>
      <c r="Z15" s="220"/>
      <c r="AA15" s="220"/>
    </row>
    <row r="16" spans="1:33" ht="12.75" customHeight="1" x14ac:dyDescent="0.3">
      <c r="A16" s="229"/>
      <c r="B16" s="229"/>
      <c r="C16" s="221"/>
      <c r="D16" s="303"/>
      <c r="E16" s="304" t="str">
        <f>IFERROR(IF(ISBLANK(C16),IF(ISBLANK(D16),"",VLOOKUP(D16,Subrecipient!$D$13:$E$200,2,FALSE)),VLOOKUP(C16,Subrecipient!$C$13:$E$200,3,FALSE)),"Not Found")</f>
        <v/>
      </c>
      <c r="F16" s="220"/>
      <c r="G16" s="284"/>
      <c r="H16" s="277"/>
      <c r="I16" s="304" t="str">
        <f t="shared" si="0"/>
        <v/>
      </c>
      <c r="J16" s="220"/>
      <c r="K16" s="254"/>
      <c r="L16" s="222"/>
      <c r="M16" s="223"/>
      <c r="N16" s="223"/>
      <c r="O16" s="223"/>
      <c r="P16" s="222"/>
      <c r="Q16" s="285"/>
      <c r="R16" s="220"/>
      <c r="S16" s="220"/>
      <c r="T16" s="220"/>
      <c r="U16" s="220"/>
      <c r="V16" s="220"/>
      <c r="W16" s="277"/>
      <c r="X16" s="277"/>
      <c r="Y16" s="220"/>
      <c r="Z16" s="220"/>
      <c r="AA16" s="220"/>
    </row>
    <row r="17" spans="1:27" ht="12.75" customHeight="1" x14ac:dyDescent="0.3">
      <c r="A17" s="229"/>
      <c r="B17" s="229"/>
      <c r="C17" s="221"/>
      <c r="D17" s="303"/>
      <c r="E17" s="304" t="str">
        <f>IFERROR(IF(ISBLANK(C17),IF(ISBLANK(D17),"",VLOOKUP(D17,Subrecipient!$D$13:$E$200,2,FALSE)),VLOOKUP(C17,Subrecipient!$C$13:$E$200,3,FALSE)),"Not Found")</f>
        <v/>
      </c>
      <c r="F17" s="220"/>
      <c r="G17" s="284"/>
      <c r="H17" s="277"/>
      <c r="I17" s="304" t="str">
        <f t="shared" si="0"/>
        <v/>
      </c>
      <c r="J17" s="220"/>
      <c r="K17" s="254"/>
      <c r="L17" s="222"/>
      <c r="M17" s="223"/>
      <c r="N17" s="223"/>
      <c r="O17" s="223"/>
      <c r="P17" s="222"/>
      <c r="Q17" s="285"/>
      <c r="R17" s="220"/>
      <c r="S17" s="220"/>
      <c r="T17" s="220"/>
      <c r="U17" s="220"/>
      <c r="V17" s="220"/>
      <c r="W17" s="277"/>
      <c r="X17" s="277"/>
      <c r="Y17" s="220"/>
      <c r="Z17" s="220"/>
      <c r="AA17" s="220"/>
    </row>
    <row r="18" spans="1:27" ht="12.75" customHeight="1" x14ac:dyDescent="0.3">
      <c r="A18" s="229"/>
      <c r="B18" s="229"/>
      <c r="C18" s="221"/>
      <c r="D18" s="303"/>
      <c r="E18" s="304" t="str">
        <f>IFERROR(IF(ISBLANK(C18),IF(ISBLANK(D18),"",VLOOKUP(D18,Subrecipient!$D$13:$E$200,2,FALSE)),VLOOKUP(C18,Subrecipient!$C$13:$E$200,3,FALSE)),"Not Found")</f>
        <v/>
      </c>
      <c r="F18" s="220"/>
      <c r="G18" s="284"/>
      <c r="H18" s="277"/>
      <c r="I18" s="304" t="str">
        <f t="shared" si="0"/>
        <v/>
      </c>
      <c r="J18" s="220"/>
      <c r="K18" s="254"/>
      <c r="L18" s="222"/>
      <c r="M18" s="223"/>
      <c r="N18" s="223"/>
      <c r="O18" s="223"/>
      <c r="P18" s="222"/>
      <c r="Q18" s="285"/>
      <c r="R18" s="220"/>
      <c r="S18" s="220"/>
      <c r="T18" s="220"/>
      <c r="U18" s="220"/>
      <c r="V18" s="220"/>
      <c r="W18" s="277"/>
      <c r="X18" s="277"/>
      <c r="Y18" s="220"/>
      <c r="Z18" s="220"/>
      <c r="AA18" s="220"/>
    </row>
    <row r="19" spans="1:27" ht="12.75" customHeight="1" x14ac:dyDescent="0.3">
      <c r="A19" s="229"/>
      <c r="B19" s="229"/>
      <c r="C19" s="221"/>
      <c r="D19" s="303"/>
      <c r="E19" s="304" t="str">
        <f>IFERROR(IF(ISBLANK(C19),IF(ISBLANK(D19),"",VLOOKUP(D19,Subrecipient!$D$13:$E$200,2,FALSE)),VLOOKUP(C19,Subrecipient!$C$13:$E$200,3,FALSE)),"Not Found")</f>
        <v/>
      </c>
      <c r="F19" s="220"/>
      <c r="G19" s="284"/>
      <c r="H19" s="277"/>
      <c r="I19" s="304" t="str">
        <f t="shared" si="0"/>
        <v/>
      </c>
      <c r="J19" s="220"/>
      <c r="K19" s="254"/>
      <c r="L19" s="222"/>
      <c r="M19" s="223"/>
      <c r="N19" s="223"/>
      <c r="O19" s="223"/>
      <c r="P19" s="222"/>
      <c r="Q19" s="285"/>
      <c r="R19" s="220"/>
      <c r="S19" s="220"/>
      <c r="T19" s="220"/>
      <c r="U19" s="220"/>
      <c r="V19" s="220"/>
      <c r="W19" s="277"/>
      <c r="X19" s="277"/>
      <c r="Y19" s="220"/>
      <c r="Z19" s="220"/>
      <c r="AA19" s="220"/>
    </row>
    <row r="20" spans="1:27" ht="12.75" customHeight="1" x14ac:dyDescent="0.3">
      <c r="A20" s="229"/>
      <c r="B20" s="229"/>
      <c r="C20" s="221"/>
      <c r="D20" s="303"/>
      <c r="E20" s="304" t="str">
        <f>IFERROR(IF(ISBLANK(C20),IF(ISBLANK(D20),"",VLOOKUP(D20,Subrecipient!$D$13:$E$200,2,FALSE)),VLOOKUP(C20,Subrecipient!$C$13:$E$200,3,FALSE)),"Not Found")</f>
        <v/>
      </c>
      <c r="F20" s="220"/>
      <c r="G20" s="284"/>
      <c r="H20" s="277"/>
      <c r="I20" s="304" t="str">
        <f t="shared" si="0"/>
        <v/>
      </c>
      <c r="J20" s="220"/>
      <c r="K20" s="254"/>
      <c r="L20" s="222"/>
      <c r="M20" s="223"/>
      <c r="N20" s="223"/>
      <c r="O20" s="223"/>
      <c r="P20" s="222"/>
      <c r="Q20" s="285"/>
      <c r="R20" s="220"/>
      <c r="S20" s="220"/>
      <c r="T20" s="220"/>
      <c r="U20" s="220"/>
      <c r="V20" s="220"/>
      <c r="W20" s="277"/>
      <c r="X20" s="277"/>
      <c r="Y20" s="220"/>
      <c r="Z20" s="220"/>
      <c r="AA20" s="220"/>
    </row>
    <row r="21" spans="1:27" ht="12.75" customHeight="1" x14ac:dyDescent="0.3">
      <c r="A21" s="229"/>
      <c r="B21" s="229"/>
      <c r="C21" s="221"/>
      <c r="D21" s="221"/>
      <c r="E21" s="304" t="str">
        <f>IFERROR(IF(ISBLANK(C21),IF(ISBLANK(D21),"",VLOOKUP(D21,Subrecipient!$D$13:$E$200,2,FALSE)),VLOOKUP(C21,Subrecipient!$C$13:$E$200,3,FALSE)),"Not Found")</f>
        <v/>
      </c>
      <c r="F21" s="220"/>
      <c r="G21" s="284"/>
      <c r="H21" s="277"/>
      <c r="I21" s="304" t="str">
        <f t="shared" si="0"/>
        <v/>
      </c>
      <c r="J21" s="220"/>
      <c r="K21" s="254"/>
      <c r="L21" s="222"/>
      <c r="M21" s="223"/>
      <c r="N21" s="223"/>
      <c r="O21" s="223"/>
      <c r="P21" s="222"/>
      <c r="Q21" s="285"/>
      <c r="R21" s="220"/>
      <c r="S21" s="220"/>
      <c r="T21" s="220"/>
      <c r="U21" s="220"/>
      <c r="V21" s="220"/>
      <c r="W21" s="277"/>
      <c r="X21" s="277"/>
      <c r="Y21" s="220"/>
      <c r="Z21" s="220"/>
      <c r="AA21" s="220"/>
    </row>
    <row r="22" spans="1:27" ht="12.75" customHeight="1" x14ac:dyDescent="0.3">
      <c r="A22" s="229"/>
      <c r="B22" s="229"/>
      <c r="C22" s="221"/>
      <c r="D22" s="221"/>
      <c r="E22" s="304" t="str">
        <f>IFERROR(IF(ISBLANK(C22),IF(ISBLANK(D22),"",VLOOKUP(D22,Subrecipient!$D$13:$E$200,2,FALSE)),VLOOKUP(C22,Subrecipient!$C$13:$E$200,3,FALSE)),"Not Found")</f>
        <v/>
      </c>
      <c r="F22" s="220"/>
      <c r="G22" s="284"/>
      <c r="H22" s="277"/>
      <c r="I22" s="304" t="str">
        <f t="shared" si="0"/>
        <v/>
      </c>
      <c r="J22" s="220"/>
      <c r="K22" s="254"/>
      <c r="L22" s="222"/>
      <c r="M22" s="223"/>
      <c r="N22" s="223"/>
      <c r="O22" s="223"/>
      <c r="P22" s="222"/>
      <c r="Q22" s="285"/>
      <c r="R22" s="220"/>
      <c r="S22" s="220"/>
      <c r="T22" s="220"/>
      <c r="U22" s="220"/>
      <c r="V22" s="220"/>
      <c r="W22" s="277"/>
      <c r="X22" s="277"/>
      <c r="Y22" s="220"/>
      <c r="Z22" s="220"/>
      <c r="AA22" s="220"/>
    </row>
    <row r="23" spans="1:27" ht="12.75" customHeight="1" x14ac:dyDescent="0.3">
      <c r="A23" s="229"/>
      <c r="B23" s="229"/>
      <c r="C23" s="221"/>
      <c r="D23" s="221"/>
      <c r="E23" s="304" t="str">
        <f>IFERROR(IF(ISBLANK(C23),IF(ISBLANK(D23),"",VLOOKUP(D23,Subrecipient!$D$13:$E$200,2,FALSE)),VLOOKUP(C23,Subrecipient!$C$13:$E$200,3,FALSE)),"Not Found")</f>
        <v/>
      </c>
      <c r="F23" s="220"/>
      <c r="G23" s="284"/>
      <c r="H23" s="277"/>
      <c r="I23" s="304" t="str">
        <f t="shared" si="0"/>
        <v/>
      </c>
      <c r="J23" s="220"/>
      <c r="K23" s="254"/>
      <c r="L23" s="222"/>
      <c r="M23" s="223"/>
      <c r="N23" s="223"/>
      <c r="O23" s="223"/>
      <c r="P23" s="222"/>
      <c r="Q23" s="285"/>
      <c r="R23" s="220"/>
      <c r="S23" s="220"/>
      <c r="T23" s="220"/>
      <c r="U23" s="220"/>
      <c r="V23" s="220"/>
      <c r="W23" s="277"/>
      <c r="X23" s="277"/>
      <c r="Y23" s="220"/>
      <c r="Z23" s="220"/>
      <c r="AA23" s="220"/>
    </row>
    <row r="24" spans="1:27" ht="12.75" customHeight="1" x14ac:dyDescent="0.3">
      <c r="A24" s="229"/>
      <c r="B24" s="229"/>
      <c r="C24" s="221"/>
      <c r="D24" s="221"/>
      <c r="E24" s="304" t="str">
        <f>IFERROR(IF(ISBLANK(C24),IF(ISBLANK(D24),"",VLOOKUP(D24,Subrecipient!$D$13:$E$200,2,FALSE)),VLOOKUP(C24,Subrecipient!$C$13:$E$200,3,FALSE)),"Not Found")</f>
        <v/>
      </c>
      <c r="F24" s="220"/>
      <c r="G24" s="284"/>
      <c r="H24" s="277"/>
      <c r="I24" s="304" t="str">
        <f t="shared" si="0"/>
        <v/>
      </c>
      <c r="J24" s="220"/>
      <c r="K24" s="254"/>
      <c r="L24" s="222"/>
      <c r="M24" s="223"/>
      <c r="N24" s="223"/>
      <c r="O24" s="223"/>
      <c r="P24" s="222"/>
      <c r="Q24" s="285"/>
      <c r="R24" s="220"/>
      <c r="S24" s="220"/>
      <c r="T24" s="220"/>
      <c r="U24" s="220"/>
      <c r="V24" s="220"/>
      <c r="W24" s="277"/>
      <c r="X24" s="277"/>
      <c r="Y24" s="220"/>
      <c r="Z24" s="220"/>
      <c r="AA24" s="220"/>
    </row>
    <row r="25" spans="1:27" ht="12.75" customHeight="1" x14ac:dyDescent="0.3">
      <c r="A25" s="229"/>
      <c r="B25" s="229"/>
      <c r="C25" s="221"/>
      <c r="D25" s="221"/>
      <c r="E25" s="304" t="str">
        <f>IFERROR(IF(ISBLANK(C25),IF(ISBLANK(D25),"",VLOOKUP(D25,Subrecipient!$D$13:$E$200,2,FALSE)),VLOOKUP(C25,Subrecipient!$C$13:$E$200,3,FALSE)),"Not Found")</f>
        <v/>
      </c>
      <c r="F25" s="220"/>
      <c r="G25" s="284"/>
      <c r="H25" s="277"/>
      <c r="I25" s="304" t="str">
        <f t="shared" si="0"/>
        <v/>
      </c>
      <c r="J25" s="220"/>
      <c r="K25" s="254"/>
      <c r="L25" s="222"/>
      <c r="M25" s="223"/>
      <c r="N25" s="223"/>
      <c r="O25" s="223"/>
      <c r="P25" s="222"/>
      <c r="Q25" s="285"/>
      <c r="R25" s="220"/>
      <c r="S25" s="220"/>
      <c r="T25" s="220"/>
      <c r="U25" s="220"/>
      <c r="V25" s="220"/>
      <c r="W25" s="277"/>
      <c r="X25" s="277"/>
      <c r="Y25" s="220"/>
      <c r="Z25" s="220"/>
      <c r="AA25" s="220"/>
    </row>
    <row r="26" spans="1:27" ht="12.75" customHeight="1" x14ac:dyDescent="0.3">
      <c r="A26" s="229"/>
      <c r="B26" s="229"/>
      <c r="C26" s="221"/>
      <c r="D26" s="221"/>
      <c r="E26" s="304" t="str">
        <f>IFERROR(IF(ISBLANK(C26),IF(ISBLANK(D26),"",VLOOKUP(D26,Subrecipient!$D$13:$E$200,2,FALSE)),VLOOKUP(C26,Subrecipient!$C$13:$E$200,3,FALSE)),"Not Found")</f>
        <v/>
      </c>
      <c r="F26" s="220"/>
      <c r="G26" s="284"/>
      <c r="H26" s="277"/>
      <c r="I26" s="304" t="str">
        <f t="shared" si="0"/>
        <v/>
      </c>
      <c r="J26" s="220"/>
      <c r="K26" s="254"/>
      <c r="L26" s="222"/>
      <c r="M26" s="223"/>
      <c r="N26" s="223"/>
      <c r="O26" s="223"/>
      <c r="P26" s="222"/>
      <c r="Q26" s="285"/>
      <c r="R26" s="220"/>
      <c r="S26" s="220"/>
      <c r="T26" s="220"/>
      <c r="U26" s="220"/>
      <c r="V26" s="220"/>
      <c r="W26" s="277"/>
      <c r="X26" s="277"/>
      <c r="Y26" s="220"/>
      <c r="Z26" s="220"/>
      <c r="AA26" s="220"/>
    </row>
    <row r="27" spans="1:27" ht="12.75" customHeight="1" x14ac:dyDescent="0.3">
      <c r="A27" s="229"/>
      <c r="B27" s="229"/>
      <c r="C27" s="221"/>
      <c r="D27" s="221"/>
      <c r="E27" s="304" t="str">
        <f>IFERROR(IF(ISBLANK(C27),IF(ISBLANK(D27),"",VLOOKUP(D27,Subrecipient!$D$13:$E$200,2,FALSE)),VLOOKUP(C27,Subrecipient!$C$13:$E$200,3,FALSE)),"Not Found")</f>
        <v/>
      </c>
      <c r="F27" s="220"/>
      <c r="G27" s="284"/>
      <c r="H27" s="277"/>
      <c r="I27" s="304" t="str">
        <f t="shared" si="0"/>
        <v/>
      </c>
      <c r="J27" s="220"/>
      <c r="K27" s="254"/>
      <c r="L27" s="222"/>
      <c r="M27" s="223"/>
      <c r="N27" s="223"/>
      <c r="O27" s="223"/>
      <c r="P27" s="222"/>
      <c r="Q27" s="285"/>
      <c r="R27" s="220"/>
      <c r="S27" s="220"/>
      <c r="T27" s="220"/>
      <c r="U27" s="220"/>
      <c r="V27" s="220"/>
      <c r="W27" s="277"/>
      <c r="X27" s="277"/>
      <c r="Y27" s="220"/>
      <c r="Z27" s="220"/>
      <c r="AA27" s="220"/>
    </row>
    <row r="28" spans="1:27" ht="12.75" customHeight="1" x14ac:dyDescent="0.3">
      <c r="A28" s="229"/>
      <c r="B28" s="229"/>
      <c r="C28" s="221"/>
      <c r="D28" s="221"/>
      <c r="E28" s="304" t="str">
        <f>IFERROR(IF(ISBLANK(C28),IF(ISBLANK(D28),"",VLOOKUP(D28,Subrecipient!$D$13:$E$200,2,FALSE)),VLOOKUP(C28,Subrecipient!$C$13:$E$200,3,FALSE)),"Not Found")</f>
        <v/>
      </c>
      <c r="F28" s="220"/>
      <c r="G28" s="284"/>
      <c r="H28" s="277"/>
      <c r="I28" s="304" t="str">
        <f t="shared" si="0"/>
        <v/>
      </c>
      <c r="J28" s="220"/>
      <c r="K28" s="254"/>
      <c r="L28" s="222"/>
      <c r="M28" s="223"/>
      <c r="N28" s="223"/>
      <c r="O28" s="223"/>
      <c r="P28" s="222"/>
      <c r="Q28" s="285"/>
      <c r="R28" s="220"/>
      <c r="S28" s="220"/>
      <c r="T28" s="220"/>
      <c r="U28" s="220"/>
      <c r="V28" s="220"/>
      <c r="W28" s="277"/>
      <c r="X28" s="277"/>
      <c r="Y28" s="220"/>
      <c r="Z28" s="220"/>
      <c r="AA28" s="220"/>
    </row>
    <row r="29" spans="1:27" ht="12.75" customHeight="1" x14ac:dyDescent="0.3">
      <c r="A29" s="229"/>
      <c r="B29" s="229"/>
      <c r="C29" s="221"/>
      <c r="D29" s="221"/>
      <c r="E29" s="304" t="str">
        <f>IFERROR(IF(ISBLANK(C29),IF(ISBLANK(D29),"",VLOOKUP(D29,Subrecipient!$D$13:$E$200,2,FALSE)),VLOOKUP(C29,Subrecipient!$C$13:$E$200,3,FALSE)),"Not Found")</f>
        <v/>
      </c>
      <c r="F29" s="220"/>
      <c r="G29" s="284"/>
      <c r="H29" s="277"/>
      <c r="I29" s="304" t="str">
        <f t="shared" si="0"/>
        <v/>
      </c>
      <c r="J29" s="220"/>
      <c r="K29" s="254"/>
      <c r="L29" s="222"/>
      <c r="M29" s="223"/>
      <c r="N29" s="223"/>
      <c r="O29" s="223"/>
      <c r="P29" s="222"/>
      <c r="Q29" s="285"/>
      <c r="R29" s="220"/>
      <c r="S29" s="220"/>
      <c r="T29" s="220"/>
      <c r="U29" s="220"/>
      <c r="V29" s="220"/>
      <c r="W29" s="277"/>
      <c r="X29" s="277"/>
      <c r="Y29" s="220"/>
      <c r="Z29" s="220"/>
      <c r="AA29" s="220"/>
    </row>
    <row r="30" spans="1:27" ht="12.75" customHeight="1" x14ac:dyDescent="0.3">
      <c r="A30" s="229"/>
      <c r="B30" s="229"/>
      <c r="C30" s="221"/>
      <c r="D30" s="221"/>
      <c r="E30" s="304" t="str">
        <f>IFERROR(IF(ISBLANK(C30),IF(ISBLANK(D30),"",VLOOKUP(D30,Subrecipient!$D$13:$E$200,2,FALSE)),VLOOKUP(C30,Subrecipient!$C$13:$E$200,3,FALSE)),"Not Found")</f>
        <v/>
      </c>
      <c r="F30" s="220"/>
      <c r="G30" s="284"/>
      <c r="H30" s="277"/>
      <c r="I30" s="304" t="str">
        <f t="shared" si="0"/>
        <v/>
      </c>
      <c r="J30" s="220"/>
      <c r="K30" s="254"/>
      <c r="L30" s="222"/>
      <c r="M30" s="223"/>
      <c r="N30" s="223"/>
      <c r="O30" s="223"/>
      <c r="P30" s="222"/>
      <c r="Q30" s="285"/>
      <c r="R30" s="220"/>
      <c r="S30" s="220"/>
      <c r="T30" s="220"/>
      <c r="U30" s="220"/>
      <c r="V30" s="220"/>
      <c r="W30" s="277"/>
      <c r="X30" s="277"/>
      <c r="Y30" s="220"/>
      <c r="Z30" s="220"/>
      <c r="AA30" s="220"/>
    </row>
    <row r="31" spans="1:27" ht="12.75" customHeight="1" x14ac:dyDescent="0.3">
      <c r="A31" s="229"/>
      <c r="B31" s="229"/>
      <c r="C31" s="221"/>
      <c r="D31" s="221"/>
      <c r="E31" s="304" t="str">
        <f>IFERROR(IF(ISBLANK(C31),IF(ISBLANK(D31),"",VLOOKUP(D31,Subrecipient!$D$13:$E$200,2,FALSE)),VLOOKUP(C31,Subrecipient!$C$13:$E$200,3,FALSE)),"Not Found")</f>
        <v/>
      </c>
      <c r="F31" s="220"/>
      <c r="G31" s="284"/>
      <c r="H31" s="277"/>
      <c r="I31" s="304" t="str">
        <f t="shared" si="0"/>
        <v/>
      </c>
      <c r="J31" s="220"/>
      <c r="K31" s="254"/>
      <c r="L31" s="222"/>
      <c r="M31" s="223"/>
      <c r="N31" s="223"/>
      <c r="O31" s="223"/>
      <c r="P31" s="222"/>
      <c r="Q31" s="285"/>
      <c r="R31" s="220"/>
      <c r="S31" s="220"/>
      <c r="T31" s="220"/>
      <c r="U31" s="220"/>
      <c r="V31" s="220"/>
      <c r="W31" s="277"/>
      <c r="X31" s="277"/>
      <c r="Y31" s="220"/>
      <c r="Z31" s="220"/>
      <c r="AA31" s="220"/>
    </row>
    <row r="32" spans="1:27" ht="12.75" customHeight="1" x14ac:dyDescent="0.3">
      <c r="A32" s="229"/>
      <c r="B32" s="229"/>
      <c r="C32" s="221"/>
      <c r="D32" s="221"/>
      <c r="E32" s="304" t="str">
        <f>IFERROR(IF(ISBLANK(C32),IF(ISBLANK(D32),"",VLOOKUP(D32,Subrecipient!$D$13:$E$200,2,FALSE)),VLOOKUP(C32,Subrecipient!$C$13:$E$200,3,FALSE)),"Not Found")</f>
        <v/>
      </c>
      <c r="F32" s="220"/>
      <c r="G32" s="284"/>
      <c r="H32" s="277"/>
      <c r="I32" s="304" t="str">
        <f t="shared" si="0"/>
        <v/>
      </c>
      <c r="J32" s="220"/>
      <c r="K32" s="254"/>
      <c r="L32" s="222"/>
      <c r="M32" s="223"/>
      <c r="N32" s="223"/>
      <c r="O32" s="223"/>
      <c r="P32" s="222"/>
      <c r="Q32" s="285"/>
      <c r="R32" s="220"/>
      <c r="S32" s="220"/>
      <c r="T32" s="220"/>
      <c r="U32" s="220"/>
      <c r="V32" s="220"/>
      <c r="W32" s="277"/>
      <c r="X32" s="277"/>
      <c r="Y32" s="220"/>
      <c r="Z32" s="220"/>
      <c r="AA32" s="220"/>
    </row>
    <row r="33" spans="1:27" ht="12.75" customHeight="1" x14ac:dyDescent="0.3">
      <c r="A33" s="229"/>
      <c r="B33" s="229"/>
      <c r="C33" s="221"/>
      <c r="D33" s="221"/>
      <c r="E33" s="304" t="str">
        <f>IFERROR(IF(ISBLANK(C33),IF(ISBLANK(D33),"",VLOOKUP(D33,Subrecipient!$D$13:$E$200,2,FALSE)),VLOOKUP(C33,Subrecipient!$C$13:$E$200,3,FALSE)),"Not Found")</f>
        <v/>
      </c>
      <c r="F33" s="220"/>
      <c r="G33" s="284"/>
      <c r="H33" s="277"/>
      <c r="I33" s="304" t="str">
        <f t="shared" si="0"/>
        <v/>
      </c>
      <c r="J33" s="220"/>
      <c r="K33" s="254"/>
      <c r="L33" s="222"/>
      <c r="M33" s="223"/>
      <c r="N33" s="223"/>
      <c r="O33" s="223"/>
      <c r="P33" s="222"/>
      <c r="Q33" s="285"/>
      <c r="R33" s="220"/>
      <c r="S33" s="220"/>
      <c r="T33" s="220"/>
      <c r="U33" s="220"/>
      <c r="V33" s="220"/>
      <c r="W33" s="277"/>
      <c r="X33" s="277"/>
      <c r="Y33" s="220"/>
      <c r="Z33" s="220"/>
      <c r="AA33" s="220"/>
    </row>
    <row r="34" spans="1:27" ht="12.75" customHeight="1" x14ac:dyDescent="0.3">
      <c r="A34" s="229"/>
      <c r="B34" s="229"/>
      <c r="C34" s="221"/>
      <c r="D34" s="221"/>
      <c r="E34" s="304" t="str">
        <f>IFERROR(IF(ISBLANK(C34),IF(ISBLANK(D34),"",VLOOKUP(D34,Subrecipient!$D$13:$E$200,2,FALSE)),VLOOKUP(C34,Subrecipient!$C$13:$E$200,3,FALSE)),"Not Found")</f>
        <v/>
      </c>
      <c r="F34" s="220"/>
      <c r="G34" s="284"/>
      <c r="H34" s="277"/>
      <c r="I34" s="304" t="str">
        <f t="shared" si="0"/>
        <v/>
      </c>
      <c r="J34" s="220"/>
      <c r="K34" s="254"/>
      <c r="L34" s="222"/>
      <c r="M34" s="223"/>
      <c r="N34" s="223"/>
      <c r="O34" s="223"/>
      <c r="P34" s="222"/>
      <c r="Q34" s="285"/>
      <c r="R34" s="220"/>
      <c r="S34" s="220"/>
      <c r="T34" s="220"/>
      <c r="U34" s="220"/>
      <c r="V34" s="220"/>
      <c r="W34" s="277"/>
      <c r="X34" s="277"/>
      <c r="Y34" s="220"/>
      <c r="Z34" s="220"/>
      <c r="AA34" s="220"/>
    </row>
    <row r="35" spans="1:27" ht="12.75" customHeight="1" x14ac:dyDescent="0.3">
      <c r="A35" s="229"/>
      <c r="B35" s="229"/>
      <c r="C35" s="221"/>
      <c r="D35" s="221"/>
      <c r="E35" s="304" t="str">
        <f>IFERROR(IF(ISBLANK(C35),IF(ISBLANK(D35),"",VLOOKUP(D35,Subrecipient!$D$13:$E$200,2,FALSE)),VLOOKUP(C35,Subrecipient!$C$13:$E$200,3,FALSE)),"Not Found")</f>
        <v/>
      </c>
      <c r="F35" s="220"/>
      <c r="G35" s="284"/>
      <c r="H35" s="277"/>
      <c r="I35" s="304" t="str">
        <f t="shared" si="0"/>
        <v/>
      </c>
      <c r="J35" s="220"/>
      <c r="K35" s="254"/>
      <c r="L35" s="222"/>
      <c r="M35" s="223"/>
      <c r="N35" s="223"/>
      <c r="O35" s="223"/>
      <c r="P35" s="222"/>
      <c r="Q35" s="285"/>
      <c r="R35" s="220"/>
      <c r="S35" s="220"/>
      <c r="T35" s="220"/>
      <c r="U35" s="220"/>
      <c r="V35" s="220"/>
      <c r="W35" s="277"/>
      <c r="X35" s="277"/>
      <c r="Y35" s="220"/>
      <c r="Z35" s="220"/>
      <c r="AA35" s="220"/>
    </row>
    <row r="36" spans="1:27" ht="12.75" customHeight="1" x14ac:dyDescent="0.3">
      <c r="A36" s="229"/>
      <c r="B36" s="229"/>
      <c r="C36" s="221"/>
      <c r="D36" s="221"/>
      <c r="E36" s="304" t="str">
        <f>IFERROR(IF(ISBLANK(C36),IF(ISBLANK(D36),"",VLOOKUP(D36,Subrecipient!$D$13:$E$200,2,FALSE)),VLOOKUP(C36,Subrecipient!$C$13:$E$200,3,FALSE)),"Not Found")</f>
        <v/>
      </c>
      <c r="F36" s="220"/>
      <c r="G36" s="284"/>
      <c r="H36" s="277"/>
      <c r="I36" s="304" t="str">
        <f t="shared" si="0"/>
        <v/>
      </c>
      <c r="J36" s="220"/>
      <c r="K36" s="254"/>
      <c r="L36" s="222"/>
      <c r="M36" s="223"/>
      <c r="N36" s="223"/>
      <c r="O36" s="223"/>
      <c r="P36" s="222"/>
      <c r="Q36" s="285"/>
      <c r="R36" s="220"/>
      <c r="S36" s="220"/>
      <c r="T36" s="220"/>
      <c r="U36" s="220"/>
      <c r="V36" s="220"/>
      <c r="W36" s="277"/>
      <c r="X36" s="277"/>
      <c r="Y36" s="220"/>
      <c r="Z36" s="220"/>
      <c r="AA36" s="220"/>
    </row>
    <row r="37" spans="1:27" ht="12.75" customHeight="1" x14ac:dyDescent="0.3">
      <c r="A37" s="229"/>
      <c r="B37" s="229"/>
      <c r="C37" s="221"/>
      <c r="D37" s="221"/>
      <c r="E37" s="304" t="str">
        <f>IFERROR(IF(ISBLANK(C37),IF(ISBLANK(D37),"",VLOOKUP(D37,Subrecipient!$D$13:$E$200,2,FALSE)),VLOOKUP(C37,Subrecipient!$C$13:$E$200,3,FALSE)),"Not Found")</f>
        <v/>
      </c>
      <c r="F37" s="220"/>
      <c r="G37" s="284"/>
      <c r="H37" s="277"/>
      <c r="I37" s="304" t="str">
        <f t="shared" si="0"/>
        <v/>
      </c>
      <c r="J37" s="220"/>
      <c r="K37" s="254"/>
      <c r="L37" s="222"/>
      <c r="M37" s="223"/>
      <c r="N37" s="223"/>
      <c r="O37" s="223"/>
      <c r="P37" s="222"/>
      <c r="Q37" s="285"/>
      <c r="R37" s="220"/>
      <c r="S37" s="220"/>
      <c r="T37" s="220"/>
      <c r="U37" s="220"/>
      <c r="V37" s="220"/>
      <c r="W37" s="277"/>
      <c r="X37" s="277"/>
      <c r="Y37" s="220"/>
      <c r="Z37" s="220"/>
      <c r="AA37" s="220"/>
    </row>
    <row r="38" spans="1:27" ht="12.75" customHeight="1" x14ac:dyDescent="0.3">
      <c r="A38" s="229"/>
      <c r="B38" s="229"/>
      <c r="C38" s="221"/>
      <c r="D38" s="221"/>
      <c r="E38" s="304" t="str">
        <f>IFERROR(IF(ISBLANK(C38),IF(ISBLANK(D38),"",VLOOKUP(D38,Subrecipient!$D$13:$E$200,2,FALSE)),VLOOKUP(C38,Subrecipient!$C$13:$E$200,3,FALSE)),"Not Found")</f>
        <v/>
      </c>
      <c r="F38" s="220"/>
      <c r="G38" s="284"/>
      <c r="H38" s="277"/>
      <c r="I38" s="304" t="str">
        <f t="shared" si="0"/>
        <v/>
      </c>
      <c r="J38" s="220"/>
      <c r="K38" s="254"/>
      <c r="L38" s="222"/>
      <c r="M38" s="223"/>
      <c r="N38" s="223"/>
      <c r="O38" s="223"/>
      <c r="P38" s="222"/>
      <c r="Q38" s="285"/>
      <c r="R38" s="220"/>
      <c r="S38" s="220"/>
      <c r="T38" s="220"/>
      <c r="U38" s="220"/>
      <c r="V38" s="220"/>
      <c r="W38" s="277"/>
      <c r="X38" s="277"/>
      <c r="Y38" s="220"/>
      <c r="Z38" s="220"/>
      <c r="AA38" s="220"/>
    </row>
    <row r="39" spans="1:27" ht="12.75" customHeight="1" x14ac:dyDescent="0.3">
      <c r="A39" s="229"/>
      <c r="B39" s="229"/>
      <c r="C39" s="220"/>
      <c r="D39" s="220"/>
      <c r="E39" s="304" t="str">
        <f>IFERROR(IF(ISBLANK(C39),IF(ISBLANK(D39),"",VLOOKUP(D39,Subrecipient!$D$13:$E$200,2,FALSE)),VLOOKUP(C39,Subrecipient!$C$13:$E$200,3,FALSE)),"Not Found")</f>
        <v/>
      </c>
      <c r="F39" s="220"/>
      <c r="G39" s="286"/>
      <c r="H39" s="277"/>
      <c r="I39" s="304" t="str">
        <f t="shared" si="0"/>
        <v/>
      </c>
      <c r="J39" s="220"/>
      <c r="K39" s="287"/>
      <c r="L39" s="222"/>
      <c r="M39" s="223"/>
      <c r="N39" s="223"/>
      <c r="O39" s="223"/>
      <c r="P39" s="222"/>
      <c r="Q39" s="285"/>
      <c r="R39" s="220"/>
      <c r="S39" s="220"/>
      <c r="T39" s="220"/>
      <c r="U39" s="220"/>
      <c r="V39" s="220"/>
      <c r="W39" s="220"/>
      <c r="X39" s="220"/>
      <c r="Y39" s="220"/>
      <c r="Z39" s="220"/>
      <c r="AA39" s="220"/>
    </row>
    <row r="40" spans="1:27" ht="12.75" customHeight="1" x14ac:dyDescent="0.3">
      <c r="A40" s="229"/>
      <c r="B40" s="229"/>
      <c r="C40" s="220"/>
      <c r="D40" s="220"/>
      <c r="E40" s="304" t="str">
        <f>IFERROR(IF(ISBLANK(C40),IF(ISBLANK(D40),"",VLOOKUP(D40,Subrecipient!$D$13:$E$200,2,FALSE)),VLOOKUP(C40,Subrecipient!$C$13:$E$200,3,FALSE)),"Not Found")</f>
        <v/>
      </c>
      <c r="F40" s="220"/>
      <c r="G40" s="286"/>
      <c r="H40" s="277"/>
      <c r="I40" s="304" t="str">
        <f t="shared" si="0"/>
        <v/>
      </c>
      <c r="J40" s="220"/>
      <c r="K40" s="287"/>
      <c r="L40" s="222"/>
      <c r="M40" s="223"/>
      <c r="N40" s="223"/>
      <c r="O40" s="223"/>
      <c r="P40" s="222"/>
      <c r="Q40" s="285"/>
      <c r="R40" s="220"/>
      <c r="S40" s="220"/>
      <c r="T40" s="220"/>
      <c r="U40" s="220"/>
      <c r="V40" s="220"/>
      <c r="W40" s="220"/>
      <c r="X40" s="220"/>
      <c r="Y40" s="220"/>
      <c r="Z40" s="220"/>
      <c r="AA40" s="220"/>
    </row>
    <row r="41" spans="1:27" ht="12.75" customHeight="1" x14ac:dyDescent="0.3">
      <c r="A41" s="229"/>
      <c r="B41" s="229"/>
      <c r="C41" s="220"/>
      <c r="D41" s="220"/>
      <c r="E41" s="304" t="str">
        <f>IFERROR(IF(ISBLANK(C41),IF(ISBLANK(D41),"",VLOOKUP(D41,Subrecipient!$D$13:$E$200,2,FALSE)),VLOOKUP(C41,Subrecipient!$C$13:$E$200,3,FALSE)),"Not Found")</f>
        <v/>
      </c>
      <c r="F41" s="220"/>
      <c r="G41" s="286"/>
      <c r="H41" s="277"/>
      <c r="I41" s="304" t="str">
        <f t="shared" si="0"/>
        <v/>
      </c>
      <c r="J41" s="220"/>
      <c r="K41" s="287"/>
      <c r="L41" s="222"/>
      <c r="M41" s="223"/>
      <c r="N41" s="223"/>
      <c r="O41" s="223"/>
      <c r="P41" s="222"/>
      <c r="Q41" s="285"/>
      <c r="R41" s="220"/>
      <c r="S41" s="220"/>
      <c r="T41" s="220"/>
      <c r="U41" s="220"/>
      <c r="V41" s="220"/>
      <c r="W41" s="220"/>
      <c r="X41" s="220"/>
      <c r="Y41" s="220"/>
      <c r="Z41" s="220"/>
      <c r="AA41" s="220"/>
    </row>
    <row r="42" spans="1:27" ht="12.75" customHeight="1" x14ac:dyDescent="0.3">
      <c r="A42" s="229"/>
      <c r="B42" s="229"/>
      <c r="C42" s="220"/>
      <c r="D42" s="220"/>
      <c r="E42" s="304" t="str">
        <f>IFERROR(IF(ISBLANK(C42),IF(ISBLANK(D42),"",VLOOKUP(D42,Subrecipient!$D$13:$E$200,2,FALSE)),VLOOKUP(C42,Subrecipient!$C$13:$E$200,3,FALSE)),"Not Found")</f>
        <v/>
      </c>
      <c r="F42" s="220"/>
      <c r="G42" s="286"/>
      <c r="H42" s="277"/>
      <c r="I42" s="304" t="str">
        <f t="shared" si="0"/>
        <v/>
      </c>
      <c r="J42" s="220"/>
      <c r="K42" s="287"/>
      <c r="L42" s="222"/>
      <c r="M42" s="223"/>
      <c r="N42" s="223"/>
      <c r="O42" s="223"/>
      <c r="P42" s="222"/>
      <c r="Q42" s="285"/>
      <c r="R42" s="220"/>
      <c r="S42" s="220"/>
      <c r="T42" s="220"/>
      <c r="U42" s="220"/>
      <c r="V42" s="220"/>
      <c r="W42" s="220"/>
      <c r="X42" s="220"/>
      <c r="Y42" s="220"/>
      <c r="Z42" s="220"/>
      <c r="AA42" s="220"/>
    </row>
    <row r="43" spans="1:27" ht="12.75" customHeight="1" x14ac:dyDescent="0.3">
      <c r="A43" s="229"/>
      <c r="B43" s="229"/>
      <c r="C43" s="220"/>
      <c r="D43" s="220"/>
      <c r="E43" s="304" t="str">
        <f>IFERROR(IF(ISBLANK(C43),IF(ISBLANK(D43),"",VLOOKUP(D43,Subrecipient!$D$13:$E$200,2,FALSE)),VLOOKUP(C43,Subrecipient!$C$13:$E$200,3,FALSE)),"Not Found")</f>
        <v/>
      </c>
      <c r="F43" s="220"/>
      <c r="G43" s="286"/>
      <c r="H43" s="277"/>
      <c r="I43" s="304" t="str">
        <f t="shared" si="0"/>
        <v/>
      </c>
      <c r="J43" s="220"/>
      <c r="K43" s="287"/>
      <c r="L43" s="222"/>
      <c r="M43" s="223"/>
      <c r="N43" s="223"/>
      <c r="O43" s="223"/>
      <c r="P43" s="222"/>
      <c r="Q43" s="285"/>
      <c r="R43" s="220"/>
      <c r="S43" s="220"/>
      <c r="T43" s="220"/>
      <c r="U43" s="220"/>
      <c r="V43" s="220"/>
      <c r="W43" s="220"/>
      <c r="X43" s="220"/>
      <c r="Y43" s="220"/>
      <c r="Z43" s="220"/>
      <c r="AA43" s="220"/>
    </row>
    <row r="44" spans="1:27" ht="12.75" customHeight="1" x14ac:dyDescent="0.3">
      <c r="A44" s="229"/>
      <c r="B44" s="229"/>
      <c r="C44" s="220"/>
      <c r="D44" s="220"/>
      <c r="E44" s="304" t="str">
        <f>IFERROR(IF(ISBLANK(C44),IF(ISBLANK(D44),"",VLOOKUP(D44,Subrecipient!$D$13:$E$200,2,FALSE)),VLOOKUP(C44,Subrecipient!$C$13:$E$200,3,FALSE)),"Not Found")</f>
        <v/>
      </c>
      <c r="F44" s="220"/>
      <c r="G44" s="286"/>
      <c r="H44" s="277"/>
      <c r="I44" s="304" t="str">
        <f t="shared" si="0"/>
        <v/>
      </c>
      <c r="J44" s="220"/>
      <c r="K44" s="287"/>
      <c r="L44" s="222"/>
      <c r="M44" s="223"/>
      <c r="N44" s="223"/>
      <c r="O44" s="223"/>
      <c r="P44" s="222"/>
      <c r="Q44" s="285"/>
      <c r="R44" s="220"/>
      <c r="S44" s="220"/>
      <c r="T44" s="220"/>
      <c r="U44" s="220"/>
      <c r="V44" s="220"/>
      <c r="W44" s="220"/>
      <c r="X44" s="220"/>
      <c r="Y44" s="220"/>
      <c r="Z44" s="220"/>
      <c r="AA44" s="220"/>
    </row>
    <row r="45" spans="1:27" ht="12.75" customHeight="1" x14ac:dyDescent="0.3">
      <c r="A45" s="229"/>
      <c r="B45" s="229"/>
      <c r="C45" s="220"/>
      <c r="D45" s="220"/>
      <c r="E45" s="304" t="str">
        <f>IFERROR(IF(ISBLANK(C45),IF(ISBLANK(D45),"",VLOOKUP(D45,Subrecipient!$D$13:$E$200,2,FALSE)),VLOOKUP(C45,Subrecipient!$C$13:$E$200,3,FALSE)),"Not Found")</f>
        <v/>
      </c>
      <c r="F45" s="220"/>
      <c r="G45" s="286"/>
      <c r="H45" s="277"/>
      <c r="I45" s="304" t="str">
        <f t="shared" si="0"/>
        <v/>
      </c>
      <c r="J45" s="220"/>
      <c r="K45" s="287"/>
      <c r="L45" s="222"/>
      <c r="M45" s="223"/>
      <c r="N45" s="223"/>
      <c r="O45" s="223"/>
      <c r="P45" s="222"/>
      <c r="Q45" s="285"/>
      <c r="R45" s="220"/>
      <c r="S45" s="220"/>
      <c r="T45" s="220"/>
      <c r="U45" s="220"/>
      <c r="V45" s="220"/>
      <c r="W45" s="220"/>
      <c r="X45" s="220"/>
      <c r="Y45" s="220"/>
      <c r="Z45" s="220"/>
      <c r="AA45" s="220"/>
    </row>
    <row r="46" spans="1:27" ht="12.75" customHeight="1" x14ac:dyDescent="0.3">
      <c r="A46" s="229"/>
      <c r="B46" s="229"/>
      <c r="C46" s="220"/>
      <c r="D46" s="220"/>
      <c r="E46" s="304" t="str">
        <f>IFERROR(IF(ISBLANK(C46),IF(ISBLANK(D46),"",VLOOKUP(D46,Subrecipient!$D$13:$E$200,2,FALSE)),VLOOKUP(C46,Subrecipient!$C$13:$E$200,3,FALSE)),"Not Found")</f>
        <v/>
      </c>
      <c r="F46" s="220"/>
      <c r="G46" s="286"/>
      <c r="H46" s="277"/>
      <c r="I46" s="304" t="str">
        <f t="shared" si="0"/>
        <v/>
      </c>
      <c r="J46" s="220"/>
      <c r="K46" s="287"/>
      <c r="L46" s="222"/>
      <c r="M46" s="223"/>
      <c r="N46" s="223"/>
      <c r="O46" s="223"/>
      <c r="P46" s="222"/>
      <c r="Q46" s="285"/>
      <c r="R46" s="220"/>
      <c r="S46" s="220"/>
      <c r="T46" s="220"/>
      <c r="U46" s="220"/>
      <c r="V46" s="220"/>
      <c r="W46" s="220"/>
      <c r="X46" s="220"/>
      <c r="Y46" s="220"/>
      <c r="Z46" s="220"/>
      <c r="AA46" s="220"/>
    </row>
    <row r="47" spans="1:27" ht="12.75" customHeight="1" x14ac:dyDescent="0.3">
      <c r="A47" s="229"/>
      <c r="B47" s="229"/>
      <c r="C47" s="220"/>
      <c r="D47" s="220"/>
      <c r="E47" s="304" t="str">
        <f>IFERROR(IF(ISBLANK(C47),IF(ISBLANK(D47),"",VLOOKUP(D47,Subrecipient!$D$13:$E$200,2,FALSE)),VLOOKUP(C47,Subrecipient!$C$13:$E$200,3,FALSE)),"Not Found")</f>
        <v/>
      </c>
      <c r="F47" s="220"/>
      <c r="G47" s="286"/>
      <c r="H47" s="277"/>
      <c r="I47" s="304" t="str">
        <f t="shared" si="0"/>
        <v/>
      </c>
      <c r="J47" s="220"/>
      <c r="K47" s="287"/>
      <c r="L47" s="222"/>
      <c r="M47" s="223"/>
      <c r="N47" s="223"/>
      <c r="O47" s="223"/>
      <c r="P47" s="222"/>
      <c r="Q47" s="285"/>
      <c r="R47" s="220"/>
      <c r="S47" s="220"/>
      <c r="T47" s="220"/>
      <c r="U47" s="220"/>
      <c r="V47" s="220"/>
      <c r="W47" s="220"/>
      <c r="X47" s="220"/>
      <c r="Y47" s="220"/>
      <c r="Z47" s="220"/>
      <c r="AA47" s="220"/>
    </row>
    <row r="48" spans="1:27" ht="12.75" customHeight="1" x14ac:dyDescent="0.3">
      <c r="A48" s="229"/>
      <c r="B48" s="229"/>
      <c r="C48" s="220"/>
      <c r="D48" s="220"/>
      <c r="E48" s="304" t="str">
        <f>IFERROR(IF(ISBLANK(C48),IF(ISBLANK(D48),"",VLOOKUP(D48,Subrecipient!$D$13:$E$200,2,FALSE)),VLOOKUP(C48,Subrecipient!$C$13:$E$200,3,FALSE)),"Not Found")</f>
        <v/>
      </c>
      <c r="F48" s="220"/>
      <c r="G48" s="286"/>
      <c r="H48" s="277"/>
      <c r="I48" s="304" t="str">
        <f t="shared" si="0"/>
        <v/>
      </c>
      <c r="J48" s="220"/>
      <c r="K48" s="287"/>
      <c r="L48" s="222"/>
      <c r="M48" s="223"/>
      <c r="N48" s="223"/>
      <c r="O48" s="223"/>
      <c r="P48" s="222"/>
      <c r="Q48" s="285"/>
      <c r="R48" s="220"/>
      <c r="S48" s="220"/>
      <c r="T48" s="220"/>
      <c r="U48" s="220"/>
      <c r="V48" s="220"/>
      <c r="W48" s="220"/>
      <c r="X48" s="220"/>
      <c r="Y48" s="220"/>
      <c r="Z48" s="220"/>
      <c r="AA48" s="220"/>
    </row>
    <row r="49" spans="1:27" ht="12.75" customHeight="1" x14ac:dyDescent="0.3">
      <c r="A49" s="229"/>
      <c r="B49" s="229"/>
      <c r="C49" s="220"/>
      <c r="D49" s="220"/>
      <c r="E49" s="304" t="str">
        <f>IFERROR(IF(ISBLANK(C49),IF(ISBLANK(D49),"",VLOOKUP(D49,Subrecipient!$D$13:$E$200,2,FALSE)),VLOOKUP(C49,Subrecipient!$C$13:$E$200,3,FALSE)),"Not Found")</f>
        <v/>
      </c>
      <c r="F49" s="220"/>
      <c r="G49" s="286"/>
      <c r="H49" s="277"/>
      <c r="I49" s="304" t="str">
        <f t="shared" si="0"/>
        <v/>
      </c>
      <c r="J49" s="220"/>
      <c r="K49" s="287"/>
      <c r="L49" s="222"/>
      <c r="M49" s="223"/>
      <c r="N49" s="223"/>
      <c r="O49" s="223"/>
      <c r="P49" s="222"/>
      <c r="Q49" s="285"/>
      <c r="R49" s="220"/>
      <c r="S49" s="220"/>
      <c r="T49" s="220"/>
      <c r="U49" s="220"/>
      <c r="V49" s="220"/>
      <c r="W49" s="220"/>
      <c r="X49" s="220"/>
      <c r="Y49" s="220"/>
      <c r="Z49" s="220"/>
      <c r="AA49" s="220"/>
    </row>
    <row r="50" spans="1:27" ht="12.75" customHeight="1" x14ac:dyDescent="0.3">
      <c r="A50" s="229"/>
      <c r="B50" s="229"/>
      <c r="C50" s="220"/>
      <c r="D50" s="220"/>
      <c r="E50" s="304" t="str">
        <f>IFERROR(IF(ISBLANK(C50),IF(ISBLANK(D50),"",VLOOKUP(D50,Subrecipient!$D$13:$E$200,2,FALSE)),VLOOKUP(C50,Subrecipient!$C$13:$E$200,3,FALSE)),"Not Found")</f>
        <v/>
      </c>
      <c r="F50" s="220"/>
      <c r="G50" s="286"/>
      <c r="H50" s="277"/>
      <c r="I50" s="304" t="str">
        <f t="shared" si="0"/>
        <v/>
      </c>
      <c r="J50" s="220"/>
      <c r="K50" s="287"/>
      <c r="L50" s="222"/>
      <c r="M50" s="223"/>
      <c r="N50" s="223"/>
      <c r="O50" s="223"/>
      <c r="P50" s="222"/>
      <c r="Q50" s="285"/>
      <c r="R50" s="220"/>
      <c r="S50" s="220"/>
      <c r="T50" s="220"/>
      <c r="U50" s="220"/>
      <c r="V50" s="220"/>
      <c r="W50" s="220"/>
      <c r="X50" s="220"/>
      <c r="Y50" s="220"/>
      <c r="Z50" s="220"/>
      <c r="AA50" s="220"/>
    </row>
    <row r="51" spans="1:27" ht="12.75" customHeight="1" x14ac:dyDescent="0.3">
      <c r="A51" s="229"/>
      <c r="B51" s="229"/>
      <c r="C51" s="220"/>
      <c r="D51" s="220"/>
      <c r="E51" s="304" t="str">
        <f>IFERROR(IF(ISBLANK(C51),IF(ISBLANK(D51),"",VLOOKUP(D51,Subrecipient!$D$13:$E$200,2,FALSE)),VLOOKUP(C51,Subrecipient!$C$13:$E$200,3,FALSE)),"Not Found")</f>
        <v/>
      </c>
      <c r="F51" s="220"/>
      <c r="G51" s="286"/>
      <c r="H51" s="277"/>
      <c r="I51" s="304" t="str">
        <f t="shared" si="0"/>
        <v/>
      </c>
      <c r="J51" s="220"/>
      <c r="K51" s="287"/>
      <c r="L51" s="222"/>
      <c r="M51" s="223"/>
      <c r="N51" s="223"/>
      <c r="O51" s="223"/>
      <c r="P51" s="222"/>
      <c r="Q51" s="285"/>
      <c r="R51" s="220"/>
      <c r="S51" s="220"/>
      <c r="T51" s="220"/>
      <c r="U51" s="220"/>
      <c r="V51" s="220"/>
      <c r="W51" s="220"/>
      <c r="X51" s="220"/>
      <c r="Y51" s="220"/>
      <c r="Z51" s="220"/>
      <c r="AA51" s="220"/>
    </row>
    <row r="52" spans="1:27" ht="12.75" customHeight="1" x14ac:dyDescent="0.3">
      <c r="A52" s="229"/>
      <c r="B52" s="229"/>
      <c r="C52" s="220"/>
      <c r="D52" s="220"/>
      <c r="E52" s="304" t="str">
        <f>IFERROR(IF(ISBLANK(C52),IF(ISBLANK(D52),"",VLOOKUP(D52,Subrecipient!$D$13:$E$200,2,FALSE)),VLOOKUP(C52,Subrecipient!$C$13:$E$200,3,FALSE)),"Not Found")</f>
        <v/>
      </c>
      <c r="F52" s="220"/>
      <c r="G52" s="286"/>
      <c r="H52" s="277"/>
      <c r="I52" s="304" t="str">
        <f t="shared" si="0"/>
        <v/>
      </c>
      <c r="J52" s="220"/>
      <c r="K52" s="287"/>
      <c r="L52" s="222"/>
      <c r="M52" s="223"/>
      <c r="N52" s="223"/>
      <c r="O52" s="223"/>
      <c r="P52" s="222"/>
      <c r="Q52" s="285"/>
      <c r="R52" s="220"/>
      <c r="S52" s="220"/>
      <c r="T52" s="220"/>
      <c r="U52" s="220"/>
      <c r="V52" s="220"/>
      <c r="W52" s="220"/>
      <c r="X52" s="220"/>
      <c r="Y52" s="220"/>
      <c r="Z52" s="220"/>
      <c r="AA52" s="220"/>
    </row>
    <row r="53" spans="1:27" ht="12.75" customHeight="1" x14ac:dyDescent="0.3">
      <c r="A53" s="229"/>
      <c r="B53" s="229"/>
      <c r="C53" s="220"/>
      <c r="D53" s="220"/>
      <c r="E53" s="304" t="str">
        <f>IFERROR(IF(ISBLANK(C53),IF(ISBLANK(D53),"",VLOOKUP(D53,Subrecipient!$D$13:$E$200,2,FALSE)),VLOOKUP(C53,Subrecipient!$C$13:$E$200,3,FALSE)),"Not Found")</f>
        <v/>
      </c>
      <c r="F53" s="220"/>
      <c r="G53" s="286"/>
      <c r="H53" s="277"/>
      <c r="I53" s="304" t="str">
        <f t="shared" si="0"/>
        <v/>
      </c>
      <c r="J53" s="220"/>
      <c r="K53" s="287"/>
      <c r="L53" s="222"/>
      <c r="M53" s="223"/>
      <c r="N53" s="223"/>
      <c r="O53" s="223"/>
      <c r="P53" s="222"/>
      <c r="Q53" s="285"/>
      <c r="R53" s="220"/>
      <c r="S53" s="220"/>
      <c r="T53" s="220"/>
      <c r="U53" s="220"/>
      <c r="V53" s="220"/>
      <c r="W53" s="220"/>
      <c r="X53" s="220"/>
      <c r="Y53" s="220"/>
      <c r="Z53" s="220"/>
      <c r="AA53" s="220"/>
    </row>
    <row r="54" spans="1:27" ht="12.75" customHeight="1" x14ac:dyDescent="0.3">
      <c r="A54" s="229"/>
      <c r="B54" s="229"/>
      <c r="C54" s="220"/>
      <c r="D54" s="220"/>
      <c r="E54" s="304" t="str">
        <f>IFERROR(IF(ISBLANK(C54),IF(ISBLANK(D54),"",VLOOKUP(D54,Subrecipient!$D$13:$E$200,2,FALSE)),VLOOKUP(C54,Subrecipient!$C$13:$E$200,3,FALSE)),"Not Found")</f>
        <v/>
      </c>
      <c r="F54" s="220"/>
      <c r="G54" s="286"/>
      <c r="H54" s="277"/>
      <c r="I54" s="304" t="str">
        <f t="shared" si="0"/>
        <v/>
      </c>
      <c r="J54" s="220"/>
      <c r="K54" s="287"/>
      <c r="L54" s="222"/>
      <c r="M54" s="223"/>
      <c r="N54" s="223"/>
      <c r="O54" s="223"/>
      <c r="P54" s="222"/>
      <c r="Q54" s="285"/>
      <c r="R54" s="220"/>
      <c r="S54" s="220"/>
      <c r="T54" s="220"/>
      <c r="U54" s="220"/>
      <c r="V54" s="220"/>
      <c r="W54" s="220"/>
      <c r="X54" s="220"/>
      <c r="Y54" s="220"/>
      <c r="Z54" s="220"/>
      <c r="AA54" s="220"/>
    </row>
    <row r="55" spans="1:27" ht="12.75" customHeight="1" x14ac:dyDescent="0.3">
      <c r="A55" s="229"/>
      <c r="B55" s="229"/>
      <c r="C55" s="220"/>
      <c r="D55" s="220"/>
      <c r="E55" s="304" t="str">
        <f>IFERROR(IF(ISBLANK(C55),IF(ISBLANK(D55),"",VLOOKUP(D55,Subrecipient!$D$13:$E$200,2,FALSE)),VLOOKUP(C55,Subrecipient!$C$13:$E$200,3,FALSE)),"Not Found")</f>
        <v/>
      </c>
      <c r="F55" s="220"/>
      <c r="G55" s="286"/>
      <c r="H55" s="277"/>
      <c r="I55" s="304" t="str">
        <f t="shared" si="0"/>
        <v/>
      </c>
      <c r="J55" s="220"/>
      <c r="K55" s="287"/>
      <c r="L55" s="222"/>
      <c r="M55" s="223"/>
      <c r="N55" s="223"/>
      <c r="O55" s="223"/>
      <c r="P55" s="222"/>
      <c r="Q55" s="285"/>
      <c r="R55" s="220"/>
      <c r="S55" s="220"/>
      <c r="T55" s="220"/>
      <c r="U55" s="220"/>
      <c r="V55" s="220"/>
      <c r="W55" s="220"/>
      <c r="X55" s="220"/>
      <c r="Y55" s="220"/>
      <c r="Z55" s="220"/>
      <c r="AA55" s="220"/>
    </row>
    <row r="56" spans="1:27" ht="12.75" customHeight="1" x14ac:dyDescent="0.3">
      <c r="A56" s="229"/>
      <c r="B56" s="229"/>
      <c r="C56" s="220"/>
      <c r="D56" s="220"/>
      <c r="E56" s="304" t="str">
        <f>IFERROR(IF(ISBLANK(C56),IF(ISBLANK(D56),"",VLOOKUP(D56,Subrecipient!$D$13:$E$200,2,FALSE)),VLOOKUP(C56,Subrecipient!$C$13:$E$200,3,FALSE)),"Not Found")</f>
        <v/>
      </c>
      <c r="F56" s="220"/>
      <c r="G56" s="286"/>
      <c r="H56" s="277"/>
      <c r="I56" s="304" t="str">
        <f t="shared" si="0"/>
        <v/>
      </c>
      <c r="J56" s="220"/>
      <c r="K56" s="287"/>
      <c r="L56" s="222"/>
      <c r="M56" s="223"/>
      <c r="N56" s="223"/>
      <c r="O56" s="223"/>
      <c r="P56" s="222"/>
      <c r="Q56" s="285"/>
      <c r="R56" s="220"/>
      <c r="S56" s="220"/>
      <c r="T56" s="220"/>
      <c r="U56" s="220"/>
      <c r="V56" s="220"/>
      <c r="W56" s="220"/>
      <c r="X56" s="220"/>
      <c r="Y56" s="220"/>
      <c r="Z56" s="220"/>
      <c r="AA56" s="220"/>
    </row>
    <row r="57" spans="1:27" ht="12.75" customHeight="1" x14ac:dyDescent="0.3">
      <c r="A57" s="229"/>
      <c r="B57" s="229"/>
      <c r="C57" s="220"/>
      <c r="D57" s="220"/>
      <c r="E57" s="304" t="str">
        <f>IFERROR(IF(ISBLANK(C57),IF(ISBLANK(D57),"",VLOOKUP(D57,Subrecipient!$D$13:$E$200,2,FALSE)),VLOOKUP(C57,Subrecipient!$C$13:$E$200,3,FALSE)),"Not Found")</f>
        <v/>
      </c>
      <c r="F57" s="220"/>
      <c r="G57" s="286"/>
      <c r="H57" s="277"/>
      <c r="I57" s="304" t="str">
        <f t="shared" si="0"/>
        <v/>
      </c>
      <c r="J57" s="220"/>
      <c r="K57" s="287"/>
      <c r="L57" s="222"/>
      <c r="M57" s="223"/>
      <c r="N57" s="223"/>
      <c r="O57" s="223"/>
      <c r="P57" s="222"/>
      <c r="Q57" s="285"/>
      <c r="R57" s="220"/>
      <c r="S57" s="220"/>
      <c r="T57" s="220"/>
      <c r="U57" s="220"/>
      <c r="V57" s="220"/>
      <c r="W57" s="220"/>
      <c r="X57" s="220"/>
      <c r="Y57" s="220"/>
      <c r="Z57" s="220"/>
      <c r="AA57" s="220"/>
    </row>
    <row r="58" spans="1:27" ht="12.75" customHeight="1" x14ac:dyDescent="0.3">
      <c r="A58" s="229"/>
      <c r="B58" s="229"/>
      <c r="C58" s="220"/>
      <c r="D58" s="220"/>
      <c r="E58" s="304" t="str">
        <f>IFERROR(IF(ISBLANK(C58),IF(ISBLANK(D58),"",VLOOKUP(D58,Subrecipient!$D$13:$E$200,2,FALSE)),VLOOKUP(C58,Subrecipient!$C$13:$E$200,3,FALSE)),"Not Found")</f>
        <v/>
      </c>
      <c r="F58" s="220"/>
      <c r="G58" s="286"/>
      <c r="H58" s="277"/>
      <c r="I58" s="304" t="str">
        <f t="shared" si="0"/>
        <v/>
      </c>
      <c r="J58" s="220"/>
      <c r="K58" s="287"/>
      <c r="L58" s="222"/>
      <c r="M58" s="223"/>
      <c r="N58" s="223"/>
      <c r="O58" s="223"/>
      <c r="P58" s="222"/>
      <c r="Q58" s="285"/>
      <c r="R58" s="220"/>
      <c r="S58" s="220"/>
      <c r="T58" s="220"/>
      <c r="U58" s="220"/>
      <c r="V58" s="220"/>
      <c r="W58" s="220"/>
      <c r="X58" s="220"/>
      <c r="Y58" s="220"/>
      <c r="Z58" s="220"/>
      <c r="AA58" s="220"/>
    </row>
    <row r="59" spans="1:27" ht="12.75" customHeight="1" x14ac:dyDescent="0.3">
      <c r="A59" s="229"/>
      <c r="B59" s="229"/>
      <c r="C59" s="220"/>
      <c r="D59" s="220"/>
      <c r="E59" s="304" t="str">
        <f>IFERROR(IF(ISBLANK(C59),IF(ISBLANK(D59),"",VLOOKUP(D59,Subrecipient!$D$13:$E$200,2,FALSE)),VLOOKUP(C59,Subrecipient!$C$13:$E$200,3,FALSE)),"Not Found")</f>
        <v/>
      </c>
      <c r="F59" s="220"/>
      <c r="G59" s="286"/>
      <c r="H59" s="277"/>
      <c r="I59" s="304" t="str">
        <f t="shared" si="0"/>
        <v/>
      </c>
      <c r="J59" s="220"/>
      <c r="K59" s="287"/>
      <c r="L59" s="222"/>
      <c r="M59" s="223"/>
      <c r="N59" s="223"/>
      <c r="O59" s="223"/>
      <c r="P59" s="222"/>
      <c r="Q59" s="285"/>
      <c r="R59" s="220"/>
      <c r="S59" s="220"/>
      <c r="T59" s="220"/>
      <c r="U59" s="220"/>
      <c r="V59" s="220"/>
      <c r="W59" s="277"/>
      <c r="X59" s="277"/>
      <c r="Y59" s="220"/>
      <c r="Z59" s="220"/>
      <c r="AA59" s="220"/>
    </row>
    <row r="60" spans="1:27" ht="12.75" customHeight="1" x14ac:dyDescent="0.3">
      <c r="A60" s="229"/>
      <c r="B60" s="229"/>
      <c r="C60" s="220"/>
      <c r="D60" s="220"/>
      <c r="E60" s="304" t="str">
        <f>IFERROR(IF(ISBLANK(C60),IF(ISBLANK(D60),"",VLOOKUP(D60,Subrecipient!$D$13:$E$200,2,FALSE)),VLOOKUP(C60,Subrecipient!$C$13:$E$200,3,FALSE)),"Not Found")</f>
        <v/>
      </c>
      <c r="F60" s="220"/>
      <c r="G60" s="286"/>
      <c r="H60" s="277"/>
      <c r="I60" s="304" t="str">
        <f t="shared" si="0"/>
        <v/>
      </c>
      <c r="J60" s="220"/>
      <c r="K60" s="287"/>
      <c r="L60" s="222"/>
      <c r="M60" s="223"/>
      <c r="N60" s="223"/>
      <c r="O60" s="223"/>
      <c r="P60" s="222"/>
      <c r="Q60" s="285"/>
      <c r="R60" s="220"/>
      <c r="S60" s="220"/>
      <c r="T60" s="220"/>
      <c r="U60" s="220"/>
      <c r="V60" s="220"/>
      <c r="W60" s="277"/>
      <c r="X60" s="277"/>
      <c r="Y60" s="220"/>
      <c r="Z60" s="220"/>
      <c r="AA60" s="220"/>
    </row>
    <row r="61" spans="1:27" ht="12.75" customHeight="1" x14ac:dyDescent="0.3">
      <c r="A61" s="229"/>
      <c r="B61" s="229"/>
      <c r="C61" s="220"/>
      <c r="D61" s="220"/>
      <c r="E61" s="304" t="str">
        <f>IFERROR(IF(ISBLANK(C61),IF(ISBLANK(D61),"",VLOOKUP(D61,Subrecipient!$D$13:$E$200,2,FALSE)),VLOOKUP(C61,Subrecipient!$C$13:$E$200,3,FALSE)),"Not Found")</f>
        <v/>
      </c>
      <c r="F61" s="220"/>
      <c r="G61" s="286"/>
      <c r="H61" s="277"/>
      <c r="I61" s="304" t="str">
        <f t="shared" si="0"/>
        <v/>
      </c>
      <c r="J61" s="220"/>
      <c r="K61" s="287"/>
      <c r="L61" s="222"/>
      <c r="M61" s="223"/>
      <c r="N61" s="223"/>
      <c r="O61" s="223"/>
      <c r="P61" s="222"/>
      <c r="Q61" s="285"/>
      <c r="R61" s="220"/>
      <c r="S61" s="220"/>
      <c r="T61" s="220"/>
      <c r="U61" s="220"/>
      <c r="V61" s="220"/>
      <c r="W61" s="277"/>
      <c r="X61" s="277"/>
      <c r="Y61" s="220"/>
      <c r="Z61" s="220"/>
      <c r="AA61" s="220"/>
    </row>
    <row r="62" spans="1:27" ht="12.75" customHeight="1" x14ac:dyDescent="0.3">
      <c r="A62" s="229"/>
      <c r="B62" s="229"/>
      <c r="C62" s="220"/>
      <c r="D62" s="220"/>
      <c r="E62" s="304" t="str">
        <f>IFERROR(IF(ISBLANK(C62),IF(ISBLANK(D62),"",VLOOKUP(D62,Subrecipient!$D$13:$E$200,2,FALSE)),VLOOKUP(C62,Subrecipient!$C$13:$E$200,3,FALSE)),"Not Found")</f>
        <v/>
      </c>
      <c r="F62" s="220"/>
      <c r="G62" s="286"/>
      <c r="H62" s="277"/>
      <c r="I62" s="304" t="str">
        <f t="shared" si="0"/>
        <v/>
      </c>
      <c r="J62" s="220"/>
      <c r="K62" s="287"/>
      <c r="L62" s="222"/>
      <c r="M62" s="223"/>
      <c r="N62" s="223"/>
      <c r="O62" s="223"/>
      <c r="P62" s="222"/>
      <c r="Q62" s="285"/>
      <c r="R62" s="220"/>
      <c r="S62" s="220"/>
      <c r="T62" s="220"/>
      <c r="U62" s="220"/>
      <c r="V62" s="220"/>
      <c r="W62" s="277"/>
      <c r="X62" s="277"/>
      <c r="Y62" s="220"/>
      <c r="Z62" s="220"/>
      <c r="AA62" s="220"/>
    </row>
    <row r="63" spans="1:27" ht="12.75" customHeight="1" x14ac:dyDescent="0.3">
      <c r="A63" s="229"/>
      <c r="B63" s="229"/>
      <c r="C63" s="220"/>
      <c r="D63" s="220"/>
      <c r="E63" s="304" t="str">
        <f>IFERROR(IF(ISBLANK(C63),IF(ISBLANK(D63),"",VLOOKUP(D63,Subrecipient!$D$13:$E$200,2,FALSE)),VLOOKUP(C63,Subrecipient!$C$13:$E$200,3,FALSE)),"Not Found")</f>
        <v/>
      </c>
      <c r="F63" s="220"/>
      <c r="G63" s="286"/>
      <c r="H63" s="277"/>
      <c r="I63" s="304" t="str">
        <f t="shared" si="0"/>
        <v/>
      </c>
      <c r="J63" s="220"/>
      <c r="K63" s="287"/>
      <c r="L63" s="222"/>
      <c r="M63" s="223"/>
      <c r="N63" s="223"/>
      <c r="O63" s="223"/>
      <c r="P63" s="222"/>
      <c r="Q63" s="285"/>
      <c r="R63" s="220"/>
      <c r="S63" s="220"/>
      <c r="T63" s="220"/>
      <c r="U63" s="220"/>
      <c r="V63" s="220"/>
      <c r="W63" s="277"/>
      <c r="X63" s="277"/>
      <c r="Y63" s="220"/>
      <c r="Z63" s="220"/>
      <c r="AA63" s="220"/>
    </row>
    <row r="64" spans="1:27" ht="12.75" customHeight="1" x14ac:dyDescent="0.3">
      <c r="A64" s="229"/>
      <c r="B64" s="229"/>
      <c r="C64" s="220"/>
      <c r="D64" s="220"/>
      <c r="E64" s="304" t="str">
        <f>IFERROR(IF(ISBLANK(C64),IF(ISBLANK(D64),"",VLOOKUP(D64,Subrecipient!$D$13:$E$200,2,FALSE)),VLOOKUP(C64,Subrecipient!$C$13:$E$200,3,FALSE)),"Not Found")</f>
        <v/>
      </c>
      <c r="F64" s="220"/>
      <c r="G64" s="286"/>
      <c r="H64" s="277"/>
      <c r="I64" s="304" t="str">
        <f t="shared" si="0"/>
        <v/>
      </c>
      <c r="J64" s="220"/>
      <c r="K64" s="287"/>
      <c r="L64" s="222"/>
      <c r="M64" s="223"/>
      <c r="N64" s="223"/>
      <c r="O64" s="223"/>
      <c r="P64" s="222"/>
      <c r="Q64" s="285"/>
      <c r="R64" s="220"/>
      <c r="S64" s="220"/>
      <c r="T64" s="220"/>
      <c r="U64" s="220"/>
      <c r="V64" s="220"/>
      <c r="W64" s="277"/>
      <c r="X64" s="277"/>
      <c r="Y64" s="220"/>
      <c r="Z64" s="220"/>
      <c r="AA64" s="220"/>
    </row>
    <row r="65" spans="1:27" ht="12.75" customHeight="1" x14ac:dyDescent="0.3">
      <c r="A65" s="229"/>
      <c r="B65" s="229"/>
      <c r="C65" s="220"/>
      <c r="D65" s="220"/>
      <c r="E65" s="304" t="str">
        <f>IFERROR(IF(ISBLANK(C65),IF(ISBLANK(D65),"",VLOOKUP(D65,Subrecipient!$D$13:$E$200,2,FALSE)),VLOOKUP(C65,Subrecipient!$C$13:$E$200,3,FALSE)),"Not Found")</f>
        <v/>
      </c>
      <c r="F65" s="220"/>
      <c r="G65" s="286"/>
      <c r="H65" s="277"/>
      <c r="I65" s="304" t="str">
        <f t="shared" si="0"/>
        <v/>
      </c>
      <c r="J65" s="220"/>
      <c r="K65" s="287"/>
      <c r="L65" s="222"/>
      <c r="M65" s="223"/>
      <c r="N65" s="223"/>
      <c r="O65" s="223"/>
      <c r="P65" s="222"/>
      <c r="Q65" s="285"/>
      <c r="R65" s="220"/>
      <c r="S65" s="220"/>
      <c r="T65" s="220"/>
      <c r="U65" s="220"/>
      <c r="V65" s="220"/>
      <c r="W65" s="277"/>
      <c r="X65" s="277"/>
      <c r="Y65" s="220"/>
      <c r="Z65" s="220"/>
      <c r="AA65" s="220"/>
    </row>
    <row r="66" spans="1:27" ht="12.75" customHeight="1" x14ac:dyDescent="0.3">
      <c r="A66" s="229"/>
      <c r="B66" s="229"/>
      <c r="C66" s="220"/>
      <c r="D66" s="220"/>
      <c r="E66" s="304" t="str">
        <f>IFERROR(IF(ISBLANK(C66),IF(ISBLANK(D66),"",VLOOKUP(D66,Subrecipient!$D$13:$E$200,2,FALSE)),VLOOKUP(C66,Subrecipient!$C$13:$E$200,3,FALSE)),"Not Found")</f>
        <v/>
      </c>
      <c r="F66" s="220"/>
      <c r="G66" s="286"/>
      <c r="H66" s="277"/>
      <c r="I66" s="304" t="str">
        <f t="shared" si="0"/>
        <v/>
      </c>
      <c r="J66" s="220"/>
      <c r="K66" s="287"/>
      <c r="L66" s="222"/>
      <c r="M66" s="223"/>
      <c r="N66" s="223"/>
      <c r="O66" s="223"/>
      <c r="P66" s="222"/>
      <c r="Q66" s="285"/>
      <c r="R66" s="220"/>
      <c r="S66" s="220"/>
      <c r="T66" s="220"/>
      <c r="U66" s="220"/>
      <c r="V66" s="220"/>
      <c r="W66" s="277"/>
      <c r="X66" s="277"/>
      <c r="Y66" s="220"/>
      <c r="Z66" s="220"/>
      <c r="AA66" s="220"/>
    </row>
    <row r="67" spans="1:27" ht="12.75" customHeight="1" x14ac:dyDescent="0.3">
      <c r="A67" s="229"/>
      <c r="B67" s="229"/>
      <c r="C67" s="220"/>
      <c r="D67" s="220"/>
      <c r="E67" s="304" t="str">
        <f>IFERROR(IF(ISBLANK(C67),IF(ISBLANK(D67),"",VLOOKUP(D67,Subrecipient!$D$13:$E$200,2,FALSE)),VLOOKUP(C67,Subrecipient!$C$13:$E$200,3,FALSE)),"Not Found")</f>
        <v/>
      </c>
      <c r="F67" s="220"/>
      <c r="G67" s="286"/>
      <c r="H67" s="277"/>
      <c r="I67" s="304" t="str">
        <f t="shared" si="0"/>
        <v/>
      </c>
      <c r="J67" s="220"/>
      <c r="K67" s="287"/>
      <c r="L67" s="222"/>
      <c r="M67" s="223"/>
      <c r="N67" s="223"/>
      <c r="O67" s="223"/>
      <c r="P67" s="222"/>
      <c r="Q67" s="285"/>
      <c r="R67" s="220"/>
      <c r="S67" s="220"/>
      <c r="T67" s="220"/>
      <c r="U67" s="220"/>
      <c r="V67" s="220"/>
      <c r="W67" s="277"/>
      <c r="X67" s="277"/>
      <c r="Y67" s="220"/>
      <c r="Z67" s="220"/>
      <c r="AA67" s="220"/>
    </row>
    <row r="68" spans="1:27" ht="12.75" customHeight="1" x14ac:dyDescent="0.3">
      <c r="A68" s="229"/>
      <c r="B68" s="229"/>
      <c r="C68" s="220"/>
      <c r="D68" s="220"/>
      <c r="E68" s="304" t="str">
        <f>IFERROR(IF(ISBLANK(C68),IF(ISBLANK(D68),"",VLOOKUP(D68,Subrecipient!$D$13:$E$200,2,FALSE)),VLOOKUP(C68,Subrecipient!$C$13:$E$200,3,FALSE)),"Not Found")</f>
        <v/>
      </c>
      <c r="F68" s="220"/>
      <c r="G68" s="286"/>
      <c r="H68" s="277"/>
      <c r="I68" s="304" t="str">
        <f t="shared" si="0"/>
        <v/>
      </c>
      <c r="J68" s="220"/>
      <c r="K68" s="287"/>
      <c r="L68" s="222"/>
      <c r="M68" s="223"/>
      <c r="N68" s="223"/>
      <c r="O68" s="223"/>
      <c r="P68" s="222"/>
      <c r="Q68" s="285"/>
      <c r="R68" s="220"/>
      <c r="S68" s="220"/>
      <c r="T68" s="220"/>
      <c r="U68" s="220"/>
      <c r="V68" s="220"/>
      <c r="W68" s="277"/>
      <c r="X68" s="277"/>
      <c r="Y68" s="220"/>
      <c r="Z68" s="220"/>
      <c r="AA68" s="220"/>
    </row>
    <row r="69" spans="1:27" ht="12.75" customHeight="1" x14ac:dyDescent="0.3">
      <c r="A69" s="229"/>
      <c r="B69" s="229"/>
      <c r="C69" s="220"/>
      <c r="D69" s="220"/>
      <c r="E69" s="304" t="str">
        <f>IFERROR(IF(ISBLANK(C69),IF(ISBLANK(D69),"",VLOOKUP(D69,Subrecipient!$D$13:$E$200,2,FALSE)),VLOOKUP(C69,Subrecipient!$C$13:$E$200,3,FALSE)),"Not Found")</f>
        <v/>
      </c>
      <c r="F69" s="220"/>
      <c r="G69" s="286"/>
      <c r="H69" s="277"/>
      <c r="I69" s="304" t="str">
        <f t="shared" si="0"/>
        <v/>
      </c>
      <c r="J69" s="220"/>
      <c r="K69" s="287"/>
      <c r="L69" s="222"/>
      <c r="M69" s="223"/>
      <c r="N69" s="223"/>
      <c r="O69" s="223"/>
      <c r="P69" s="222"/>
      <c r="Q69" s="285"/>
      <c r="R69" s="220"/>
      <c r="S69" s="220"/>
      <c r="T69" s="220"/>
      <c r="U69" s="220"/>
      <c r="V69" s="220"/>
      <c r="W69" s="277"/>
      <c r="X69" s="277"/>
      <c r="Y69" s="220"/>
      <c r="Z69" s="220"/>
      <c r="AA69" s="220"/>
    </row>
    <row r="70" spans="1:27" ht="12.75" customHeight="1" x14ac:dyDescent="0.3">
      <c r="A70" s="229"/>
      <c r="B70" s="229"/>
      <c r="C70" s="220"/>
      <c r="D70" s="220"/>
      <c r="E70" s="304" t="str">
        <f>IFERROR(IF(ISBLANK(C70),IF(ISBLANK(D70),"",VLOOKUP(D70,Subrecipient!$D$13:$E$200,2,FALSE)),VLOOKUP(C70,Subrecipient!$C$13:$E$200,3,FALSE)),"Not Found")</f>
        <v/>
      </c>
      <c r="F70" s="220"/>
      <c r="G70" s="286"/>
      <c r="H70" s="277"/>
      <c r="I70" s="304" t="str">
        <f t="shared" si="0"/>
        <v/>
      </c>
      <c r="J70" s="220"/>
      <c r="K70" s="287"/>
      <c r="L70" s="222"/>
      <c r="M70" s="223"/>
      <c r="N70" s="223"/>
      <c r="O70" s="223"/>
      <c r="P70" s="222"/>
      <c r="Q70" s="285"/>
      <c r="R70" s="220"/>
      <c r="S70" s="220"/>
      <c r="T70" s="220"/>
      <c r="U70" s="220"/>
      <c r="V70" s="220"/>
      <c r="W70" s="277"/>
      <c r="X70" s="277"/>
      <c r="Y70" s="220"/>
      <c r="Z70" s="220"/>
      <c r="AA70" s="220"/>
    </row>
    <row r="71" spans="1:27" ht="12.75" customHeight="1" x14ac:dyDescent="0.3">
      <c r="A71" s="229"/>
      <c r="B71" s="229"/>
      <c r="C71" s="220"/>
      <c r="D71" s="220"/>
      <c r="E71" s="304" t="str">
        <f>IFERROR(IF(ISBLANK(C71),IF(ISBLANK(D71),"",VLOOKUP(D71,Subrecipient!$D$13:$E$200,2,FALSE)),VLOOKUP(C71,Subrecipient!$C$13:$E$200,3,FALSE)),"Not Found")</f>
        <v/>
      </c>
      <c r="F71" s="220"/>
      <c r="G71" s="286"/>
      <c r="H71" s="277"/>
      <c r="I71" s="304" t="str">
        <f t="shared" si="0"/>
        <v/>
      </c>
      <c r="J71" s="220"/>
      <c r="K71" s="287"/>
      <c r="L71" s="222"/>
      <c r="M71" s="223"/>
      <c r="N71" s="223"/>
      <c r="O71" s="223"/>
      <c r="P71" s="222"/>
      <c r="Q71" s="285"/>
      <c r="R71" s="220"/>
      <c r="S71" s="220"/>
      <c r="T71" s="220"/>
      <c r="U71" s="220"/>
      <c r="V71" s="220"/>
      <c r="W71" s="277"/>
      <c r="X71" s="277"/>
      <c r="Y71" s="220"/>
      <c r="Z71" s="220"/>
      <c r="AA71" s="220"/>
    </row>
    <row r="72" spans="1:27" ht="12.75" customHeight="1" x14ac:dyDescent="0.3">
      <c r="A72" s="229"/>
      <c r="B72" s="229"/>
      <c r="C72" s="220"/>
      <c r="D72" s="220"/>
      <c r="E72" s="304" t="str">
        <f>IFERROR(IF(ISBLANK(C72),IF(ISBLANK(D72),"",VLOOKUP(D72,Subrecipient!$D$13:$E$200,2,FALSE)),VLOOKUP(C72,Subrecipient!$C$13:$E$200,3,FALSE)),"Not Found")</f>
        <v/>
      </c>
      <c r="F72" s="220"/>
      <c r="G72" s="286"/>
      <c r="H72" s="277"/>
      <c r="I72" s="304" t="str">
        <f t="shared" si="0"/>
        <v/>
      </c>
      <c r="J72" s="220"/>
      <c r="K72" s="287"/>
      <c r="L72" s="222"/>
      <c r="M72" s="223"/>
      <c r="N72" s="223"/>
      <c r="O72" s="223"/>
      <c r="P72" s="222"/>
      <c r="Q72" s="285"/>
      <c r="R72" s="220"/>
      <c r="S72" s="220"/>
      <c r="T72" s="220"/>
      <c r="U72" s="220"/>
      <c r="V72" s="220"/>
      <c r="W72" s="277"/>
      <c r="X72" s="277"/>
      <c r="Y72" s="220"/>
      <c r="Z72" s="220"/>
      <c r="AA72" s="220"/>
    </row>
    <row r="73" spans="1:27" ht="12.75" customHeight="1" x14ac:dyDescent="0.3">
      <c r="A73" s="229"/>
      <c r="B73" s="229"/>
      <c r="C73" s="220"/>
      <c r="D73" s="220"/>
      <c r="E73" s="304" t="str">
        <f>IFERROR(IF(ISBLANK(C73),IF(ISBLANK(D73),"",VLOOKUP(D73,Subrecipient!$D$13:$E$200,2,FALSE)),VLOOKUP(C73,Subrecipient!$C$13:$E$200,3,FALSE)),"Not Found")</f>
        <v/>
      </c>
      <c r="F73" s="220"/>
      <c r="G73" s="286"/>
      <c r="H73" s="277"/>
      <c r="I73" s="304" t="str">
        <f t="shared" si="0"/>
        <v/>
      </c>
      <c r="J73" s="220"/>
      <c r="K73" s="287"/>
      <c r="L73" s="222"/>
      <c r="M73" s="223"/>
      <c r="N73" s="223"/>
      <c r="O73" s="223"/>
      <c r="P73" s="222"/>
      <c r="Q73" s="285"/>
      <c r="R73" s="220"/>
      <c r="S73" s="220"/>
      <c r="T73" s="220"/>
      <c r="U73" s="220"/>
      <c r="V73" s="220"/>
      <c r="W73" s="277"/>
      <c r="X73" s="277"/>
      <c r="Y73" s="220"/>
      <c r="Z73" s="220"/>
      <c r="AA73" s="220"/>
    </row>
    <row r="74" spans="1:27" ht="12.75" customHeight="1" x14ac:dyDescent="0.3">
      <c r="A74" s="229"/>
      <c r="B74" s="229"/>
      <c r="C74" s="220"/>
      <c r="D74" s="220"/>
      <c r="E74" s="304" t="str">
        <f>IFERROR(IF(ISBLANK(C74),IF(ISBLANK(D74),"",VLOOKUP(D74,Subrecipient!$D$13:$E$200,2,FALSE)),VLOOKUP(C74,Subrecipient!$C$13:$E$200,3,FALSE)),"Not Found")</f>
        <v/>
      </c>
      <c r="F74" s="220"/>
      <c r="G74" s="286"/>
      <c r="H74" s="277"/>
      <c r="I74" s="304" t="str">
        <f t="shared" si="0"/>
        <v/>
      </c>
      <c r="J74" s="220"/>
      <c r="K74" s="287"/>
      <c r="L74" s="222"/>
      <c r="M74" s="223"/>
      <c r="N74" s="223"/>
      <c r="O74" s="223"/>
      <c r="P74" s="222"/>
      <c r="Q74" s="285"/>
      <c r="R74" s="220"/>
      <c r="S74" s="220"/>
      <c r="T74" s="220"/>
      <c r="U74" s="220"/>
      <c r="V74" s="220"/>
      <c r="W74" s="277"/>
      <c r="X74" s="277"/>
      <c r="Y74" s="220"/>
      <c r="Z74" s="220"/>
      <c r="AA74" s="220"/>
    </row>
    <row r="75" spans="1:27" ht="12.75" customHeight="1" x14ac:dyDescent="0.3">
      <c r="A75" s="229"/>
      <c r="B75" s="229"/>
      <c r="C75" s="220"/>
      <c r="D75" s="220"/>
      <c r="E75" s="304" t="str">
        <f>IFERROR(IF(ISBLANK(C75),IF(ISBLANK(D75),"",VLOOKUP(D75,Subrecipient!$D$13:$E$200,2,FALSE)),VLOOKUP(C75,Subrecipient!$C$13:$E$200,3,FALSE)),"Not Found")</f>
        <v/>
      </c>
      <c r="F75" s="220"/>
      <c r="G75" s="286"/>
      <c r="H75" s="277"/>
      <c r="I75" s="304" t="str">
        <f t="shared" si="0"/>
        <v/>
      </c>
      <c r="J75" s="220"/>
      <c r="K75" s="287"/>
      <c r="L75" s="222"/>
      <c r="M75" s="223"/>
      <c r="N75" s="223"/>
      <c r="O75" s="223"/>
      <c r="P75" s="222"/>
      <c r="Q75" s="285"/>
      <c r="R75" s="220"/>
      <c r="S75" s="220"/>
      <c r="T75" s="220"/>
      <c r="U75" s="220"/>
      <c r="V75" s="220"/>
      <c r="W75" s="277"/>
      <c r="X75" s="277"/>
      <c r="Y75" s="220"/>
      <c r="Z75" s="220"/>
      <c r="AA75" s="220"/>
    </row>
    <row r="76" spans="1:27" ht="12.75" customHeight="1" x14ac:dyDescent="0.3">
      <c r="A76" s="229"/>
      <c r="B76" s="229"/>
      <c r="C76" s="220"/>
      <c r="D76" s="220"/>
      <c r="E76" s="304" t="str">
        <f>IFERROR(IF(ISBLANK(C76),IF(ISBLANK(D76),"",VLOOKUP(D76,Subrecipient!$D$13:$E$200,2,FALSE)),VLOOKUP(C76,Subrecipient!$C$13:$E$200,3,FALSE)),"Not Found")</f>
        <v/>
      </c>
      <c r="F76" s="220"/>
      <c r="G76" s="286"/>
      <c r="H76" s="277"/>
      <c r="I76" s="304" t="str">
        <f t="shared" si="0"/>
        <v/>
      </c>
      <c r="J76" s="220"/>
      <c r="K76" s="287"/>
      <c r="L76" s="222"/>
      <c r="M76" s="223"/>
      <c r="N76" s="223"/>
      <c r="O76" s="223"/>
      <c r="P76" s="222"/>
      <c r="Q76" s="285"/>
      <c r="R76" s="220"/>
      <c r="S76" s="220"/>
      <c r="T76" s="220"/>
      <c r="U76" s="220"/>
      <c r="V76" s="220"/>
      <c r="W76" s="277"/>
      <c r="X76" s="277"/>
      <c r="Y76" s="220"/>
      <c r="Z76" s="220"/>
      <c r="AA76" s="220"/>
    </row>
    <row r="77" spans="1:27" ht="12.75" customHeight="1" x14ac:dyDescent="0.3">
      <c r="A77" s="229"/>
      <c r="B77" s="229"/>
      <c r="C77" s="220"/>
      <c r="D77" s="220"/>
      <c r="E77" s="304" t="str">
        <f>IFERROR(IF(ISBLANK(C77),IF(ISBLANK(D77),"",VLOOKUP(D77,Subrecipient!$D$13:$E$200,2,FALSE)),VLOOKUP(C77,Subrecipient!$C$13:$E$200,3,FALSE)),"Not Found")</f>
        <v/>
      </c>
      <c r="F77" s="220"/>
      <c r="G77" s="286"/>
      <c r="H77" s="277"/>
      <c r="I77" s="304" t="str">
        <f t="shared" si="0"/>
        <v/>
      </c>
      <c r="J77" s="220"/>
      <c r="K77" s="287"/>
      <c r="L77" s="222"/>
      <c r="M77" s="223"/>
      <c r="N77" s="223"/>
      <c r="O77" s="223"/>
      <c r="P77" s="222"/>
      <c r="Q77" s="285"/>
      <c r="R77" s="220"/>
      <c r="S77" s="220"/>
      <c r="T77" s="220"/>
      <c r="U77" s="220"/>
      <c r="V77" s="220"/>
      <c r="W77" s="277"/>
      <c r="X77" s="277"/>
      <c r="Y77" s="220"/>
      <c r="Z77" s="220"/>
      <c r="AA77" s="220"/>
    </row>
    <row r="78" spans="1:27" ht="12.75" customHeight="1" x14ac:dyDescent="0.3">
      <c r="A78" s="229"/>
      <c r="B78" s="229"/>
      <c r="C78" s="220"/>
      <c r="D78" s="220"/>
      <c r="E78" s="304" t="str">
        <f>IFERROR(IF(ISBLANK(C78),IF(ISBLANK(D78),"",VLOOKUP(D78,Subrecipient!$D$13:$E$200,2,FALSE)),VLOOKUP(C78,Subrecipient!$C$13:$E$200,3,FALSE)),"Not Found")</f>
        <v/>
      </c>
      <c r="F78" s="220"/>
      <c r="G78" s="286"/>
      <c r="H78" s="277"/>
      <c r="I78" s="304" t="str">
        <f t="shared" ref="I78:I141" si="1">E78</f>
        <v/>
      </c>
      <c r="J78" s="220"/>
      <c r="K78" s="287"/>
      <c r="L78" s="222"/>
      <c r="M78" s="223"/>
      <c r="N78" s="223"/>
      <c r="O78" s="223"/>
      <c r="P78" s="222"/>
      <c r="Q78" s="285"/>
      <c r="R78" s="220"/>
      <c r="S78" s="220"/>
      <c r="T78" s="220"/>
      <c r="U78" s="220"/>
      <c r="V78" s="220"/>
      <c r="W78" s="277"/>
      <c r="X78" s="277"/>
      <c r="Y78" s="220"/>
      <c r="Z78" s="220"/>
      <c r="AA78" s="220"/>
    </row>
    <row r="79" spans="1:27" ht="12.75" customHeight="1" x14ac:dyDescent="0.3">
      <c r="A79" s="229"/>
      <c r="B79" s="229"/>
      <c r="C79" s="220"/>
      <c r="D79" s="220"/>
      <c r="E79" s="304" t="str">
        <f>IFERROR(IF(ISBLANK(C79),IF(ISBLANK(D79),"",VLOOKUP(D79,Subrecipient!$D$13:$E$200,2,FALSE)),VLOOKUP(C79,Subrecipient!$C$13:$E$200,3,FALSE)),"Not Found")</f>
        <v/>
      </c>
      <c r="F79" s="220"/>
      <c r="G79" s="286"/>
      <c r="H79" s="277"/>
      <c r="I79" s="304" t="str">
        <f t="shared" si="1"/>
        <v/>
      </c>
      <c r="J79" s="220"/>
      <c r="K79" s="287"/>
      <c r="L79" s="222"/>
      <c r="M79" s="223"/>
      <c r="N79" s="223"/>
      <c r="O79" s="223"/>
      <c r="P79" s="222"/>
      <c r="Q79" s="285"/>
      <c r="R79" s="220"/>
      <c r="S79" s="220"/>
      <c r="T79" s="220"/>
      <c r="U79" s="220"/>
      <c r="V79" s="220"/>
      <c r="W79" s="277"/>
      <c r="X79" s="277"/>
      <c r="Y79" s="220"/>
      <c r="Z79" s="220"/>
      <c r="AA79" s="220"/>
    </row>
    <row r="80" spans="1:27" ht="12.75" customHeight="1" x14ac:dyDescent="0.3">
      <c r="A80" s="229"/>
      <c r="B80" s="229"/>
      <c r="C80" s="220"/>
      <c r="D80" s="220"/>
      <c r="E80" s="304" t="str">
        <f>IFERROR(IF(ISBLANK(C80),IF(ISBLANK(D80),"",VLOOKUP(D80,Subrecipient!$D$13:$E$200,2,FALSE)),VLOOKUP(C80,Subrecipient!$C$13:$E$200,3,FALSE)),"Not Found")</f>
        <v/>
      </c>
      <c r="F80" s="220"/>
      <c r="G80" s="286"/>
      <c r="H80" s="277"/>
      <c r="I80" s="304" t="str">
        <f t="shared" si="1"/>
        <v/>
      </c>
      <c r="J80" s="220"/>
      <c r="K80" s="287"/>
      <c r="L80" s="222"/>
      <c r="M80" s="223"/>
      <c r="N80" s="223"/>
      <c r="O80" s="223"/>
      <c r="P80" s="222"/>
      <c r="Q80" s="285"/>
      <c r="R80" s="220"/>
      <c r="S80" s="220"/>
      <c r="T80" s="220"/>
      <c r="U80" s="220"/>
      <c r="V80" s="220"/>
      <c r="W80" s="277"/>
      <c r="X80" s="277"/>
      <c r="Y80" s="220"/>
      <c r="Z80" s="220"/>
      <c r="AA80" s="220"/>
    </row>
    <row r="81" spans="1:27" ht="12.75" customHeight="1" x14ac:dyDescent="0.3">
      <c r="A81" s="229"/>
      <c r="B81" s="229"/>
      <c r="C81" s="220"/>
      <c r="D81" s="220"/>
      <c r="E81" s="304" t="str">
        <f>IFERROR(IF(ISBLANK(C81),IF(ISBLANK(D81),"",VLOOKUP(D81,Subrecipient!$D$13:$E$200,2,FALSE)),VLOOKUP(C81,Subrecipient!$C$13:$E$200,3,FALSE)),"Not Found")</f>
        <v/>
      </c>
      <c r="F81" s="220"/>
      <c r="G81" s="286"/>
      <c r="H81" s="277"/>
      <c r="I81" s="304" t="str">
        <f t="shared" si="1"/>
        <v/>
      </c>
      <c r="J81" s="220"/>
      <c r="K81" s="287"/>
      <c r="L81" s="222"/>
      <c r="M81" s="223"/>
      <c r="N81" s="223"/>
      <c r="O81" s="223"/>
      <c r="P81" s="222"/>
      <c r="Q81" s="285"/>
      <c r="R81" s="220"/>
      <c r="S81" s="220"/>
      <c r="T81" s="220"/>
      <c r="U81" s="220"/>
      <c r="V81" s="220"/>
      <c r="W81" s="277"/>
      <c r="X81" s="277"/>
      <c r="Y81" s="220"/>
      <c r="Z81" s="220"/>
      <c r="AA81" s="220"/>
    </row>
    <row r="82" spans="1:27" ht="12.75" customHeight="1" x14ac:dyDescent="0.3">
      <c r="A82" s="229"/>
      <c r="B82" s="229"/>
      <c r="C82" s="220"/>
      <c r="D82" s="220"/>
      <c r="E82" s="304" t="str">
        <f>IFERROR(IF(ISBLANK(C82),IF(ISBLANK(D82),"",VLOOKUP(D82,Subrecipient!$D$13:$E$200,2,FALSE)),VLOOKUP(C82,Subrecipient!$C$13:$E$200,3,FALSE)),"Not Found")</f>
        <v/>
      </c>
      <c r="F82" s="220"/>
      <c r="G82" s="286"/>
      <c r="H82" s="277"/>
      <c r="I82" s="304" t="str">
        <f t="shared" si="1"/>
        <v/>
      </c>
      <c r="J82" s="220"/>
      <c r="K82" s="287"/>
      <c r="L82" s="222"/>
      <c r="M82" s="223"/>
      <c r="N82" s="223"/>
      <c r="O82" s="223"/>
      <c r="P82" s="222"/>
      <c r="Q82" s="285"/>
      <c r="R82" s="220"/>
      <c r="S82" s="220"/>
      <c r="T82" s="220"/>
      <c r="U82" s="220"/>
      <c r="V82" s="220"/>
      <c r="W82" s="277"/>
      <c r="X82" s="277"/>
      <c r="Y82" s="220"/>
      <c r="Z82" s="220"/>
      <c r="AA82" s="220"/>
    </row>
    <row r="83" spans="1:27" ht="12.75" customHeight="1" x14ac:dyDescent="0.3">
      <c r="A83" s="229"/>
      <c r="B83" s="229"/>
      <c r="C83" s="220"/>
      <c r="D83" s="220"/>
      <c r="E83" s="304" t="str">
        <f>IFERROR(IF(ISBLANK(C83),IF(ISBLANK(D83),"",VLOOKUP(D83,Subrecipient!$D$13:$E$200,2,FALSE)),VLOOKUP(C83,Subrecipient!$C$13:$E$200,3,FALSE)),"Not Found")</f>
        <v/>
      </c>
      <c r="F83" s="220"/>
      <c r="G83" s="286"/>
      <c r="H83" s="277"/>
      <c r="I83" s="304" t="str">
        <f t="shared" si="1"/>
        <v/>
      </c>
      <c r="J83" s="220"/>
      <c r="K83" s="287"/>
      <c r="L83" s="222"/>
      <c r="M83" s="223"/>
      <c r="N83" s="223"/>
      <c r="O83" s="223"/>
      <c r="P83" s="222"/>
      <c r="Q83" s="285"/>
      <c r="R83" s="220"/>
      <c r="S83" s="220"/>
      <c r="T83" s="220"/>
      <c r="U83" s="220"/>
      <c r="V83" s="220"/>
      <c r="W83" s="277"/>
      <c r="X83" s="277"/>
      <c r="Y83" s="220"/>
      <c r="Z83" s="220"/>
      <c r="AA83" s="220"/>
    </row>
    <row r="84" spans="1:27" ht="12.75" customHeight="1" x14ac:dyDescent="0.3">
      <c r="A84" s="229"/>
      <c r="B84" s="229"/>
      <c r="C84" s="220"/>
      <c r="D84" s="220"/>
      <c r="E84" s="304" t="str">
        <f>IFERROR(IF(ISBLANK(C84),IF(ISBLANK(D84),"",VLOOKUP(D84,Subrecipient!$D$13:$E$200,2,FALSE)),VLOOKUP(C84,Subrecipient!$C$13:$E$200,3,FALSE)),"Not Found")</f>
        <v/>
      </c>
      <c r="F84" s="220"/>
      <c r="G84" s="286"/>
      <c r="H84" s="277"/>
      <c r="I84" s="304" t="str">
        <f t="shared" si="1"/>
        <v/>
      </c>
      <c r="J84" s="220"/>
      <c r="K84" s="287"/>
      <c r="L84" s="222"/>
      <c r="M84" s="223"/>
      <c r="N84" s="223"/>
      <c r="O84" s="223"/>
      <c r="P84" s="222"/>
      <c r="Q84" s="285"/>
      <c r="R84" s="220"/>
      <c r="S84" s="220"/>
      <c r="T84" s="220"/>
      <c r="U84" s="220"/>
      <c r="V84" s="220"/>
      <c r="W84" s="277"/>
      <c r="X84" s="277"/>
      <c r="Y84" s="220"/>
      <c r="Z84" s="220"/>
      <c r="AA84" s="220"/>
    </row>
    <row r="85" spans="1:27" ht="12.75" customHeight="1" x14ac:dyDescent="0.3">
      <c r="A85" s="229"/>
      <c r="B85" s="229"/>
      <c r="C85" s="220"/>
      <c r="D85" s="220"/>
      <c r="E85" s="304" t="str">
        <f>IFERROR(IF(ISBLANK(C85),IF(ISBLANK(D85),"",VLOOKUP(D85,Subrecipient!$D$13:$E$200,2,FALSE)),VLOOKUP(C85,Subrecipient!$C$13:$E$200,3,FALSE)),"Not Found")</f>
        <v/>
      </c>
      <c r="F85" s="220"/>
      <c r="G85" s="286"/>
      <c r="H85" s="277"/>
      <c r="I85" s="304" t="str">
        <f t="shared" si="1"/>
        <v/>
      </c>
      <c r="J85" s="220"/>
      <c r="K85" s="287"/>
      <c r="L85" s="222"/>
      <c r="M85" s="223"/>
      <c r="N85" s="223"/>
      <c r="O85" s="223"/>
      <c r="P85" s="222"/>
      <c r="Q85" s="285"/>
      <c r="R85" s="220"/>
      <c r="S85" s="220"/>
      <c r="T85" s="220"/>
      <c r="U85" s="220"/>
      <c r="V85" s="220"/>
      <c r="W85" s="277"/>
      <c r="X85" s="277"/>
      <c r="Y85" s="220"/>
      <c r="Z85" s="220"/>
      <c r="AA85" s="220"/>
    </row>
    <row r="86" spans="1:27" ht="12.75" customHeight="1" x14ac:dyDescent="0.3">
      <c r="A86" s="229"/>
      <c r="B86" s="229"/>
      <c r="C86" s="220"/>
      <c r="D86" s="220"/>
      <c r="E86" s="304" t="str">
        <f>IFERROR(IF(ISBLANK(C86),IF(ISBLANK(D86),"",VLOOKUP(D86,Subrecipient!$D$13:$E$200,2,FALSE)),VLOOKUP(C86,Subrecipient!$C$13:$E$200,3,FALSE)),"Not Found")</f>
        <v/>
      </c>
      <c r="F86" s="220"/>
      <c r="G86" s="286"/>
      <c r="H86" s="277"/>
      <c r="I86" s="304" t="str">
        <f t="shared" si="1"/>
        <v/>
      </c>
      <c r="J86" s="220"/>
      <c r="K86" s="287"/>
      <c r="L86" s="222"/>
      <c r="M86" s="223"/>
      <c r="N86" s="223"/>
      <c r="O86" s="223"/>
      <c r="P86" s="222"/>
      <c r="Q86" s="285"/>
      <c r="R86" s="220"/>
      <c r="S86" s="220"/>
      <c r="T86" s="220"/>
      <c r="U86" s="220"/>
      <c r="V86" s="220"/>
      <c r="W86" s="277"/>
      <c r="X86" s="277"/>
      <c r="Y86" s="220"/>
      <c r="Z86" s="220"/>
      <c r="AA86" s="220"/>
    </row>
    <row r="87" spans="1:27" ht="12.75" customHeight="1" x14ac:dyDescent="0.3">
      <c r="A87" s="229"/>
      <c r="B87" s="229"/>
      <c r="C87" s="220"/>
      <c r="D87" s="220"/>
      <c r="E87" s="304" t="str">
        <f>IFERROR(IF(ISBLANK(C87),IF(ISBLANK(D87),"",VLOOKUP(D87,Subrecipient!$D$13:$E$200,2,FALSE)),VLOOKUP(C87,Subrecipient!$C$13:$E$200,3,FALSE)),"Not Found")</f>
        <v/>
      </c>
      <c r="F87" s="220"/>
      <c r="G87" s="286"/>
      <c r="H87" s="277"/>
      <c r="I87" s="304" t="str">
        <f t="shared" si="1"/>
        <v/>
      </c>
      <c r="J87" s="220"/>
      <c r="K87" s="287"/>
      <c r="L87" s="222"/>
      <c r="M87" s="223"/>
      <c r="N87" s="223"/>
      <c r="O87" s="223"/>
      <c r="P87" s="222"/>
      <c r="Q87" s="285"/>
      <c r="R87" s="220"/>
      <c r="S87" s="220"/>
      <c r="T87" s="220"/>
      <c r="U87" s="220"/>
      <c r="V87" s="220"/>
      <c r="W87" s="277"/>
      <c r="X87" s="277"/>
      <c r="Y87" s="220"/>
      <c r="Z87" s="220"/>
      <c r="AA87" s="220"/>
    </row>
    <row r="88" spans="1:27" ht="12.75" customHeight="1" x14ac:dyDescent="0.3">
      <c r="A88" s="229"/>
      <c r="B88" s="229"/>
      <c r="C88" s="220"/>
      <c r="D88" s="220"/>
      <c r="E88" s="304" t="str">
        <f>IFERROR(IF(ISBLANK(C88),IF(ISBLANK(D88),"",VLOOKUP(D88,Subrecipient!$D$13:$E$200,2,FALSE)),VLOOKUP(C88,Subrecipient!$C$13:$E$200,3,FALSE)),"Not Found")</f>
        <v/>
      </c>
      <c r="F88" s="220"/>
      <c r="G88" s="286"/>
      <c r="H88" s="277"/>
      <c r="I88" s="304" t="str">
        <f t="shared" si="1"/>
        <v/>
      </c>
      <c r="J88" s="220"/>
      <c r="K88" s="287"/>
      <c r="L88" s="222"/>
      <c r="M88" s="223"/>
      <c r="N88" s="223"/>
      <c r="O88" s="223"/>
      <c r="P88" s="222"/>
      <c r="Q88" s="285"/>
      <c r="R88" s="220"/>
      <c r="S88" s="220"/>
      <c r="T88" s="220"/>
      <c r="U88" s="220"/>
      <c r="V88" s="220"/>
      <c r="W88" s="277"/>
      <c r="X88" s="277"/>
      <c r="Y88" s="220"/>
      <c r="Z88" s="220"/>
      <c r="AA88" s="220"/>
    </row>
    <row r="89" spans="1:27" ht="12.75" customHeight="1" x14ac:dyDescent="0.3">
      <c r="A89" s="229"/>
      <c r="B89" s="229"/>
      <c r="C89" s="220"/>
      <c r="D89" s="220"/>
      <c r="E89" s="304" t="str">
        <f>IFERROR(IF(ISBLANK(C89),IF(ISBLANK(D89),"",VLOOKUP(D89,Subrecipient!$D$13:$E$200,2,FALSE)),VLOOKUP(C89,Subrecipient!$C$13:$E$200,3,FALSE)),"Not Found")</f>
        <v/>
      </c>
      <c r="F89" s="220"/>
      <c r="G89" s="286"/>
      <c r="H89" s="277"/>
      <c r="I89" s="304" t="str">
        <f t="shared" si="1"/>
        <v/>
      </c>
      <c r="J89" s="220"/>
      <c r="K89" s="287"/>
      <c r="L89" s="222"/>
      <c r="M89" s="223"/>
      <c r="N89" s="223"/>
      <c r="O89" s="223"/>
      <c r="P89" s="222"/>
      <c r="Q89" s="285"/>
      <c r="R89" s="220"/>
      <c r="S89" s="220"/>
      <c r="T89" s="220"/>
      <c r="U89" s="220"/>
      <c r="V89" s="220"/>
      <c r="W89" s="277"/>
      <c r="X89" s="277"/>
      <c r="Y89" s="220"/>
      <c r="Z89" s="220"/>
      <c r="AA89" s="220"/>
    </row>
    <row r="90" spans="1:27" ht="12.75" customHeight="1" x14ac:dyDescent="0.3">
      <c r="A90" s="229"/>
      <c r="B90" s="229"/>
      <c r="C90" s="220"/>
      <c r="D90" s="220"/>
      <c r="E90" s="304" t="str">
        <f>IFERROR(IF(ISBLANK(C90),IF(ISBLANK(D90),"",VLOOKUP(D90,Subrecipient!$D$13:$E$200,2,FALSE)),VLOOKUP(C90,Subrecipient!$C$13:$E$200,3,FALSE)),"Not Found")</f>
        <v/>
      </c>
      <c r="F90" s="220"/>
      <c r="G90" s="286"/>
      <c r="H90" s="277"/>
      <c r="I90" s="304" t="str">
        <f t="shared" si="1"/>
        <v/>
      </c>
      <c r="J90" s="220"/>
      <c r="K90" s="287"/>
      <c r="L90" s="222"/>
      <c r="M90" s="223"/>
      <c r="N90" s="223"/>
      <c r="O90" s="223"/>
      <c r="P90" s="222"/>
      <c r="Q90" s="285"/>
      <c r="R90" s="220"/>
      <c r="S90" s="220"/>
      <c r="T90" s="220"/>
      <c r="U90" s="220"/>
      <c r="V90" s="220"/>
      <c r="W90" s="277"/>
      <c r="X90" s="277"/>
      <c r="Y90" s="220"/>
      <c r="Z90" s="220"/>
      <c r="AA90" s="220"/>
    </row>
    <row r="91" spans="1:27" ht="12.75" customHeight="1" x14ac:dyDescent="0.3">
      <c r="A91" s="229"/>
      <c r="B91" s="229"/>
      <c r="C91" s="220"/>
      <c r="D91" s="220"/>
      <c r="E91" s="304" t="str">
        <f>IFERROR(IF(ISBLANK(C91),IF(ISBLANK(D91),"",VLOOKUP(D91,Subrecipient!$D$13:$E$200,2,FALSE)),VLOOKUP(C91,Subrecipient!$C$13:$E$200,3,FALSE)),"Not Found")</f>
        <v/>
      </c>
      <c r="F91" s="220"/>
      <c r="G91" s="286"/>
      <c r="H91" s="277"/>
      <c r="I91" s="304" t="str">
        <f t="shared" si="1"/>
        <v/>
      </c>
      <c r="J91" s="220"/>
      <c r="K91" s="287"/>
      <c r="L91" s="222"/>
      <c r="M91" s="223"/>
      <c r="N91" s="223"/>
      <c r="O91" s="223"/>
      <c r="P91" s="222"/>
      <c r="Q91" s="285"/>
      <c r="R91" s="220"/>
      <c r="S91" s="220"/>
      <c r="T91" s="220"/>
      <c r="U91" s="220"/>
      <c r="V91" s="220"/>
      <c r="W91" s="277"/>
      <c r="X91" s="277"/>
      <c r="Y91" s="220"/>
      <c r="Z91" s="220"/>
      <c r="AA91" s="220"/>
    </row>
    <row r="92" spans="1:27" ht="12.75" customHeight="1" x14ac:dyDescent="0.3">
      <c r="A92" s="229"/>
      <c r="B92" s="229"/>
      <c r="C92" s="220"/>
      <c r="D92" s="220"/>
      <c r="E92" s="304" t="str">
        <f>IFERROR(IF(ISBLANK(C92),IF(ISBLANK(D92),"",VLOOKUP(D92,Subrecipient!$D$13:$E$200,2,FALSE)),VLOOKUP(C92,Subrecipient!$C$13:$E$200,3,FALSE)),"Not Found")</f>
        <v/>
      </c>
      <c r="F92" s="220"/>
      <c r="G92" s="286"/>
      <c r="H92" s="277"/>
      <c r="I92" s="304" t="str">
        <f t="shared" si="1"/>
        <v/>
      </c>
      <c r="J92" s="220"/>
      <c r="K92" s="287"/>
      <c r="L92" s="222"/>
      <c r="M92" s="223"/>
      <c r="N92" s="223"/>
      <c r="O92" s="223"/>
      <c r="P92" s="222"/>
      <c r="Q92" s="285"/>
      <c r="R92" s="220"/>
      <c r="S92" s="220"/>
      <c r="T92" s="220"/>
      <c r="U92" s="220"/>
      <c r="V92" s="220"/>
      <c r="W92" s="277"/>
      <c r="X92" s="277"/>
      <c r="Y92" s="220"/>
      <c r="Z92" s="220"/>
      <c r="AA92" s="220"/>
    </row>
    <row r="93" spans="1:27" ht="12.75" customHeight="1" x14ac:dyDescent="0.3">
      <c r="A93" s="229"/>
      <c r="B93" s="229"/>
      <c r="C93" s="220"/>
      <c r="D93" s="220"/>
      <c r="E93" s="304" t="str">
        <f>IFERROR(IF(ISBLANK(C93),IF(ISBLANK(D93),"",VLOOKUP(D93,Subrecipient!$D$13:$E$200,2,FALSE)),VLOOKUP(C93,Subrecipient!$C$13:$E$200,3,FALSE)),"Not Found")</f>
        <v/>
      </c>
      <c r="F93" s="220"/>
      <c r="G93" s="286"/>
      <c r="H93" s="277"/>
      <c r="I93" s="304" t="str">
        <f t="shared" si="1"/>
        <v/>
      </c>
      <c r="J93" s="220"/>
      <c r="K93" s="287"/>
      <c r="L93" s="222"/>
      <c r="M93" s="223"/>
      <c r="N93" s="223"/>
      <c r="O93" s="223"/>
      <c r="P93" s="222"/>
      <c r="Q93" s="285"/>
      <c r="R93" s="220"/>
      <c r="S93" s="220"/>
      <c r="T93" s="220"/>
      <c r="U93" s="220"/>
      <c r="V93" s="220"/>
      <c r="W93" s="277"/>
      <c r="X93" s="277"/>
      <c r="Y93" s="220"/>
      <c r="Z93" s="220"/>
      <c r="AA93" s="220"/>
    </row>
    <row r="94" spans="1:27" ht="12.75" customHeight="1" x14ac:dyDescent="0.3">
      <c r="A94" s="229"/>
      <c r="B94" s="229"/>
      <c r="C94" s="220"/>
      <c r="D94" s="220"/>
      <c r="E94" s="304" t="str">
        <f>IFERROR(IF(ISBLANK(C94),IF(ISBLANK(D94),"",VLOOKUP(D94,Subrecipient!$D$13:$E$200,2,FALSE)),VLOOKUP(C94,Subrecipient!$C$13:$E$200,3,FALSE)),"Not Found")</f>
        <v/>
      </c>
      <c r="F94" s="220"/>
      <c r="G94" s="286"/>
      <c r="H94" s="277"/>
      <c r="I94" s="304" t="str">
        <f t="shared" si="1"/>
        <v/>
      </c>
      <c r="J94" s="220"/>
      <c r="K94" s="287"/>
      <c r="L94" s="222"/>
      <c r="M94" s="223"/>
      <c r="N94" s="223"/>
      <c r="O94" s="223"/>
      <c r="P94" s="222"/>
      <c r="Q94" s="285"/>
      <c r="R94" s="220"/>
      <c r="S94" s="220"/>
      <c r="T94" s="220"/>
      <c r="U94" s="220"/>
      <c r="V94" s="220"/>
      <c r="W94" s="277"/>
      <c r="X94" s="277"/>
      <c r="Y94" s="220"/>
      <c r="Z94" s="220"/>
      <c r="AA94" s="220"/>
    </row>
    <row r="95" spans="1:27" ht="12.75" customHeight="1" x14ac:dyDescent="0.3">
      <c r="A95" s="229"/>
      <c r="B95" s="229"/>
      <c r="C95" s="220"/>
      <c r="D95" s="220"/>
      <c r="E95" s="304" t="str">
        <f>IFERROR(IF(ISBLANK(C95),IF(ISBLANK(D95),"",VLOOKUP(D95,Subrecipient!$D$13:$E$200,2,FALSE)),VLOOKUP(C95,Subrecipient!$C$13:$E$200,3,FALSE)),"Not Found")</f>
        <v/>
      </c>
      <c r="F95" s="220"/>
      <c r="G95" s="286"/>
      <c r="H95" s="277"/>
      <c r="I95" s="304" t="str">
        <f t="shared" si="1"/>
        <v/>
      </c>
      <c r="J95" s="220"/>
      <c r="K95" s="287"/>
      <c r="L95" s="222"/>
      <c r="M95" s="223"/>
      <c r="N95" s="223"/>
      <c r="O95" s="223"/>
      <c r="P95" s="222"/>
      <c r="Q95" s="285"/>
      <c r="R95" s="220"/>
      <c r="S95" s="220"/>
      <c r="T95" s="220"/>
      <c r="U95" s="220"/>
      <c r="V95" s="220"/>
      <c r="W95" s="277"/>
      <c r="X95" s="277"/>
      <c r="Y95" s="220"/>
      <c r="Z95" s="220"/>
      <c r="AA95" s="220"/>
    </row>
    <row r="96" spans="1:27" ht="12.75" customHeight="1" x14ac:dyDescent="0.3">
      <c r="A96" s="229"/>
      <c r="B96" s="229"/>
      <c r="C96" s="220"/>
      <c r="D96" s="220"/>
      <c r="E96" s="304" t="str">
        <f>IFERROR(IF(ISBLANK(C96),IF(ISBLANK(D96),"",VLOOKUP(D96,Subrecipient!$D$13:$E$200,2,FALSE)),VLOOKUP(C96,Subrecipient!$C$13:$E$200,3,FALSE)),"Not Found")</f>
        <v/>
      </c>
      <c r="F96" s="220"/>
      <c r="G96" s="286"/>
      <c r="H96" s="277"/>
      <c r="I96" s="304" t="str">
        <f t="shared" si="1"/>
        <v/>
      </c>
      <c r="J96" s="220"/>
      <c r="K96" s="287"/>
      <c r="L96" s="222"/>
      <c r="M96" s="223"/>
      <c r="N96" s="223"/>
      <c r="O96" s="223"/>
      <c r="P96" s="222"/>
      <c r="Q96" s="285"/>
      <c r="R96" s="220"/>
      <c r="S96" s="220"/>
      <c r="T96" s="220"/>
      <c r="U96" s="220"/>
      <c r="V96" s="220"/>
      <c r="W96" s="277"/>
      <c r="X96" s="277"/>
      <c r="Y96" s="220"/>
      <c r="Z96" s="220"/>
      <c r="AA96" s="220"/>
    </row>
    <row r="97" spans="1:27" ht="12.75" customHeight="1" x14ac:dyDescent="0.3">
      <c r="A97" s="229"/>
      <c r="B97" s="229"/>
      <c r="C97" s="220"/>
      <c r="D97" s="220"/>
      <c r="E97" s="304" t="str">
        <f>IFERROR(IF(ISBLANK(C97),IF(ISBLANK(D97),"",VLOOKUP(D97,Subrecipient!$D$13:$E$200,2,FALSE)),VLOOKUP(C97,Subrecipient!$C$13:$E$200,3,FALSE)),"Not Found")</f>
        <v/>
      </c>
      <c r="F97" s="220"/>
      <c r="G97" s="286"/>
      <c r="H97" s="277"/>
      <c r="I97" s="304" t="str">
        <f t="shared" si="1"/>
        <v/>
      </c>
      <c r="J97" s="220"/>
      <c r="K97" s="287"/>
      <c r="L97" s="222"/>
      <c r="M97" s="223"/>
      <c r="N97" s="223"/>
      <c r="O97" s="223"/>
      <c r="P97" s="222"/>
      <c r="Q97" s="285"/>
      <c r="R97" s="220"/>
      <c r="S97" s="220"/>
      <c r="T97" s="220"/>
      <c r="U97" s="220"/>
      <c r="V97" s="220"/>
      <c r="W97" s="277"/>
      <c r="X97" s="277"/>
      <c r="Y97" s="220"/>
      <c r="Z97" s="220"/>
      <c r="AA97" s="220"/>
    </row>
    <row r="98" spans="1:27" ht="12.75" customHeight="1" x14ac:dyDescent="0.3">
      <c r="A98" s="229"/>
      <c r="B98" s="229"/>
      <c r="C98" s="220"/>
      <c r="D98" s="220"/>
      <c r="E98" s="304" t="str">
        <f>IFERROR(IF(ISBLANK(C98),IF(ISBLANK(D98),"",VLOOKUP(D98,Subrecipient!$D$13:$E$200,2,FALSE)),VLOOKUP(C98,Subrecipient!$C$13:$E$200,3,FALSE)),"Not Found")</f>
        <v/>
      </c>
      <c r="F98" s="220"/>
      <c r="G98" s="286"/>
      <c r="H98" s="277"/>
      <c r="I98" s="304" t="str">
        <f t="shared" si="1"/>
        <v/>
      </c>
      <c r="J98" s="220"/>
      <c r="K98" s="287"/>
      <c r="L98" s="222"/>
      <c r="M98" s="223"/>
      <c r="N98" s="223"/>
      <c r="O98" s="223"/>
      <c r="P98" s="222"/>
      <c r="Q98" s="285"/>
      <c r="R98" s="220"/>
      <c r="S98" s="220"/>
      <c r="T98" s="220"/>
      <c r="U98" s="220"/>
      <c r="V98" s="220"/>
      <c r="W98" s="277"/>
      <c r="X98" s="277"/>
      <c r="Y98" s="220"/>
      <c r="Z98" s="220"/>
      <c r="AA98" s="220"/>
    </row>
    <row r="99" spans="1:27" ht="12.75" customHeight="1" x14ac:dyDescent="0.3">
      <c r="A99" s="229"/>
      <c r="B99" s="229"/>
      <c r="C99" s="220"/>
      <c r="D99" s="220"/>
      <c r="E99" s="304" t="str">
        <f>IFERROR(IF(ISBLANK(C99),IF(ISBLANK(D99),"",VLOOKUP(D99,Subrecipient!$D$13:$E$200,2,FALSE)),VLOOKUP(C99,Subrecipient!$C$13:$E$200,3,FALSE)),"Not Found")</f>
        <v/>
      </c>
      <c r="F99" s="220"/>
      <c r="G99" s="286"/>
      <c r="H99" s="277"/>
      <c r="I99" s="304" t="str">
        <f t="shared" si="1"/>
        <v/>
      </c>
      <c r="J99" s="220"/>
      <c r="K99" s="287"/>
      <c r="L99" s="222"/>
      <c r="M99" s="223"/>
      <c r="N99" s="223"/>
      <c r="O99" s="223"/>
      <c r="P99" s="222"/>
      <c r="Q99" s="285"/>
      <c r="R99" s="220"/>
      <c r="S99" s="220"/>
      <c r="T99" s="220"/>
      <c r="U99" s="220"/>
      <c r="V99" s="220"/>
      <c r="W99" s="277"/>
      <c r="X99" s="277"/>
      <c r="Y99" s="220"/>
      <c r="Z99" s="220"/>
      <c r="AA99" s="220"/>
    </row>
    <row r="100" spans="1:27" ht="12.75" customHeight="1" x14ac:dyDescent="0.3">
      <c r="A100" s="229"/>
      <c r="B100" s="229"/>
      <c r="C100" s="220"/>
      <c r="D100" s="220"/>
      <c r="E100" s="304" t="str">
        <f>IFERROR(IF(ISBLANK(C100),IF(ISBLANK(D100),"",VLOOKUP(D100,Subrecipient!$D$13:$E$200,2,FALSE)),VLOOKUP(C100,Subrecipient!$C$13:$E$200,3,FALSE)),"Not Found")</f>
        <v/>
      </c>
      <c r="F100" s="220"/>
      <c r="G100" s="286"/>
      <c r="H100" s="277"/>
      <c r="I100" s="304" t="str">
        <f t="shared" si="1"/>
        <v/>
      </c>
      <c r="J100" s="220"/>
      <c r="K100" s="287"/>
      <c r="L100" s="222"/>
      <c r="M100" s="223"/>
      <c r="N100" s="223"/>
      <c r="O100" s="223"/>
      <c r="P100" s="222"/>
      <c r="Q100" s="285"/>
      <c r="R100" s="220"/>
      <c r="S100" s="220"/>
      <c r="T100" s="220"/>
      <c r="U100" s="220"/>
      <c r="V100" s="220"/>
      <c r="W100" s="277"/>
      <c r="X100" s="277"/>
      <c r="Y100" s="220"/>
      <c r="Z100" s="220"/>
      <c r="AA100" s="220"/>
    </row>
    <row r="101" spans="1:27" ht="12.75" customHeight="1" x14ac:dyDescent="0.3">
      <c r="A101" s="229"/>
      <c r="B101" s="229"/>
      <c r="C101" s="220"/>
      <c r="D101" s="220"/>
      <c r="E101" s="304" t="str">
        <f>IFERROR(IF(ISBLANK(C101),IF(ISBLANK(D101),"",VLOOKUP(D101,Subrecipient!$D$13:$E$200,2,FALSE)),VLOOKUP(C101,Subrecipient!$C$13:$E$200,3,FALSE)),"Not Found")</f>
        <v/>
      </c>
      <c r="F101" s="220"/>
      <c r="G101" s="286"/>
      <c r="H101" s="277"/>
      <c r="I101" s="304" t="str">
        <f t="shared" si="1"/>
        <v/>
      </c>
      <c r="J101" s="220"/>
      <c r="K101" s="287"/>
      <c r="L101" s="222"/>
      <c r="M101" s="223"/>
      <c r="N101" s="223"/>
      <c r="O101" s="223"/>
      <c r="P101" s="222"/>
      <c r="Q101" s="285"/>
      <c r="R101" s="220"/>
      <c r="S101" s="220"/>
      <c r="T101" s="220"/>
      <c r="U101" s="220"/>
      <c r="V101" s="220"/>
      <c r="W101" s="277"/>
      <c r="X101" s="277"/>
      <c r="Y101" s="220"/>
      <c r="Z101" s="220"/>
      <c r="AA101" s="220"/>
    </row>
    <row r="102" spans="1:27" ht="12.75" customHeight="1" x14ac:dyDescent="0.3">
      <c r="A102" s="229"/>
      <c r="B102" s="229"/>
      <c r="C102" s="220"/>
      <c r="D102" s="220"/>
      <c r="E102" s="304" t="str">
        <f>IFERROR(IF(ISBLANK(C102),IF(ISBLANK(D102),"",VLOOKUP(D102,Subrecipient!$D$13:$E$200,2,FALSE)),VLOOKUP(C102,Subrecipient!$C$13:$E$200,3,FALSE)),"Not Found")</f>
        <v/>
      </c>
      <c r="F102" s="220"/>
      <c r="G102" s="286"/>
      <c r="H102" s="277"/>
      <c r="I102" s="304" t="str">
        <f t="shared" si="1"/>
        <v/>
      </c>
      <c r="J102" s="220"/>
      <c r="K102" s="287"/>
      <c r="L102" s="222"/>
      <c r="M102" s="223"/>
      <c r="N102" s="223"/>
      <c r="O102" s="223"/>
      <c r="P102" s="222"/>
      <c r="Q102" s="285"/>
      <c r="R102" s="220"/>
      <c r="S102" s="220"/>
      <c r="T102" s="220"/>
      <c r="U102" s="220"/>
      <c r="V102" s="220"/>
      <c r="W102" s="277"/>
      <c r="X102" s="277"/>
      <c r="Y102" s="220"/>
      <c r="Z102" s="220"/>
      <c r="AA102" s="220"/>
    </row>
    <row r="103" spans="1:27" ht="12.75" customHeight="1" x14ac:dyDescent="0.3">
      <c r="A103" s="229"/>
      <c r="B103" s="229"/>
      <c r="C103" s="220"/>
      <c r="D103" s="220"/>
      <c r="E103" s="304" t="str">
        <f>IFERROR(IF(ISBLANK(C103),IF(ISBLANK(D103),"",VLOOKUP(D103,Subrecipient!$D$13:$E$200,2,FALSE)),VLOOKUP(C103,Subrecipient!$C$13:$E$200,3,FALSE)),"Not Found")</f>
        <v/>
      </c>
      <c r="F103" s="220"/>
      <c r="G103" s="286"/>
      <c r="H103" s="277"/>
      <c r="I103" s="304" t="str">
        <f t="shared" si="1"/>
        <v/>
      </c>
      <c r="J103" s="220"/>
      <c r="K103" s="287"/>
      <c r="L103" s="222"/>
      <c r="M103" s="223"/>
      <c r="N103" s="223"/>
      <c r="O103" s="223"/>
      <c r="P103" s="222"/>
      <c r="Q103" s="285"/>
      <c r="R103" s="220"/>
      <c r="S103" s="220"/>
      <c r="T103" s="220"/>
      <c r="U103" s="220"/>
      <c r="V103" s="220"/>
      <c r="W103" s="277"/>
      <c r="X103" s="277"/>
      <c r="Y103" s="220"/>
      <c r="Z103" s="220"/>
      <c r="AA103" s="220"/>
    </row>
    <row r="104" spans="1:27" ht="12.75" customHeight="1" x14ac:dyDescent="0.3">
      <c r="A104" s="229"/>
      <c r="B104" s="229"/>
      <c r="C104" s="220"/>
      <c r="D104" s="220"/>
      <c r="E104" s="304" t="str">
        <f>IFERROR(IF(ISBLANK(C104),IF(ISBLANK(D104),"",VLOOKUP(D104,Subrecipient!$D$13:$E$200,2,FALSE)),VLOOKUP(C104,Subrecipient!$C$13:$E$200,3,FALSE)),"Not Found")</f>
        <v/>
      </c>
      <c r="F104" s="220"/>
      <c r="G104" s="286"/>
      <c r="H104" s="277"/>
      <c r="I104" s="304" t="str">
        <f t="shared" si="1"/>
        <v/>
      </c>
      <c r="J104" s="220"/>
      <c r="K104" s="287"/>
      <c r="L104" s="222"/>
      <c r="M104" s="223"/>
      <c r="N104" s="223"/>
      <c r="O104" s="223"/>
      <c r="P104" s="222"/>
      <c r="Q104" s="285"/>
      <c r="R104" s="220"/>
      <c r="S104" s="220"/>
      <c r="T104" s="220"/>
      <c r="U104" s="220"/>
      <c r="V104" s="220"/>
      <c r="W104" s="277"/>
      <c r="X104" s="277"/>
      <c r="Y104" s="220"/>
      <c r="Z104" s="220"/>
      <c r="AA104" s="220"/>
    </row>
    <row r="105" spans="1:27" ht="12.75" customHeight="1" x14ac:dyDescent="0.3">
      <c r="A105" s="229"/>
      <c r="B105" s="229"/>
      <c r="C105" s="220"/>
      <c r="D105" s="220"/>
      <c r="E105" s="304" t="str">
        <f>IFERROR(IF(ISBLANK(C105),IF(ISBLANK(D105),"",VLOOKUP(D105,Subrecipient!$D$13:$E$200,2,FALSE)),VLOOKUP(C105,Subrecipient!$C$13:$E$200,3,FALSE)),"Not Found")</f>
        <v/>
      </c>
      <c r="F105" s="220"/>
      <c r="G105" s="286"/>
      <c r="H105" s="277"/>
      <c r="I105" s="304" t="str">
        <f t="shared" si="1"/>
        <v/>
      </c>
      <c r="J105" s="220"/>
      <c r="K105" s="287"/>
      <c r="L105" s="222"/>
      <c r="M105" s="223"/>
      <c r="N105" s="223"/>
      <c r="O105" s="223"/>
      <c r="P105" s="222"/>
      <c r="Q105" s="285"/>
      <c r="R105" s="220"/>
      <c r="S105" s="220"/>
      <c r="T105" s="220"/>
      <c r="U105" s="220"/>
      <c r="V105" s="220"/>
      <c r="W105" s="277"/>
      <c r="X105" s="277"/>
      <c r="Y105" s="220"/>
      <c r="Z105" s="220"/>
      <c r="AA105" s="220"/>
    </row>
    <row r="106" spans="1:27" ht="12.75" customHeight="1" x14ac:dyDescent="0.3">
      <c r="A106" s="229"/>
      <c r="B106" s="229"/>
      <c r="C106" s="220"/>
      <c r="D106" s="220"/>
      <c r="E106" s="304" t="str">
        <f>IFERROR(IF(ISBLANK(C106),IF(ISBLANK(D106),"",VLOOKUP(D106,Subrecipient!$D$13:$E$200,2,FALSE)),VLOOKUP(C106,Subrecipient!$C$13:$E$200,3,FALSE)),"Not Found")</f>
        <v/>
      </c>
      <c r="F106" s="220"/>
      <c r="G106" s="286"/>
      <c r="H106" s="277"/>
      <c r="I106" s="304" t="str">
        <f t="shared" si="1"/>
        <v/>
      </c>
      <c r="J106" s="220"/>
      <c r="K106" s="287"/>
      <c r="L106" s="222"/>
      <c r="M106" s="223"/>
      <c r="N106" s="223"/>
      <c r="O106" s="223"/>
      <c r="P106" s="222"/>
      <c r="Q106" s="285"/>
      <c r="R106" s="220"/>
      <c r="S106" s="220"/>
      <c r="T106" s="220"/>
      <c r="U106" s="220"/>
      <c r="V106" s="220"/>
      <c r="W106" s="277"/>
      <c r="X106" s="277"/>
      <c r="Y106" s="220"/>
      <c r="Z106" s="220"/>
      <c r="AA106" s="220"/>
    </row>
    <row r="107" spans="1:27" ht="12.75" customHeight="1" x14ac:dyDescent="0.3">
      <c r="A107" s="229"/>
      <c r="B107" s="229"/>
      <c r="C107" s="220"/>
      <c r="D107" s="220"/>
      <c r="E107" s="304" t="str">
        <f>IFERROR(IF(ISBLANK(C107),IF(ISBLANK(D107),"",VLOOKUP(D107,Subrecipient!$D$13:$E$200,2,FALSE)),VLOOKUP(C107,Subrecipient!$C$13:$E$200,3,FALSE)),"Not Found")</f>
        <v/>
      </c>
      <c r="F107" s="220"/>
      <c r="G107" s="286"/>
      <c r="H107" s="277"/>
      <c r="I107" s="304" t="str">
        <f t="shared" si="1"/>
        <v/>
      </c>
      <c r="J107" s="220"/>
      <c r="K107" s="287"/>
      <c r="L107" s="222"/>
      <c r="M107" s="223"/>
      <c r="N107" s="223"/>
      <c r="O107" s="223"/>
      <c r="P107" s="222"/>
      <c r="Q107" s="285"/>
      <c r="R107" s="220"/>
      <c r="S107" s="220"/>
      <c r="T107" s="220"/>
      <c r="U107" s="220"/>
      <c r="V107" s="220"/>
      <c r="W107" s="277"/>
      <c r="X107" s="277"/>
      <c r="Y107" s="220"/>
      <c r="Z107" s="220"/>
      <c r="AA107" s="220"/>
    </row>
    <row r="108" spans="1:27" ht="12.75" customHeight="1" x14ac:dyDescent="0.3">
      <c r="A108" s="229"/>
      <c r="B108" s="229"/>
      <c r="C108" s="220"/>
      <c r="D108" s="220"/>
      <c r="E108" s="304" t="str">
        <f>IFERROR(IF(ISBLANK(C108),IF(ISBLANK(D108),"",VLOOKUP(D108,Subrecipient!$D$13:$E$200,2,FALSE)),VLOOKUP(C108,Subrecipient!$C$13:$E$200,3,FALSE)),"Not Found")</f>
        <v/>
      </c>
      <c r="F108" s="220"/>
      <c r="G108" s="286"/>
      <c r="H108" s="277"/>
      <c r="I108" s="304" t="str">
        <f t="shared" si="1"/>
        <v/>
      </c>
      <c r="J108" s="220"/>
      <c r="K108" s="287"/>
      <c r="L108" s="222"/>
      <c r="M108" s="223"/>
      <c r="N108" s="223"/>
      <c r="O108" s="223"/>
      <c r="P108" s="222"/>
      <c r="Q108" s="285"/>
      <c r="R108" s="220"/>
      <c r="S108" s="220"/>
      <c r="T108" s="220"/>
      <c r="U108" s="220"/>
      <c r="V108" s="220"/>
      <c r="W108" s="277"/>
      <c r="X108" s="277"/>
      <c r="Y108" s="220"/>
      <c r="Z108" s="220"/>
      <c r="AA108" s="220"/>
    </row>
    <row r="109" spans="1:27" ht="12.75" customHeight="1" x14ac:dyDescent="0.3">
      <c r="A109" s="229"/>
      <c r="B109" s="229"/>
      <c r="C109" s="220"/>
      <c r="D109" s="220"/>
      <c r="E109" s="304" t="str">
        <f>IFERROR(IF(ISBLANK(C109),IF(ISBLANK(D109),"",VLOOKUP(D109,Subrecipient!$D$13:$E$200,2,FALSE)),VLOOKUP(C109,Subrecipient!$C$13:$E$200,3,FALSE)),"Not Found")</f>
        <v/>
      </c>
      <c r="F109" s="220"/>
      <c r="G109" s="286"/>
      <c r="H109" s="277"/>
      <c r="I109" s="304" t="str">
        <f t="shared" si="1"/>
        <v/>
      </c>
      <c r="J109" s="220"/>
      <c r="K109" s="287"/>
      <c r="L109" s="222"/>
      <c r="M109" s="223"/>
      <c r="N109" s="223"/>
      <c r="O109" s="223"/>
      <c r="P109" s="222"/>
      <c r="Q109" s="285"/>
      <c r="R109" s="220"/>
      <c r="S109" s="220"/>
      <c r="T109" s="220"/>
      <c r="U109" s="220"/>
      <c r="V109" s="220"/>
      <c r="W109" s="277"/>
      <c r="X109" s="277"/>
      <c r="Y109" s="220"/>
      <c r="Z109" s="220"/>
      <c r="AA109" s="220"/>
    </row>
    <row r="110" spans="1:27" ht="12.75" customHeight="1" x14ac:dyDescent="0.3">
      <c r="A110" s="229"/>
      <c r="B110" s="229"/>
      <c r="C110" s="220"/>
      <c r="D110" s="220"/>
      <c r="E110" s="304" t="str">
        <f>IFERROR(IF(ISBLANK(C110),IF(ISBLANK(D110),"",VLOOKUP(D110,Subrecipient!$D$13:$E$200,2,FALSE)),VLOOKUP(C110,Subrecipient!$C$13:$E$200,3,FALSE)),"Not Found")</f>
        <v/>
      </c>
      <c r="F110" s="220"/>
      <c r="G110" s="286"/>
      <c r="H110" s="277"/>
      <c r="I110" s="304" t="str">
        <f t="shared" si="1"/>
        <v/>
      </c>
      <c r="J110" s="220"/>
      <c r="K110" s="287"/>
      <c r="L110" s="222"/>
      <c r="M110" s="223"/>
      <c r="N110" s="223"/>
      <c r="O110" s="223"/>
      <c r="P110" s="222"/>
      <c r="Q110" s="285"/>
      <c r="R110" s="220"/>
      <c r="S110" s="220"/>
      <c r="T110" s="220"/>
      <c r="U110" s="220"/>
      <c r="V110" s="220"/>
      <c r="W110" s="277"/>
      <c r="X110" s="277"/>
      <c r="Y110" s="220"/>
      <c r="Z110" s="220"/>
      <c r="AA110" s="220"/>
    </row>
    <row r="111" spans="1:27" ht="12.75" customHeight="1" x14ac:dyDescent="0.3">
      <c r="A111" s="229"/>
      <c r="B111" s="229"/>
      <c r="C111" s="220"/>
      <c r="D111" s="220"/>
      <c r="E111" s="304" t="str">
        <f>IFERROR(IF(ISBLANK(C111),IF(ISBLANK(D111),"",VLOOKUP(D111,Subrecipient!$D$13:$E$200,2,FALSE)),VLOOKUP(C111,Subrecipient!$C$13:$E$200,3,FALSE)),"Not Found")</f>
        <v/>
      </c>
      <c r="F111" s="220"/>
      <c r="G111" s="286"/>
      <c r="H111" s="277"/>
      <c r="I111" s="304" t="str">
        <f t="shared" si="1"/>
        <v/>
      </c>
      <c r="J111" s="220"/>
      <c r="K111" s="287"/>
      <c r="L111" s="222"/>
      <c r="M111" s="223"/>
      <c r="N111" s="223"/>
      <c r="O111" s="223"/>
      <c r="P111" s="222"/>
      <c r="Q111" s="285"/>
      <c r="R111" s="220"/>
      <c r="S111" s="220"/>
      <c r="T111" s="220"/>
      <c r="U111" s="220"/>
      <c r="V111" s="220"/>
      <c r="W111" s="277"/>
      <c r="X111" s="277"/>
      <c r="Y111" s="220"/>
      <c r="Z111" s="220"/>
      <c r="AA111" s="220"/>
    </row>
    <row r="112" spans="1:27" ht="12.75" customHeight="1" x14ac:dyDescent="0.3">
      <c r="A112" s="229"/>
      <c r="B112" s="229"/>
      <c r="C112" s="220"/>
      <c r="D112" s="220"/>
      <c r="E112" s="304" t="str">
        <f>IFERROR(IF(ISBLANK(C112),IF(ISBLANK(D112),"",VLOOKUP(D112,Subrecipient!$D$13:$E$200,2,FALSE)),VLOOKUP(C112,Subrecipient!$C$13:$E$200,3,FALSE)),"Not Found")</f>
        <v/>
      </c>
      <c r="F112" s="220"/>
      <c r="G112" s="286"/>
      <c r="H112" s="277"/>
      <c r="I112" s="304" t="str">
        <f t="shared" si="1"/>
        <v/>
      </c>
      <c r="J112" s="220"/>
      <c r="K112" s="287"/>
      <c r="L112" s="222"/>
      <c r="M112" s="223"/>
      <c r="N112" s="223"/>
      <c r="O112" s="223"/>
      <c r="P112" s="222"/>
      <c r="Q112" s="285"/>
      <c r="R112" s="220"/>
      <c r="S112" s="220"/>
      <c r="T112" s="220"/>
      <c r="U112" s="220"/>
      <c r="V112" s="220"/>
      <c r="W112" s="277"/>
      <c r="X112" s="277"/>
      <c r="Y112" s="220"/>
      <c r="Z112" s="220"/>
      <c r="AA112" s="220"/>
    </row>
    <row r="113" spans="1:27" ht="12.75" customHeight="1" x14ac:dyDescent="0.3">
      <c r="A113" s="229"/>
      <c r="B113" s="229"/>
      <c r="C113" s="220"/>
      <c r="D113" s="220"/>
      <c r="E113" s="304" t="str">
        <f>IFERROR(IF(ISBLANK(C113),IF(ISBLANK(D113),"",VLOOKUP(D113,Subrecipient!$D$13:$E$200,2,FALSE)),VLOOKUP(C113,Subrecipient!$C$13:$E$200,3,FALSE)),"Not Found")</f>
        <v/>
      </c>
      <c r="F113" s="220"/>
      <c r="G113" s="286"/>
      <c r="H113" s="277"/>
      <c r="I113" s="304" t="str">
        <f t="shared" si="1"/>
        <v/>
      </c>
      <c r="J113" s="220"/>
      <c r="K113" s="287"/>
      <c r="L113" s="222"/>
      <c r="M113" s="223"/>
      <c r="N113" s="223"/>
      <c r="O113" s="223"/>
      <c r="P113" s="222"/>
      <c r="Q113" s="285"/>
      <c r="R113" s="220"/>
      <c r="S113" s="220"/>
      <c r="T113" s="220"/>
      <c r="U113" s="220"/>
      <c r="V113" s="220"/>
      <c r="W113" s="277"/>
      <c r="X113" s="277"/>
      <c r="Y113" s="220"/>
      <c r="Z113" s="220"/>
      <c r="AA113" s="220"/>
    </row>
    <row r="114" spans="1:27" ht="12.75" customHeight="1" x14ac:dyDescent="0.3">
      <c r="A114" s="229"/>
      <c r="B114" s="229"/>
      <c r="C114" s="220"/>
      <c r="D114" s="220"/>
      <c r="E114" s="304" t="str">
        <f>IFERROR(IF(ISBLANK(C114),IF(ISBLANK(D114),"",VLOOKUP(D114,Subrecipient!$D$13:$E$200,2,FALSE)),VLOOKUP(C114,Subrecipient!$C$13:$E$200,3,FALSE)),"Not Found")</f>
        <v/>
      </c>
      <c r="F114" s="220"/>
      <c r="G114" s="286"/>
      <c r="H114" s="277"/>
      <c r="I114" s="304" t="str">
        <f t="shared" si="1"/>
        <v/>
      </c>
      <c r="J114" s="220"/>
      <c r="K114" s="287"/>
      <c r="L114" s="222"/>
      <c r="M114" s="223"/>
      <c r="N114" s="223"/>
      <c r="O114" s="223"/>
      <c r="P114" s="222"/>
      <c r="Q114" s="285"/>
      <c r="R114" s="220"/>
      <c r="S114" s="220"/>
      <c r="T114" s="220"/>
      <c r="U114" s="220"/>
      <c r="V114" s="220"/>
      <c r="W114" s="277"/>
      <c r="X114" s="277"/>
      <c r="Y114" s="220"/>
      <c r="Z114" s="220"/>
      <c r="AA114" s="220"/>
    </row>
    <row r="115" spans="1:27" ht="12.75" customHeight="1" x14ac:dyDescent="0.3">
      <c r="A115" s="229"/>
      <c r="B115" s="229"/>
      <c r="C115" s="220"/>
      <c r="D115" s="220"/>
      <c r="E115" s="304" t="str">
        <f>IFERROR(IF(ISBLANK(C115),IF(ISBLANK(D115),"",VLOOKUP(D115,Subrecipient!$D$13:$E$200,2,FALSE)),VLOOKUP(C115,Subrecipient!$C$13:$E$200,3,FALSE)),"Not Found")</f>
        <v/>
      </c>
      <c r="F115" s="220"/>
      <c r="G115" s="286"/>
      <c r="H115" s="277"/>
      <c r="I115" s="304" t="str">
        <f t="shared" si="1"/>
        <v/>
      </c>
      <c r="J115" s="220"/>
      <c r="K115" s="287"/>
      <c r="L115" s="222"/>
      <c r="M115" s="223"/>
      <c r="N115" s="223"/>
      <c r="O115" s="223"/>
      <c r="P115" s="222"/>
      <c r="Q115" s="285"/>
      <c r="R115" s="220"/>
      <c r="S115" s="220"/>
      <c r="T115" s="220"/>
      <c r="U115" s="220"/>
      <c r="V115" s="220"/>
      <c r="W115" s="277"/>
      <c r="X115" s="277"/>
      <c r="Y115" s="220"/>
      <c r="Z115" s="220"/>
      <c r="AA115" s="220"/>
    </row>
    <row r="116" spans="1:27" ht="12.75" customHeight="1" x14ac:dyDescent="0.3">
      <c r="A116" s="229"/>
      <c r="B116" s="229"/>
      <c r="C116" s="220"/>
      <c r="D116" s="220"/>
      <c r="E116" s="304" t="str">
        <f>IFERROR(IF(ISBLANK(C116),IF(ISBLANK(D116),"",VLOOKUP(D116,Subrecipient!$D$13:$E$200,2,FALSE)),VLOOKUP(C116,Subrecipient!$C$13:$E$200,3,FALSE)),"Not Found")</f>
        <v/>
      </c>
      <c r="F116" s="220"/>
      <c r="G116" s="286"/>
      <c r="H116" s="277"/>
      <c r="I116" s="304" t="str">
        <f t="shared" si="1"/>
        <v/>
      </c>
      <c r="J116" s="220"/>
      <c r="K116" s="287"/>
      <c r="L116" s="222"/>
      <c r="M116" s="223"/>
      <c r="N116" s="223"/>
      <c r="O116" s="223"/>
      <c r="P116" s="222"/>
      <c r="Q116" s="285"/>
      <c r="R116" s="220"/>
      <c r="S116" s="220"/>
      <c r="T116" s="220"/>
      <c r="U116" s="220"/>
      <c r="V116" s="220"/>
      <c r="W116" s="277"/>
      <c r="X116" s="277"/>
      <c r="Y116" s="220"/>
      <c r="Z116" s="220"/>
      <c r="AA116" s="220"/>
    </row>
    <row r="117" spans="1:27" ht="12.75" customHeight="1" x14ac:dyDescent="0.3">
      <c r="A117" s="229"/>
      <c r="B117" s="229"/>
      <c r="C117" s="220"/>
      <c r="D117" s="220"/>
      <c r="E117" s="304" t="str">
        <f>IFERROR(IF(ISBLANK(C117),IF(ISBLANK(D117),"",VLOOKUP(D117,Subrecipient!$D$13:$E$200,2,FALSE)),VLOOKUP(C117,Subrecipient!$C$13:$E$200,3,FALSE)),"Not Found")</f>
        <v/>
      </c>
      <c r="F117" s="220"/>
      <c r="G117" s="286"/>
      <c r="H117" s="277"/>
      <c r="I117" s="304" t="str">
        <f t="shared" si="1"/>
        <v/>
      </c>
      <c r="J117" s="220"/>
      <c r="K117" s="287"/>
      <c r="L117" s="222"/>
      <c r="M117" s="223"/>
      <c r="N117" s="223"/>
      <c r="O117" s="223"/>
      <c r="P117" s="222"/>
      <c r="Q117" s="285"/>
      <c r="R117" s="220"/>
      <c r="S117" s="220"/>
      <c r="T117" s="220"/>
      <c r="U117" s="220"/>
      <c r="V117" s="220"/>
      <c r="W117" s="277"/>
      <c r="X117" s="277"/>
      <c r="Y117" s="220"/>
      <c r="Z117" s="220"/>
      <c r="AA117" s="220"/>
    </row>
    <row r="118" spans="1:27" ht="12.75" customHeight="1" x14ac:dyDescent="0.3">
      <c r="A118" s="229"/>
      <c r="B118" s="229"/>
      <c r="C118" s="220"/>
      <c r="D118" s="220"/>
      <c r="E118" s="304" t="str">
        <f>IFERROR(IF(ISBLANK(C118),IF(ISBLANK(D118),"",VLOOKUP(D118,Subrecipient!$D$13:$E$200,2,FALSE)),VLOOKUP(C118,Subrecipient!$C$13:$E$200,3,FALSE)),"Not Found")</f>
        <v/>
      </c>
      <c r="F118" s="220"/>
      <c r="G118" s="286"/>
      <c r="H118" s="277"/>
      <c r="I118" s="304" t="str">
        <f t="shared" si="1"/>
        <v/>
      </c>
      <c r="J118" s="220"/>
      <c r="K118" s="287"/>
      <c r="L118" s="222"/>
      <c r="M118" s="223"/>
      <c r="N118" s="223"/>
      <c r="O118" s="223"/>
      <c r="P118" s="222"/>
      <c r="Q118" s="285"/>
      <c r="R118" s="220"/>
      <c r="S118" s="220"/>
      <c r="T118" s="220"/>
      <c r="U118" s="220"/>
      <c r="V118" s="220"/>
      <c r="W118" s="277"/>
      <c r="X118" s="277"/>
      <c r="Y118" s="220"/>
      <c r="Z118" s="220"/>
      <c r="AA118" s="220"/>
    </row>
    <row r="119" spans="1:27" ht="12.75" customHeight="1" x14ac:dyDescent="0.3">
      <c r="A119" s="229"/>
      <c r="B119" s="229"/>
      <c r="C119" s="220"/>
      <c r="D119" s="220"/>
      <c r="E119" s="304" t="str">
        <f>IFERROR(IF(ISBLANK(C119),IF(ISBLANK(D119),"",VLOOKUP(D119,Subrecipient!$D$13:$E$200,2,FALSE)),VLOOKUP(C119,Subrecipient!$C$13:$E$200,3,FALSE)),"Not Found")</f>
        <v/>
      </c>
      <c r="F119" s="220"/>
      <c r="G119" s="286"/>
      <c r="H119" s="277"/>
      <c r="I119" s="304" t="str">
        <f t="shared" si="1"/>
        <v/>
      </c>
      <c r="J119" s="220"/>
      <c r="K119" s="287"/>
      <c r="L119" s="222"/>
      <c r="M119" s="223"/>
      <c r="N119" s="223"/>
      <c r="O119" s="223"/>
      <c r="P119" s="222"/>
      <c r="Q119" s="285"/>
      <c r="R119" s="220"/>
      <c r="S119" s="220"/>
      <c r="T119" s="220"/>
      <c r="U119" s="220"/>
      <c r="V119" s="220"/>
      <c r="W119" s="277"/>
      <c r="X119" s="277"/>
      <c r="Y119" s="220"/>
      <c r="Z119" s="220"/>
      <c r="AA119" s="220"/>
    </row>
    <row r="120" spans="1:27" ht="12.75" customHeight="1" x14ac:dyDescent="0.3">
      <c r="A120" s="229"/>
      <c r="B120" s="229"/>
      <c r="C120" s="220"/>
      <c r="D120" s="220"/>
      <c r="E120" s="304" t="str">
        <f>IFERROR(IF(ISBLANK(C120),IF(ISBLANK(D120),"",VLOOKUP(D120,Subrecipient!$D$13:$E$200,2,FALSE)),VLOOKUP(C120,Subrecipient!$C$13:$E$200,3,FALSE)),"Not Found")</f>
        <v/>
      </c>
      <c r="F120" s="220"/>
      <c r="G120" s="286"/>
      <c r="H120" s="277"/>
      <c r="I120" s="304" t="str">
        <f t="shared" si="1"/>
        <v/>
      </c>
      <c r="J120" s="220"/>
      <c r="K120" s="287"/>
      <c r="L120" s="222"/>
      <c r="M120" s="223"/>
      <c r="N120" s="223"/>
      <c r="O120" s="223"/>
      <c r="P120" s="222"/>
      <c r="Q120" s="285"/>
      <c r="R120" s="220"/>
      <c r="S120" s="220"/>
      <c r="T120" s="220"/>
      <c r="U120" s="220"/>
      <c r="V120" s="220"/>
      <c r="W120" s="277"/>
      <c r="X120" s="277"/>
      <c r="Y120" s="220"/>
      <c r="Z120" s="220"/>
      <c r="AA120" s="220"/>
    </row>
    <row r="121" spans="1:27" ht="12.75" customHeight="1" x14ac:dyDescent="0.3">
      <c r="A121" s="229"/>
      <c r="B121" s="229"/>
      <c r="C121" s="220"/>
      <c r="D121" s="220"/>
      <c r="E121" s="304" t="str">
        <f>IFERROR(IF(ISBLANK(C121),IF(ISBLANK(D121),"",VLOOKUP(D121,Subrecipient!$D$13:$E$200,2,FALSE)),VLOOKUP(C121,Subrecipient!$C$13:$E$200,3,FALSE)),"Not Found")</f>
        <v/>
      </c>
      <c r="F121" s="220"/>
      <c r="G121" s="286"/>
      <c r="H121" s="277"/>
      <c r="I121" s="304" t="str">
        <f t="shared" si="1"/>
        <v/>
      </c>
      <c r="J121" s="220"/>
      <c r="K121" s="287"/>
      <c r="L121" s="222"/>
      <c r="M121" s="223"/>
      <c r="N121" s="223"/>
      <c r="O121" s="223"/>
      <c r="P121" s="222"/>
      <c r="Q121" s="285"/>
      <c r="R121" s="220"/>
      <c r="S121" s="220"/>
      <c r="T121" s="220"/>
      <c r="U121" s="220"/>
      <c r="V121" s="220"/>
      <c r="W121" s="277"/>
      <c r="X121" s="277"/>
      <c r="Y121" s="220"/>
      <c r="Z121" s="220"/>
      <c r="AA121" s="220"/>
    </row>
    <row r="122" spans="1:27" ht="12.75" customHeight="1" x14ac:dyDescent="0.3">
      <c r="A122" s="229"/>
      <c r="B122" s="229"/>
      <c r="C122" s="220"/>
      <c r="D122" s="220"/>
      <c r="E122" s="304" t="str">
        <f>IFERROR(IF(ISBLANK(C122),IF(ISBLANK(D122),"",VLOOKUP(D122,Subrecipient!$D$13:$E$200,2,FALSE)),VLOOKUP(C122,Subrecipient!$C$13:$E$200,3,FALSE)),"Not Found")</f>
        <v/>
      </c>
      <c r="F122" s="220"/>
      <c r="G122" s="286"/>
      <c r="H122" s="277"/>
      <c r="I122" s="304" t="str">
        <f t="shared" si="1"/>
        <v/>
      </c>
      <c r="J122" s="220"/>
      <c r="K122" s="287"/>
      <c r="L122" s="222"/>
      <c r="M122" s="223"/>
      <c r="N122" s="223"/>
      <c r="O122" s="223"/>
      <c r="P122" s="222"/>
      <c r="Q122" s="285"/>
      <c r="R122" s="220"/>
      <c r="S122" s="220"/>
      <c r="T122" s="220"/>
      <c r="U122" s="220"/>
      <c r="V122" s="220"/>
      <c r="W122" s="277"/>
      <c r="X122" s="277"/>
      <c r="Y122" s="220"/>
      <c r="Z122" s="220"/>
      <c r="AA122" s="220"/>
    </row>
    <row r="123" spans="1:27" ht="12.75" customHeight="1" x14ac:dyDescent="0.3">
      <c r="A123" s="229"/>
      <c r="B123" s="229"/>
      <c r="C123" s="220"/>
      <c r="D123" s="220"/>
      <c r="E123" s="304" t="str">
        <f>IFERROR(IF(ISBLANK(C123),IF(ISBLANK(D123),"",VLOOKUP(D123,Subrecipient!$D$13:$E$200,2,FALSE)),VLOOKUP(C123,Subrecipient!$C$13:$E$200,3,FALSE)),"Not Found")</f>
        <v/>
      </c>
      <c r="F123" s="220"/>
      <c r="G123" s="286"/>
      <c r="H123" s="277"/>
      <c r="I123" s="304" t="str">
        <f t="shared" si="1"/>
        <v/>
      </c>
      <c r="J123" s="220"/>
      <c r="K123" s="287"/>
      <c r="L123" s="222"/>
      <c r="M123" s="223"/>
      <c r="N123" s="223"/>
      <c r="O123" s="223"/>
      <c r="P123" s="222"/>
      <c r="Q123" s="285"/>
      <c r="R123" s="220"/>
      <c r="S123" s="220"/>
      <c r="T123" s="220"/>
      <c r="U123" s="220"/>
      <c r="V123" s="220"/>
      <c r="W123" s="277"/>
      <c r="X123" s="277"/>
      <c r="Y123" s="220"/>
      <c r="Z123" s="220"/>
      <c r="AA123" s="220"/>
    </row>
    <row r="124" spans="1:27" ht="12.75" customHeight="1" x14ac:dyDescent="0.3">
      <c r="A124" s="229"/>
      <c r="B124" s="229"/>
      <c r="C124" s="220"/>
      <c r="D124" s="220"/>
      <c r="E124" s="304" t="str">
        <f>IFERROR(IF(ISBLANK(C124),IF(ISBLANK(D124),"",VLOOKUP(D124,Subrecipient!$D$13:$E$200,2,FALSE)),VLOOKUP(C124,Subrecipient!$C$13:$E$200,3,FALSE)),"Not Found")</f>
        <v/>
      </c>
      <c r="F124" s="220"/>
      <c r="G124" s="286"/>
      <c r="H124" s="277"/>
      <c r="I124" s="304" t="str">
        <f t="shared" si="1"/>
        <v/>
      </c>
      <c r="J124" s="220"/>
      <c r="K124" s="287"/>
      <c r="L124" s="222"/>
      <c r="M124" s="223"/>
      <c r="N124" s="223"/>
      <c r="O124" s="223"/>
      <c r="P124" s="222"/>
      <c r="Q124" s="285"/>
      <c r="R124" s="220"/>
      <c r="S124" s="220"/>
      <c r="T124" s="220"/>
      <c r="U124" s="220"/>
      <c r="V124" s="220"/>
      <c r="W124" s="277"/>
      <c r="X124" s="277"/>
      <c r="Y124" s="220"/>
      <c r="Z124" s="220"/>
      <c r="AA124" s="220"/>
    </row>
    <row r="125" spans="1:27" ht="12.75" customHeight="1" x14ac:dyDescent="0.3">
      <c r="A125" s="229"/>
      <c r="B125" s="229"/>
      <c r="C125" s="220"/>
      <c r="D125" s="220"/>
      <c r="E125" s="304" t="str">
        <f>IFERROR(IF(ISBLANK(C125),IF(ISBLANK(D125),"",VLOOKUP(D125,Subrecipient!$D$13:$E$200,2,FALSE)),VLOOKUP(C125,Subrecipient!$C$13:$E$200,3,FALSE)),"Not Found")</f>
        <v/>
      </c>
      <c r="F125" s="220"/>
      <c r="G125" s="286"/>
      <c r="H125" s="277"/>
      <c r="I125" s="304" t="str">
        <f t="shared" si="1"/>
        <v/>
      </c>
      <c r="J125" s="220"/>
      <c r="K125" s="287"/>
      <c r="L125" s="222"/>
      <c r="M125" s="223"/>
      <c r="N125" s="223"/>
      <c r="O125" s="223"/>
      <c r="P125" s="222"/>
      <c r="Q125" s="285"/>
      <c r="R125" s="220"/>
      <c r="S125" s="220"/>
      <c r="T125" s="220"/>
      <c r="U125" s="220"/>
      <c r="V125" s="220"/>
      <c r="W125" s="277"/>
      <c r="X125" s="277"/>
      <c r="Y125" s="220"/>
      <c r="Z125" s="220"/>
      <c r="AA125" s="220"/>
    </row>
    <row r="126" spans="1:27" ht="12.75" customHeight="1" x14ac:dyDescent="0.3">
      <c r="A126" s="229"/>
      <c r="B126" s="229"/>
      <c r="C126" s="220"/>
      <c r="D126" s="220"/>
      <c r="E126" s="304" t="str">
        <f>IFERROR(IF(ISBLANK(C126),IF(ISBLANK(D126),"",VLOOKUP(D126,Subrecipient!$D$13:$E$200,2,FALSE)),VLOOKUP(C126,Subrecipient!$C$13:$E$200,3,FALSE)),"Not Found")</f>
        <v/>
      </c>
      <c r="F126" s="220"/>
      <c r="G126" s="286"/>
      <c r="H126" s="277"/>
      <c r="I126" s="304" t="str">
        <f t="shared" si="1"/>
        <v/>
      </c>
      <c r="J126" s="220"/>
      <c r="K126" s="287"/>
      <c r="L126" s="222"/>
      <c r="M126" s="223"/>
      <c r="N126" s="223"/>
      <c r="O126" s="223"/>
      <c r="P126" s="222"/>
      <c r="Q126" s="285"/>
      <c r="R126" s="220"/>
      <c r="S126" s="220"/>
      <c r="T126" s="220"/>
      <c r="U126" s="220"/>
      <c r="V126" s="220"/>
      <c r="W126" s="277"/>
      <c r="X126" s="277"/>
      <c r="Y126" s="220"/>
      <c r="Z126" s="220"/>
      <c r="AA126" s="220"/>
    </row>
    <row r="127" spans="1:27" ht="12.75" customHeight="1" x14ac:dyDescent="0.3">
      <c r="A127" s="229"/>
      <c r="B127" s="229"/>
      <c r="C127" s="220"/>
      <c r="D127" s="220"/>
      <c r="E127" s="304" t="str">
        <f>IFERROR(IF(ISBLANK(C127),IF(ISBLANK(D127),"",VLOOKUP(D127,Subrecipient!$D$13:$E$200,2,FALSE)),VLOOKUP(C127,Subrecipient!$C$13:$E$200,3,FALSE)),"Not Found")</f>
        <v/>
      </c>
      <c r="F127" s="220"/>
      <c r="G127" s="286"/>
      <c r="H127" s="277"/>
      <c r="I127" s="304" t="str">
        <f t="shared" si="1"/>
        <v/>
      </c>
      <c r="J127" s="220"/>
      <c r="K127" s="287"/>
      <c r="L127" s="222"/>
      <c r="M127" s="223"/>
      <c r="N127" s="223"/>
      <c r="O127" s="223"/>
      <c r="P127" s="222"/>
      <c r="Q127" s="285"/>
      <c r="R127" s="220"/>
      <c r="S127" s="220"/>
      <c r="T127" s="220"/>
      <c r="U127" s="220"/>
      <c r="V127" s="220"/>
      <c r="W127" s="277"/>
      <c r="X127" s="277"/>
      <c r="Y127" s="220"/>
      <c r="Z127" s="220"/>
      <c r="AA127" s="220"/>
    </row>
    <row r="128" spans="1:27" ht="12.75" customHeight="1" x14ac:dyDescent="0.3">
      <c r="A128" s="229"/>
      <c r="B128" s="229"/>
      <c r="C128" s="220"/>
      <c r="D128" s="220"/>
      <c r="E128" s="304" t="str">
        <f>IFERROR(IF(ISBLANK(C128),IF(ISBLANK(D128),"",VLOOKUP(D128,Subrecipient!$D$13:$E$200,2,FALSE)),VLOOKUP(C128,Subrecipient!$C$13:$E$200,3,FALSE)),"Not Found")</f>
        <v/>
      </c>
      <c r="F128" s="220"/>
      <c r="G128" s="286"/>
      <c r="H128" s="277"/>
      <c r="I128" s="304" t="str">
        <f t="shared" si="1"/>
        <v/>
      </c>
      <c r="J128" s="220"/>
      <c r="K128" s="287"/>
      <c r="L128" s="222"/>
      <c r="M128" s="223"/>
      <c r="N128" s="223"/>
      <c r="O128" s="223"/>
      <c r="P128" s="222"/>
      <c r="Q128" s="285"/>
      <c r="R128" s="220"/>
      <c r="S128" s="220"/>
      <c r="T128" s="220"/>
      <c r="U128" s="220"/>
      <c r="V128" s="220"/>
      <c r="W128" s="277"/>
      <c r="X128" s="277"/>
      <c r="Y128" s="220"/>
      <c r="Z128" s="220"/>
      <c r="AA128" s="220"/>
    </row>
    <row r="129" spans="1:27" ht="12.75" customHeight="1" x14ac:dyDescent="0.3">
      <c r="A129" s="229"/>
      <c r="B129" s="229"/>
      <c r="C129" s="220"/>
      <c r="D129" s="220"/>
      <c r="E129" s="304" t="str">
        <f>IFERROR(IF(ISBLANK(C129),IF(ISBLANK(D129),"",VLOOKUP(D129,Subrecipient!$D$13:$E$200,2,FALSE)),VLOOKUP(C129,Subrecipient!$C$13:$E$200,3,FALSE)),"Not Found")</f>
        <v/>
      </c>
      <c r="F129" s="220"/>
      <c r="G129" s="286"/>
      <c r="H129" s="277"/>
      <c r="I129" s="304" t="str">
        <f t="shared" si="1"/>
        <v/>
      </c>
      <c r="J129" s="220"/>
      <c r="K129" s="287"/>
      <c r="L129" s="222"/>
      <c r="M129" s="223"/>
      <c r="N129" s="223"/>
      <c r="O129" s="223"/>
      <c r="P129" s="222"/>
      <c r="Q129" s="285"/>
      <c r="R129" s="220"/>
      <c r="S129" s="220"/>
      <c r="T129" s="220"/>
      <c r="U129" s="220"/>
      <c r="V129" s="220"/>
      <c r="W129" s="277"/>
      <c r="X129" s="277"/>
      <c r="Y129" s="220"/>
      <c r="Z129" s="220"/>
      <c r="AA129" s="220"/>
    </row>
    <row r="130" spans="1:27" ht="12.75" customHeight="1" x14ac:dyDescent="0.3">
      <c r="A130" s="229"/>
      <c r="B130" s="229"/>
      <c r="C130" s="220"/>
      <c r="D130" s="220"/>
      <c r="E130" s="304" t="str">
        <f>IFERROR(IF(ISBLANK(C130),IF(ISBLANK(D130),"",VLOOKUP(D130,Subrecipient!$D$13:$E$200,2,FALSE)),VLOOKUP(C130,Subrecipient!$C$13:$E$200,3,FALSE)),"Not Found")</f>
        <v/>
      </c>
      <c r="F130" s="220"/>
      <c r="G130" s="286"/>
      <c r="H130" s="277"/>
      <c r="I130" s="304" t="str">
        <f t="shared" si="1"/>
        <v/>
      </c>
      <c r="J130" s="220"/>
      <c r="K130" s="287"/>
      <c r="L130" s="222"/>
      <c r="M130" s="223"/>
      <c r="N130" s="223"/>
      <c r="O130" s="223"/>
      <c r="P130" s="222"/>
      <c r="Q130" s="285"/>
      <c r="R130" s="220"/>
      <c r="S130" s="220"/>
      <c r="T130" s="220"/>
      <c r="U130" s="220"/>
      <c r="V130" s="220"/>
      <c r="W130" s="277"/>
      <c r="X130" s="277"/>
      <c r="Y130" s="220"/>
      <c r="Z130" s="220"/>
      <c r="AA130" s="220"/>
    </row>
    <row r="131" spans="1:27" ht="12.75" customHeight="1" x14ac:dyDescent="0.3">
      <c r="A131" s="229"/>
      <c r="B131" s="229"/>
      <c r="C131" s="220"/>
      <c r="D131" s="220"/>
      <c r="E131" s="304" t="str">
        <f>IFERROR(IF(ISBLANK(C131),IF(ISBLANK(D131),"",VLOOKUP(D131,Subrecipient!$D$13:$E$200,2,FALSE)),VLOOKUP(C131,Subrecipient!$C$13:$E$200,3,FALSE)),"Not Found")</f>
        <v/>
      </c>
      <c r="F131" s="220"/>
      <c r="G131" s="286"/>
      <c r="H131" s="277"/>
      <c r="I131" s="304" t="str">
        <f t="shared" si="1"/>
        <v/>
      </c>
      <c r="J131" s="220"/>
      <c r="K131" s="287"/>
      <c r="L131" s="222"/>
      <c r="M131" s="223"/>
      <c r="N131" s="223"/>
      <c r="O131" s="223"/>
      <c r="P131" s="222"/>
      <c r="Q131" s="285"/>
      <c r="R131" s="220"/>
      <c r="S131" s="220"/>
      <c r="T131" s="220"/>
      <c r="U131" s="220"/>
      <c r="V131" s="220"/>
      <c r="W131" s="277"/>
      <c r="X131" s="277"/>
      <c r="Y131" s="220"/>
      <c r="Z131" s="220"/>
      <c r="AA131" s="220"/>
    </row>
    <row r="132" spans="1:27" ht="12.75" customHeight="1" x14ac:dyDescent="0.3">
      <c r="A132" s="229"/>
      <c r="B132" s="229"/>
      <c r="C132" s="220"/>
      <c r="D132" s="220"/>
      <c r="E132" s="304" t="str">
        <f>IFERROR(IF(ISBLANK(C132),IF(ISBLANK(D132),"",VLOOKUP(D132,Subrecipient!$D$13:$E$200,2,FALSE)),VLOOKUP(C132,Subrecipient!$C$13:$E$200,3,FALSE)),"Not Found")</f>
        <v/>
      </c>
      <c r="F132" s="220"/>
      <c r="G132" s="286"/>
      <c r="H132" s="277"/>
      <c r="I132" s="304" t="str">
        <f t="shared" si="1"/>
        <v/>
      </c>
      <c r="J132" s="220"/>
      <c r="K132" s="287"/>
      <c r="L132" s="222"/>
      <c r="M132" s="223"/>
      <c r="N132" s="223"/>
      <c r="O132" s="223"/>
      <c r="P132" s="222"/>
      <c r="Q132" s="285"/>
      <c r="R132" s="220"/>
      <c r="S132" s="220"/>
      <c r="T132" s="220"/>
      <c r="U132" s="220"/>
      <c r="V132" s="220"/>
      <c r="W132" s="277"/>
      <c r="X132" s="277"/>
      <c r="Y132" s="220"/>
      <c r="Z132" s="220"/>
      <c r="AA132" s="220"/>
    </row>
    <row r="133" spans="1:27" ht="12.75" customHeight="1" x14ac:dyDescent="0.3">
      <c r="A133" s="229"/>
      <c r="B133" s="229"/>
      <c r="C133" s="220"/>
      <c r="D133" s="220"/>
      <c r="E133" s="304" t="str">
        <f>IFERROR(IF(ISBLANK(C133),IF(ISBLANK(D133),"",VLOOKUP(D133,Subrecipient!$D$13:$E$200,2,FALSE)),VLOOKUP(C133,Subrecipient!$C$13:$E$200,3,FALSE)),"Not Found")</f>
        <v/>
      </c>
      <c r="F133" s="220"/>
      <c r="G133" s="286"/>
      <c r="H133" s="277"/>
      <c r="I133" s="304" t="str">
        <f t="shared" si="1"/>
        <v/>
      </c>
      <c r="J133" s="220"/>
      <c r="K133" s="287"/>
      <c r="L133" s="222"/>
      <c r="M133" s="223"/>
      <c r="N133" s="223"/>
      <c r="O133" s="223"/>
      <c r="P133" s="222"/>
      <c r="Q133" s="285"/>
      <c r="R133" s="220"/>
      <c r="S133" s="220"/>
      <c r="T133" s="220"/>
      <c r="U133" s="220"/>
      <c r="V133" s="220"/>
      <c r="W133" s="277"/>
      <c r="X133" s="277"/>
      <c r="Y133" s="220"/>
      <c r="Z133" s="220"/>
      <c r="AA133" s="220"/>
    </row>
    <row r="134" spans="1:27" ht="12.75" customHeight="1" x14ac:dyDescent="0.3">
      <c r="A134" s="229"/>
      <c r="B134" s="229"/>
      <c r="C134" s="220"/>
      <c r="D134" s="220"/>
      <c r="E134" s="304" t="str">
        <f>IFERROR(IF(ISBLANK(C134),IF(ISBLANK(D134),"",VLOOKUP(D134,Subrecipient!$D$13:$E$200,2,FALSE)),VLOOKUP(C134,Subrecipient!$C$13:$E$200,3,FALSE)),"Not Found")</f>
        <v/>
      </c>
      <c r="F134" s="220"/>
      <c r="G134" s="286"/>
      <c r="H134" s="277"/>
      <c r="I134" s="304" t="str">
        <f t="shared" si="1"/>
        <v/>
      </c>
      <c r="J134" s="220"/>
      <c r="K134" s="287"/>
      <c r="L134" s="222"/>
      <c r="M134" s="223"/>
      <c r="N134" s="223"/>
      <c r="O134" s="223"/>
      <c r="P134" s="222"/>
      <c r="Q134" s="285"/>
      <c r="R134" s="220"/>
      <c r="S134" s="220"/>
      <c r="T134" s="220"/>
      <c r="U134" s="220"/>
      <c r="V134" s="220"/>
      <c r="W134" s="277"/>
      <c r="X134" s="277"/>
      <c r="Y134" s="220"/>
      <c r="Z134" s="220"/>
      <c r="AA134" s="220"/>
    </row>
    <row r="135" spans="1:27" ht="12.75" customHeight="1" x14ac:dyDescent="0.3">
      <c r="A135" s="229"/>
      <c r="B135" s="229"/>
      <c r="C135" s="220"/>
      <c r="D135" s="220"/>
      <c r="E135" s="304" t="str">
        <f>IFERROR(IF(ISBLANK(C135),IF(ISBLANK(D135),"",VLOOKUP(D135,Subrecipient!$D$13:$E$200,2,FALSE)),VLOOKUP(C135,Subrecipient!$C$13:$E$200,3,FALSE)),"Not Found")</f>
        <v/>
      </c>
      <c r="F135" s="220"/>
      <c r="G135" s="286"/>
      <c r="H135" s="277"/>
      <c r="I135" s="304" t="str">
        <f t="shared" si="1"/>
        <v/>
      </c>
      <c r="J135" s="220"/>
      <c r="K135" s="287"/>
      <c r="L135" s="222"/>
      <c r="M135" s="223"/>
      <c r="N135" s="223"/>
      <c r="O135" s="223"/>
      <c r="P135" s="222"/>
      <c r="Q135" s="285"/>
      <c r="R135" s="220"/>
      <c r="S135" s="220"/>
      <c r="T135" s="220"/>
      <c r="U135" s="220"/>
      <c r="V135" s="220"/>
      <c r="W135" s="277"/>
      <c r="X135" s="277"/>
      <c r="Y135" s="220"/>
      <c r="Z135" s="220"/>
      <c r="AA135" s="220"/>
    </row>
    <row r="136" spans="1:27" ht="12.75" customHeight="1" x14ac:dyDescent="0.3">
      <c r="A136" s="229"/>
      <c r="B136" s="229"/>
      <c r="C136" s="220"/>
      <c r="D136" s="220"/>
      <c r="E136" s="304" t="str">
        <f>IFERROR(IF(ISBLANK(C136),IF(ISBLANK(D136),"",VLOOKUP(D136,Subrecipient!$D$13:$E$200,2,FALSE)),VLOOKUP(C136,Subrecipient!$C$13:$E$200,3,FALSE)),"Not Found")</f>
        <v/>
      </c>
      <c r="F136" s="220"/>
      <c r="G136" s="286"/>
      <c r="H136" s="277"/>
      <c r="I136" s="304" t="str">
        <f t="shared" si="1"/>
        <v/>
      </c>
      <c r="J136" s="220"/>
      <c r="K136" s="287"/>
      <c r="L136" s="222"/>
      <c r="M136" s="223"/>
      <c r="N136" s="223"/>
      <c r="O136" s="223"/>
      <c r="P136" s="222"/>
      <c r="Q136" s="285"/>
      <c r="R136" s="220"/>
      <c r="S136" s="220"/>
      <c r="T136" s="220"/>
      <c r="U136" s="220"/>
      <c r="V136" s="220"/>
      <c r="W136" s="277"/>
      <c r="X136" s="277"/>
      <c r="Y136" s="220"/>
      <c r="Z136" s="220"/>
      <c r="AA136" s="220"/>
    </row>
    <row r="137" spans="1:27" ht="12.75" customHeight="1" x14ac:dyDescent="0.3">
      <c r="A137" s="229"/>
      <c r="B137" s="229"/>
      <c r="C137" s="220"/>
      <c r="D137" s="220"/>
      <c r="E137" s="304" t="str">
        <f>IFERROR(IF(ISBLANK(C137),IF(ISBLANK(D137),"",VLOOKUP(D137,Subrecipient!$D$13:$E$200,2,FALSE)),VLOOKUP(C137,Subrecipient!$C$13:$E$200,3,FALSE)),"Not Found")</f>
        <v/>
      </c>
      <c r="F137" s="220"/>
      <c r="G137" s="286"/>
      <c r="H137" s="277"/>
      <c r="I137" s="304" t="str">
        <f t="shared" si="1"/>
        <v/>
      </c>
      <c r="J137" s="220"/>
      <c r="K137" s="287"/>
      <c r="L137" s="222"/>
      <c r="M137" s="223"/>
      <c r="N137" s="223"/>
      <c r="O137" s="223"/>
      <c r="P137" s="222"/>
      <c r="Q137" s="285"/>
      <c r="R137" s="220"/>
      <c r="S137" s="220"/>
      <c r="T137" s="220"/>
      <c r="U137" s="220"/>
      <c r="V137" s="220"/>
      <c r="W137" s="277"/>
      <c r="X137" s="277"/>
      <c r="Y137" s="220"/>
      <c r="Z137" s="220"/>
      <c r="AA137" s="220"/>
    </row>
    <row r="138" spans="1:27" ht="12.75" customHeight="1" x14ac:dyDescent="0.3">
      <c r="A138" s="229"/>
      <c r="B138" s="229"/>
      <c r="C138" s="220"/>
      <c r="D138" s="220"/>
      <c r="E138" s="304" t="str">
        <f>IFERROR(IF(ISBLANK(C138),IF(ISBLANK(D138),"",VLOOKUP(D138,Subrecipient!$D$13:$E$200,2,FALSE)),VLOOKUP(C138,Subrecipient!$C$13:$E$200,3,FALSE)),"Not Found")</f>
        <v/>
      </c>
      <c r="F138" s="220"/>
      <c r="G138" s="286"/>
      <c r="H138" s="277"/>
      <c r="I138" s="304" t="str">
        <f t="shared" si="1"/>
        <v/>
      </c>
      <c r="J138" s="220"/>
      <c r="K138" s="287"/>
      <c r="L138" s="222"/>
      <c r="M138" s="223"/>
      <c r="N138" s="223"/>
      <c r="O138" s="223"/>
      <c r="P138" s="222"/>
      <c r="Q138" s="285"/>
      <c r="R138" s="220"/>
      <c r="S138" s="220"/>
      <c r="T138" s="220"/>
      <c r="U138" s="220"/>
      <c r="V138" s="220"/>
      <c r="W138" s="277"/>
      <c r="X138" s="277"/>
      <c r="Y138" s="220"/>
      <c r="Z138" s="220"/>
      <c r="AA138" s="220"/>
    </row>
    <row r="139" spans="1:27" ht="12.75" customHeight="1" x14ac:dyDescent="0.3">
      <c r="A139" s="229"/>
      <c r="B139" s="229"/>
      <c r="C139" s="220"/>
      <c r="D139" s="220"/>
      <c r="E139" s="304" t="str">
        <f>IFERROR(IF(ISBLANK(C139),IF(ISBLANK(D139),"",VLOOKUP(D139,Subrecipient!$D$13:$E$200,2,FALSE)),VLOOKUP(C139,Subrecipient!$C$13:$E$200,3,FALSE)),"Not Found")</f>
        <v/>
      </c>
      <c r="F139" s="220"/>
      <c r="G139" s="286"/>
      <c r="H139" s="277"/>
      <c r="I139" s="304" t="str">
        <f t="shared" si="1"/>
        <v/>
      </c>
      <c r="J139" s="220"/>
      <c r="K139" s="287"/>
      <c r="L139" s="222"/>
      <c r="M139" s="223"/>
      <c r="N139" s="223"/>
      <c r="O139" s="223"/>
      <c r="P139" s="222"/>
      <c r="Q139" s="285"/>
      <c r="R139" s="220"/>
      <c r="S139" s="220"/>
      <c r="T139" s="220"/>
      <c r="U139" s="220"/>
      <c r="V139" s="220"/>
      <c r="W139" s="277"/>
      <c r="X139" s="277"/>
      <c r="Y139" s="220"/>
      <c r="Z139" s="220"/>
      <c r="AA139" s="220"/>
    </row>
    <row r="140" spans="1:27" ht="12.75" customHeight="1" x14ac:dyDescent="0.3">
      <c r="A140" s="229"/>
      <c r="B140" s="229"/>
      <c r="C140" s="220"/>
      <c r="D140" s="220"/>
      <c r="E140" s="304" t="str">
        <f>IFERROR(IF(ISBLANK(C140),IF(ISBLANK(D140),"",VLOOKUP(D140,Subrecipient!$D$13:$E$200,2,FALSE)),VLOOKUP(C140,Subrecipient!$C$13:$E$200,3,FALSE)),"Not Found")</f>
        <v/>
      </c>
      <c r="F140" s="220"/>
      <c r="G140" s="286"/>
      <c r="H140" s="277"/>
      <c r="I140" s="304" t="str">
        <f t="shared" si="1"/>
        <v/>
      </c>
      <c r="J140" s="220"/>
      <c r="K140" s="287"/>
      <c r="L140" s="222"/>
      <c r="M140" s="223"/>
      <c r="N140" s="223"/>
      <c r="O140" s="223"/>
      <c r="P140" s="222"/>
      <c r="Q140" s="285"/>
      <c r="R140" s="220"/>
      <c r="S140" s="220"/>
      <c r="T140" s="220"/>
      <c r="U140" s="220"/>
      <c r="V140" s="220"/>
      <c r="W140" s="277"/>
      <c r="X140" s="277"/>
      <c r="Y140" s="220"/>
      <c r="Z140" s="220"/>
      <c r="AA140" s="220"/>
    </row>
    <row r="141" spans="1:27" ht="12.75" customHeight="1" x14ac:dyDescent="0.3">
      <c r="A141" s="229"/>
      <c r="B141" s="229"/>
      <c r="C141" s="220"/>
      <c r="D141" s="220"/>
      <c r="E141" s="304" t="str">
        <f>IFERROR(IF(ISBLANK(C141),IF(ISBLANK(D141),"",VLOOKUP(D141,Subrecipient!$D$13:$E$200,2,FALSE)),VLOOKUP(C141,Subrecipient!$C$13:$E$200,3,FALSE)),"Not Found")</f>
        <v/>
      </c>
      <c r="F141" s="220"/>
      <c r="G141" s="286"/>
      <c r="H141" s="277"/>
      <c r="I141" s="304" t="str">
        <f t="shared" si="1"/>
        <v/>
      </c>
      <c r="J141" s="220"/>
      <c r="K141" s="287"/>
      <c r="L141" s="222"/>
      <c r="M141" s="223"/>
      <c r="N141" s="223"/>
      <c r="O141" s="223"/>
      <c r="P141" s="222"/>
      <c r="Q141" s="285"/>
      <c r="R141" s="220"/>
      <c r="S141" s="220"/>
      <c r="T141" s="220"/>
      <c r="U141" s="220"/>
      <c r="V141" s="220"/>
      <c r="W141" s="277"/>
      <c r="X141" s="277"/>
      <c r="Y141" s="220"/>
      <c r="Z141" s="220"/>
      <c r="AA141" s="220"/>
    </row>
    <row r="142" spans="1:27" ht="12.75" customHeight="1" x14ac:dyDescent="0.3">
      <c r="A142" s="229"/>
      <c r="B142" s="229"/>
      <c r="C142" s="220"/>
      <c r="D142" s="220"/>
      <c r="E142" s="304" t="str">
        <f>IFERROR(IF(ISBLANK(C142),IF(ISBLANK(D142),"",VLOOKUP(D142,Subrecipient!$D$13:$E$200,2,FALSE)),VLOOKUP(C142,Subrecipient!$C$13:$E$200,3,FALSE)),"Not Found")</f>
        <v/>
      </c>
      <c r="F142" s="220"/>
      <c r="G142" s="286"/>
      <c r="H142" s="277"/>
      <c r="I142" s="304" t="str">
        <f t="shared" ref="I142:I200" si="2">E142</f>
        <v/>
      </c>
      <c r="J142" s="220"/>
      <c r="K142" s="287"/>
      <c r="L142" s="222"/>
      <c r="M142" s="223"/>
      <c r="N142" s="223"/>
      <c r="O142" s="223"/>
      <c r="P142" s="222"/>
      <c r="Q142" s="285"/>
      <c r="R142" s="220"/>
      <c r="S142" s="220"/>
      <c r="T142" s="220"/>
      <c r="U142" s="220"/>
      <c r="V142" s="220"/>
      <c r="W142" s="277"/>
      <c r="X142" s="277"/>
      <c r="Y142" s="220"/>
      <c r="Z142" s="220"/>
      <c r="AA142" s="220"/>
    </row>
    <row r="143" spans="1:27" ht="12.75" customHeight="1" x14ac:dyDescent="0.3">
      <c r="A143" s="229"/>
      <c r="B143" s="229"/>
      <c r="C143" s="220"/>
      <c r="D143" s="220"/>
      <c r="E143" s="304" t="str">
        <f>IFERROR(IF(ISBLANK(C143),IF(ISBLANK(D143),"",VLOOKUP(D143,Subrecipient!$D$13:$E$200,2,FALSE)),VLOOKUP(C143,Subrecipient!$C$13:$E$200,3,FALSE)),"Not Found")</f>
        <v/>
      </c>
      <c r="F143" s="220"/>
      <c r="G143" s="286"/>
      <c r="H143" s="277"/>
      <c r="I143" s="304" t="str">
        <f t="shared" si="2"/>
        <v/>
      </c>
      <c r="J143" s="220"/>
      <c r="K143" s="287"/>
      <c r="L143" s="222"/>
      <c r="M143" s="223"/>
      <c r="N143" s="223"/>
      <c r="O143" s="223"/>
      <c r="P143" s="222"/>
      <c r="Q143" s="285"/>
      <c r="R143" s="220"/>
      <c r="S143" s="220"/>
      <c r="T143" s="220"/>
      <c r="U143" s="220"/>
      <c r="V143" s="220"/>
      <c r="W143" s="277"/>
      <c r="X143" s="277"/>
      <c r="Y143" s="220"/>
      <c r="Z143" s="220"/>
      <c r="AA143" s="220"/>
    </row>
    <row r="144" spans="1:27" ht="12.75" customHeight="1" x14ac:dyDescent="0.3">
      <c r="A144" s="229"/>
      <c r="B144" s="229"/>
      <c r="C144" s="220"/>
      <c r="D144" s="220"/>
      <c r="E144" s="304" t="str">
        <f>IFERROR(IF(ISBLANK(C144),IF(ISBLANK(D144),"",VLOOKUP(D144,Subrecipient!$D$13:$E$200,2,FALSE)),VLOOKUP(C144,Subrecipient!$C$13:$E$200,3,FALSE)),"Not Found")</f>
        <v/>
      </c>
      <c r="F144" s="220"/>
      <c r="G144" s="286"/>
      <c r="H144" s="277"/>
      <c r="I144" s="304" t="str">
        <f t="shared" si="2"/>
        <v/>
      </c>
      <c r="J144" s="220"/>
      <c r="K144" s="287"/>
      <c r="L144" s="222"/>
      <c r="M144" s="223"/>
      <c r="N144" s="223"/>
      <c r="O144" s="223"/>
      <c r="P144" s="222"/>
      <c r="Q144" s="285"/>
      <c r="R144" s="220"/>
      <c r="S144" s="220"/>
      <c r="T144" s="220"/>
      <c r="U144" s="220"/>
      <c r="V144" s="220"/>
      <c r="W144" s="277"/>
      <c r="X144" s="277"/>
      <c r="Y144" s="220"/>
      <c r="Z144" s="220"/>
      <c r="AA144" s="220"/>
    </row>
    <row r="145" spans="1:27" ht="12.75" customHeight="1" x14ac:dyDescent="0.3">
      <c r="A145" s="229"/>
      <c r="B145" s="229"/>
      <c r="C145" s="220"/>
      <c r="D145" s="220"/>
      <c r="E145" s="304" t="str">
        <f>IFERROR(IF(ISBLANK(C145),IF(ISBLANK(D145),"",VLOOKUP(D145,Subrecipient!$D$13:$E$200,2,FALSE)),VLOOKUP(C145,Subrecipient!$C$13:$E$200,3,FALSE)),"Not Found")</f>
        <v/>
      </c>
      <c r="F145" s="220"/>
      <c r="G145" s="286"/>
      <c r="H145" s="277"/>
      <c r="I145" s="304" t="str">
        <f t="shared" si="2"/>
        <v/>
      </c>
      <c r="J145" s="220"/>
      <c r="K145" s="287"/>
      <c r="L145" s="222"/>
      <c r="M145" s="223"/>
      <c r="N145" s="223"/>
      <c r="O145" s="223"/>
      <c r="P145" s="222"/>
      <c r="Q145" s="285"/>
      <c r="R145" s="220"/>
      <c r="S145" s="220"/>
      <c r="T145" s="220"/>
      <c r="U145" s="220"/>
      <c r="V145" s="220"/>
      <c r="W145" s="277"/>
      <c r="X145" s="277"/>
      <c r="Y145" s="220"/>
      <c r="Z145" s="220"/>
      <c r="AA145" s="220"/>
    </row>
    <row r="146" spans="1:27" ht="12.75" customHeight="1" x14ac:dyDescent="0.3">
      <c r="A146" s="229"/>
      <c r="B146" s="229"/>
      <c r="C146" s="220"/>
      <c r="D146" s="220"/>
      <c r="E146" s="304" t="str">
        <f>IFERROR(IF(ISBLANK(C146),IF(ISBLANK(D146),"",VLOOKUP(D146,Subrecipient!$D$13:$E$200,2,FALSE)),VLOOKUP(C146,Subrecipient!$C$13:$E$200,3,FALSE)),"Not Found")</f>
        <v/>
      </c>
      <c r="F146" s="220"/>
      <c r="G146" s="286"/>
      <c r="H146" s="277"/>
      <c r="I146" s="304" t="str">
        <f t="shared" si="2"/>
        <v/>
      </c>
      <c r="J146" s="220"/>
      <c r="K146" s="287"/>
      <c r="L146" s="222"/>
      <c r="M146" s="223"/>
      <c r="N146" s="223"/>
      <c r="O146" s="223"/>
      <c r="P146" s="222"/>
      <c r="Q146" s="285"/>
      <c r="R146" s="220"/>
      <c r="S146" s="220"/>
      <c r="T146" s="220"/>
      <c r="U146" s="220"/>
      <c r="V146" s="220"/>
      <c r="W146" s="277"/>
      <c r="X146" s="277"/>
      <c r="Y146" s="220"/>
      <c r="Z146" s="220"/>
      <c r="AA146" s="220"/>
    </row>
    <row r="147" spans="1:27" ht="12.75" customHeight="1" x14ac:dyDescent="0.3">
      <c r="A147" s="229"/>
      <c r="B147" s="229"/>
      <c r="C147" s="220"/>
      <c r="D147" s="220"/>
      <c r="E147" s="304" t="str">
        <f>IFERROR(IF(ISBLANK(C147),IF(ISBLANK(D147),"",VLOOKUP(D147,Subrecipient!$D$13:$E$200,2,FALSE)),VLOOKUP(C147,Subrecipient!$C$13:$E$200,3,FALSE)),"Not Found")</f>
        <v/>
      </c>
      <c r="F147" s="220"/>
      <c r="G147" s="286"/>
      <c r="H147" s="277"/>
      <c r="I147" s="304" t="str">
        <f t="shared" si="2"/>
        <v/>
      </c>
      <c r="J147" s="220"/>
      <c r="K147" s="287"/>
      <c r="L147" s="222"/>
      <c r="M147" s="223"/>
      <c r="N147" s="223"/>
      <c r="O147" s="223"/>
      <c r="P147" s="222"/>
      <c r="Q147" s="285"/>
      <c r="R147" s="220"/>
      <c r="S147" s="220"/>
      <c r="T147" s="220"/>
      <c r="U147" s="220"/>
      <c r="V147" s="220"/>
      <c r="W147" s="277"/>
      <c r="X147" s="277"/>
      <c r="Y147" s="220"/>
      <c r="Z147" s="220"/>
      <c r="AA147" s="220"/>
    </row>
    <row r="148" spans="1:27" ht="12.75" customHeight="1" x14ac:dyDescent="0.3">
      <c r="A148" s="229"/>
      <c r="B148" s="229"/>
      <c r="C148" s="220"/>
      <c r="D148" s="220"/>
      <c r="E148" s="304" t="str">
        <f>IFERROR(IF(ISBLANK(C148),IF(ISBLANK(D148),"",VLOOKUP(D148,Subrecipient!$D$13:$E$200,2,FALSE)),VLOOKUP(C148,Subrecipient!$C$13:$E$200,3,FALSE)),"Not Found")</f>
        <v/>
      </c>
      <c r="F148" s="220"/>
      <c r="G148" s="286"/>
      <c r="H148" s="277"/>
      <c r="I148" s="304" t="str">
        <f t="shared" si="2"/>
        <v/>
      </c>
      <c r="J148" s="220"/>
      <c r="K148" s="287"/>
      <c r="L148" s="222"/>
      <c r="M148" s="223"/>
      <c r="N148" s="223"/>
      <c r="O148" s="223"/>
      <c r="P148" s="222"/>
      <c r="Q148" s="285"/>
      <c r="R148" s="220"/>
      <c r="S148" s="220"/>
      <c r="T148" s="220"/>
      <c r="U148" s="220"/>
      <c r="V148" s="220"/>
      <c r="W148" s="277"/>
      <c r="X148" s="277"/>
      <c r="Y148" s="220"/>
      <c r="Z148" s="220"/>
      <c r="AA148" s="220"/>
    </row>
    <row r="149" spans="1:27" ht="12.75" customHeight="1" x14ac:dyDescent="0.3">
      <c r="A149" s="229"/>
      <c r="B149" s="229"/>
      <c r="C149" s="220"/>
      <c r="D149" s="220"/>
      <c r="E149" s="304" t="str">
        <f>IFERROR(IF(ISBLANK(C149),IF(ISBLANK(D149),"",VLOOKUP(D149,Subrecipient!$D$13:$E$200,2,FALSE)),VLOOKUP(C149,Subrecipient!$C$13:$E$200,3,FALSE)),"Not Found")</f>
        <v/>
      </c>
      <c r="F149" s="220"/>
      <c r="G149" s="286"/>
      <c r="H149" s="277"/>
      <c r="I149" s="304" t="str">
        <f t="shared" si="2"/>
        <v/>
      </c>
      <c r="J149" s="220"/>
      <c r="K149" s="287"/>
      <c r="L149" s="222"/>
      <c r="M149" s="223"/>
      <c r="N149" s="223"/>
      <c r="O149" s="223"/>
      <c r="P149" s="222"/>
      <c r="Q149" s="285"/>
      <c r="R149" s="220"/>
      <c r="S149" s="220"/>
      <c r="T149" s="220"/>
      <c r="U149" s="220"/>
      <c r="V149" s="220"/>
      <c r="W149" s="277"/>
      <c r="X149" s="277"/>
      <c r="Y149" s="220"/>
      <c r="Z149" s="220"/>
      <c r="AA149" s="220"/>
    </row>
    <row r="150" spans="1:27" ht="12.75" customHeight="1" x14ac:dyDescent="0.3">
      <c r="A150" s="229"/>
      <c r="B150" s="229"/>
      <c r="C150" s="220"/>
      <c r="D150" s="220"/>
      <c r="E150" s="304" t="str">
        <f>IFERROR(IF(ISBLANK(C150),IF(ISBLANK(D150),"",VLOOKUP(D150,Subrecipient!$D$13:$E$200,2,FALSE)),VLOOKUP(C150,Subrecipient!$C$13:$E$200,3,FALSE)),"Not Found")</f>
        <v/>
      </c>
      <c r="F150" s="220"/>
      <c r="G150" s="286"/>
      <c r="H150" s="277"/>
      <c r="I150" s="304" t="str">
        <f t="shared" si="2"/>
        <v/>
      </c>
      <c r="J150" s="220"/>
      <c r="K150" s="287"/>
      <c r="L150" s="222"/>
      <c r="M150" s="223"/>
      <c r="N150" s="223"/>
      <c r="O150" s="223"/>
      <c r="P150" s="222"/>
      <c r="Q150" s="285"/>
      <c r="R150" s="220"/>
      <c r="S150" s="220"/>
      <c r="T150" s="220"/>
      <c r="U150" s="220"/>
      <c r="V150" s="220"/>
      <c r="W150" s="277"/>
      <c r="X150" s="277"/>
      <c r="Y150" s="220"/>
      <c r="Z150" s="220"/>
      <c r="AA150" s="220"/>
    </row>
    <row r="151" spans="1:27" ht="12.75" customHeight="1" x14ac:dyDescent="0.3">
      <c r="A151" s="229"/>
      <c r="B151" s="229"/>
      <c r="C151" s="220"/>
      <c r="D151" s="220"/>
      <c r="E151" s="304" t="str">
        <f>IFERROR(IF(ISBLANK(C151),IF(ISBLANK(D151),"",VLOOKUP(D151,Subrecipient!$D$13:$E$200,2,FALSE)),VLOOKUP(C151,Subrecipient!$C$13:$E$200,3,FALSE)),"Not Found")</f>
        <v/>
      </c>
      <c r="F151" s="220"/>
      <c r="G151" s="286"/>
      <c r="H151" s="277"/>
      <c r="I151" s="304" t="str">
        <f t="shared" si="2"/>
        <v/>
      </c>
      <c r="J151" s="220"/>
      <c r="K151" s="287"/>
      <c r="L151" s="222"/>
      <c r="M151" s="223"/>
      <c r="N151" s="223"/>
      <c r="O151" s="223"/>
      <c r="P151" s="222"/>
      <c r="Q151" s="285"/>
      <c r="R151" s="220"/>
      <c r="S151" s="220"/>
      <c r="T151" s="220"/>
      <c r="U151" s="220"/>
      <c r="V151" s="220"/>
      <c r="W151" s="277"/>
      <c r="X151" s="277"/>
      <c r="Y151" s="220"/>
      <c r="Z151" s="220"/>
      <c r="AA151" s="220"/>
    </row>
    <row r="152" spans="1:27" ht="12.75" customHeight="1" x14ac:dyDescent="0.3">
      <c r="A152" s="229"/>
      <c r="B152" s="229"/>
      <c r="C152" s="220"/>
      <c r="D152" s="220"/>
      <c r="E152" s="304" t="str">
        <f>IFERROR(IF(ISBLANK(C152),IF(ISBLANK(D152),"",VLOOKUP(D152,Subrecipient!$D$13:$E$200,2,FALSE)),VLOOKUP(C152,Subrecipient!$C$13:$E$200,3,FALSE)),"Not Found")</f>
        <v/>
      </c>
      <c r="F152" s="220"/>
      <c r="G152" s="286"/>
      <c r="H152" s="277"/>
      <c r="I152" s="304" t="str">
        <f t="shared" si="2"/>
        <v/>
      </c>
      <c r="J152" s="220"/>
      <c r="K152" s="287"/>
      <c r="L152" s="222"/>
      <c r="M152" s="223"/>
      <c r="N152" s="223"/>
      <c r="O152" s="223"/>
      <c r="P152" s="222"/>
      <c r="Q152" s="285"/>
      <c r="R152" s="220"/>
      <c r="S152" s="220"/>
      <c r="T152" s="220"/>
      <c r="U152" s="220"/>
      <c r="V152" s="220"/>
      <c r="W152" s="277"/>
      <c r="X152" s="277"/>
      <c r="Y152" s="220"/>
      <c r="Z152" s="220"/>
      <c r="AA152" s="220"/>
    </row>
    <row r="153" spans="1:27" ht="12.75" customHeight="1" x14ac:dyDescent="0.3">
      <c r="A153" s="229"/>
      <c r="B153" s="229"/>
      <c r="C153" s="220"/>
      <c r="D153" s="220"/>
      <c r="E153" s="304" t="str">
        <f>IFERROR(IF(ISBLANK(C153),IF(ISBLANK(D153),"",VLOOKUP(D153,Subrecipient!$D$13:$E$200,2,FALSE)),VLOOKUP(C153,Subrecipient!$C$13:$E$200,3,FALSE)),"Not Found")</f>
        <v/>
      </c>
      <c r="F153" s="220"/>
      <c r="G153" s="286"/>
      <c r="H153" s="277"/>
      <c r="I153" s="304" t="str">
        <f t="shared" si="2"/>
        <v/>
      </c>
      <c r="J153" s="220"/>
      <c r="K153" s="287"/>
      <c r="L153" s="222"/>
      <c r="M153" s="223"/>
      <c r="N153" s="223"/>
      <c r="O153" s="223"/>
      <c r="P153" s="222"/>
      <c r="Q153" s="285"/>
      <c r="R153" s="220"/>
      <c r="S153" s="220"/>
      <c r="T153" s="220"/>
      <c r="U153" s="220"/>
      <c r="V153" s="220"/>
      <c r="W153" s="277"/>
      <c r="X153" s="277"/>
      <c r="Y153" s="220"/>
      <c r="Z153" s="220"/>
      <c r="AA153" s="220"/>
    </row>
    <row r="154" spans="1:27" ht="12.75" customHeight="1" x14ac:dyDescent="0.3">
      <c r="A154" s="229"/>
      <c r="B154" s="229"/>
      <c r="C154" s="220"/>
      <c r="D154" s="220"/>
      <c r="E154" s="304" t="str">
        <f>IFERROR(IF(ISBLANK(C154),IF(ISBLANK(D154),"",VLOOKUP(D154,Subrecipient!$D$13:$E$200,2,FALSE)),VLOOKUP(C154,Subrecipient!$C$13:$E$200,3,FALSE)),"Not Found")</f>
        <v/>
      </c>
      <c r="F154" s="220"/>
      <c r="G154" s="286"/>
      <c r="H154" s="277"/>
      <c r="I154" s="304" t="str">
        <f t="shared" si="2"/>
        <v/>
      </c>
      <c r="J154" s="220"/>
      <c r="K154" s="287"/>
      <c r="L154" s="222"/>
      <c r="M154" s="223"/>
      <c r="N154" s="223"/>
      <c r="O154" s="223"/>
      <c r="P154" s="222"/>
      <c r="Q154" s="285"/>
      <c r="R154" s="220"/>
      <c r="S154" s="220"/>
      <c r="T154" s="220"/>
      <c r="U154" s="220"/>
      <c r="V154" s="220"/>
      <c r="W154" s="277"/>
      <c r="X154" s="277"/>
      <c r="Y154" s="220"/>
      <c r="Z154" s="220"/>
      <c r="AA154" s="220"/>
    </row>
    <row r="155" spans="1:27" ht="12.75" customHeight="1" x14ac:dyDescent="0.3">
      <c r="A155" s="229"/>
      <c r="B155" s="229"/>
      <c r="C155" s="220"/>
      <c r="D155" s="220"/>
      <c r="E155" s="304" t="str">
        <f>IFERROR(IF(ISBLANK(C155),IF(ISBLANK(D155),"",VLOOKUP(D155,Subrecipient!$D$13:$E$200,2,FALSE)),VLOOKUP(C155,Subrecipient!$C$13:$E$200,3,FALSE)),"Not Found")</f>
        <v/>
      </c>
      <c r="F155" s="220"/>
      <c r="G155" s="286"/>
      <c r="H155" s="277"/>
      <c r="I155" s="304" t="str">
        <f t="shared" si="2"/>
        <v/>
      </c>
      <c r="J155" s="220"/>
      <c r="K155" s="287"/>
      <c r="L155" s="222"/>
      <c r="M155" s="223"/>
      <c r="N155" s="223"/>
      <c r="O155" s="223"/>
      <c r="P155" s="222"/>
      <c r="Q155" s="285"/>
      <c r="R155" s="220"/>
      <c r="S155" s="220"/>
      <c r="T155" s="220"/>
      <c r="U155" s="220"/>
      <c r="V155" s="220"/>
      <c r="W155" s="277"/>
      <c r="X155" s="277"/>
      <c r="Y155" s="220"/>
      <c r="Z155" s="220"/>
      <c r="AA155" s="220"/>
    </row>
    <row r="156" spans="1:27" ht="12.75" customHeight="1" x14ac:dyDescent="0.3">
      <c r="A156" s="229"/>
      <c r="B156" s="229"/>
      <c r="C156" s="220"/>
      <c r="D156" s="220"/>
      <c r="E156" s="304" t="str">
        <f>IFERROR(IF(ISBLANK(C156),IF(ISBLANK(D156),"",VLOOKUP(D156,Subrecipient!$D$13:$E$200,2,FALSE)),VLOOKUP(C156,Subrecipient!$C$13:$E$200,3,FALSE)),"Not Found")</f>
        <v/>
      </c>
      <c r="F156" s="220"/>
      <c r="G156" s="286"/>
      <c r="H156" s="277"/>
      <c r="I156" s="304" t="str">
        <f t="shared" si="2"/>
        <v/>
      </c>
      <c r="J156" s="220"/>
      <c r="K156" s="287"/>
      <c r="L156" s="222"/>
      <c r="M156" s="223"/>
      <c r="N156" s="223"/>
      <c r="O156" s="223"/>
      <c r="P156" s="222"/>
      <c r="Q156" s="285"/>
      <c r="R156" s="220"/>
      <c r="S156" s="220"/>
      <c r="T156" s="220"/>
      <c r="U156" s="220"/>
      <c r="V156" s="220"/>
      <c r="W156" s="277"/>
      <c r="X156" s="277"/>
      <c r="Y156" s="220"/>
      <c r="Z156" s="220"/>
      <c r="AA156" s="220"/>
    </row>
    <row r="157" spans="1:27" ht="12.75" customHeight="1" x14ac:dyDescent="0.3">
      <c r="A157" s="229"/>
      <c r="B157" s="229"/>
      <c r="C157" s="220"/>
      <c r="D157" s="220"/>
      <c r="E157" s="304" t="str">
        <f>IFERROR(IF(ISBLANK(C157),IF(ISBLANK(D157),"",VLOOKUP(D157,Subrecipient!$D$13:$E$200,2,FALSE)),VLOOKUP(C157,Subrecipient!$C$13:$E$200,3,FALSE)),"Not Found")</f>
        <v/>
      </c>
      <c r="F157" s="220"/>
      <c r="G157" s="286"/>
      <c r="H157" s="277"/>
      <c r="I157" s="304" t="str">
        <f t="shared" si="2"/>
        <v/>
      </c>
      <c r="J157" s="220"/>
      <c r="K157" s="287"/>
      <c r="L157" s="222"/>
      <c r="M157" s="223"/>
      <c r="N157" s="223"/>
      <c r="O157" s="223"/>
      <c r="P157" s="222"/>
      <c r="Q157" s="285"/>
      <c r="R157" s="220"/>
      <c r="S157" s="220"/>
      <c r="T157" s="220"/>
      <c r="U157" s="220"/>
      <c r="V157" s="220"/>
      <c r="W157" s="277"/>
      <c r="X157" s="277"/>
      <c r="Y157" s="220"/>
      <c r="Z157" s="220"/>
      <c r="AA157" s="220"/>
    </row>
    <row r="158" spans="1:27" ht="12.75" customHeight="1" x14ac:dyDescent="0.3">
      <c r="A158" s="229"/>
      <c r="B158" s="229"/>
      <c r="C158" s="220"/>
      <c r="D158" s="220"/>
      <c r="E158" s="304" t="str">
        <f>IFERROR(IF(ISBLANK(C158),IF(ISBLANK(D158),"",VLOOKUP(D158,Subrecipient!$D$13:$E$200,2,FALSE)),VLOOKUP(C158,Subrecipient!$C$13:$E$200,3,FALSE)),"Not Found")</f>
        <v/>
      </c>
      <c r="F158" s="220"/>
      <c r="G158" s="286"/>
      <c r="H158" s="277"/>
      <c r="I158" s="304" t="str">
        <f t="shared" si="2"/>
        <v/>
      </c>
      <c r="J158" s="220"/>
      <c r="K158" s="287"/>
      <c r="L158" s="222"/>
      <c r="M158" s="223"/>
      <c r="N158" s="223"/>
      <c r="O158" s="223"/>
      <c r="P158" s="222"/>
      <c r="Q158" s="285"/>
      <c r="R158" s="220"/>
      <c r="S158" s="220"/>
      <c r="T158" s="220"/>
      <c r="U158" s="220"/>
      <c r="V158" s="220"/>
      <c r="W158" s="277"/>
      <c r="X158" s="277"/>
      <c r="Y158" s="220"/>
      <c r="Z158" s="220"/>
      <c r="AA158" s="220"/>
    </row>
    <row r="159" spans="1:27" ht="12.75" customHeight="1" x14ac:dyDescent="0.3">
      <c r="A159" s="229"/>
      <c r="B159" s="229"/>
      <c r="C159" s="220"/>
      <c r="D159" s="220"/>
      <c r="E159" s="304" t="str">
        <f>IFERROR(IF(ISBLANK(C159),IF(ISBLANK(D159),"",VLOOKUP(D159,Subrecipient!$D$13:$E$200,2,FALSE)),VLOOKUP(C159,Subrecipient!$C$13:$E$200,3,FALSE)),"Not Found")</f>
        <v/>
      </c>
      <c r="F159" s="220"/>
      <c r="G159" s="286"/>
      <c r="H159" s="277"/>
      <c r="I159" s="304" t="str">
        <f t="shared" si="2"/>
        <v/>
      </c>
      <c r="J159" s="220"/>
      <c r="K159" s="287"/>
      <c r="L159" s="222"/>
      <c r="M159" s="223"/>
      <c r="N159" s="223"/>
      <c r="O159" s="223"/>
      <c r="P159" s="222"/>
      <c r="Q159" s="285"/>
      <c r="R159" s="220"/>
      <c r="S159" s="220"/>
      <c r="T159" s="220"/>
      <c r="U159" s="220"/>
      <c r="V159" s="220"/>
      <c r="W159" s="277"/>
      <c r="X159" s="277"/>
      <c r="Y159" s="220"/>
      <c r="Z159" s="220"/>
      <c r="AA159" s="220"/>
    </row>
    <row r="160" spans="1:27" ht="12.75" customHeight="1" x14ac:dyDescent="0.3">
      <c r="A160" s="229"/>
      <c r="B160" s="229"/>
      <c r="C160" s="220"/>
      <c r="D160" s="220"/>
      <c r="E160" s="304" t="str">
        <f>IFERROR(IF(ISBLANK(C160),IF(ISBLANK(D160),"",VLOOKUP(D160,Subrecipient!$D$13:$E$200,2,FALSE)),VLOOKUP(C160,Subrecipient!$C$13:$E$200,3,FALSE)),"Not Found")</f>
        <v/>
      </c>
      <c r="F160" s="220"/>
      <c r="G160" s="286"/>
      <c r="H160" s="277"/>
      <c r="I160" s="304" t="str">
        <f t="shared" si="2"/>
        <v/>
      </c>
      <c r="J160" s="220"/>
      <c r="K160" s="287"/>
      <c r="L160" s="222"/>
      <c r="M160" s="223"/>
      <c r="N160" s="223"/>
      <c r="O160" s="223"/>
      <c r="P160" s="222"/>
      <c r="Q160" s="285"/>
      <c r="R160" s="220"/>
      <c r="S160" s="220"/>
      <c r="T160" s="220"/>
      <c r="U160" s="220"/>
      <c r="V160" s="220"/>
      <c r="W160" s="277"/>
      <c r="X160" s="277"/>
      <c r="Y160" s="220"/>
      <c r="Z160" s="220"/>
      <c r="AA160" s="220"/>
    </row>
    <row r="161" spans="1:27" ht="12.75" customHeight="1" x14ac:dyDescent="0.3">
      <c r="A161" s="229"/>
      <c r="B161" s="229"/>
      <c r="C161" s="220"/>
      <c r="D161" s="220"/>
      <c r="E161" s="304" t="str">
        <f>IFERROR(IF(ISBLANK(C161),IF(ISBLANK(D161),"",VLOOKUP(D161,Subrecipient!$D$13:$E$200,2,FALSE)),VLOOKUP(C161,Subrecipient!$C$13:$E$200,3,FALSE)),"Not Found")</f>
        <v/>
      </c>
      <c r="F161" s="220"/>
      <c r="G161" s="286"/>
      <c r="H161" s="277"/>
      <c r="I161" s="304" t="str">
        <f t="shared" si="2"/>
        <v/>
      </c>
      <c r="J161" s="220"/>
      <c r="K161" s="287"/>
      <c r="L161" s="222"/>
      <c r="M161" s="223"/>
      <c r="N161" s="223"/>
      <c r="O161" s="223"/>
      <c r="P161" s="222"/>
      <c r="Q161" s="285"/>
      <c r="R161" s="220"/>
      <c r="S161" s="220"/>
      <c r="T161" s="220"/>
      <c r="U161" s="220"/>
      <c r="V161" s="220"/>
      <c r="W161" s="277"/>
      <c r="X161" s="277"/>
      <c r="Y161" s="220"/>
      <c r="Z161" s="220"/>
      <c r="AA161" s="220"/>
    </row>
    <row r="162" spans="1:27" ht="12.75" customHeight="1" x14ac:dyDescent="0.3">
      <c r="A162" s="229"/>
      <c r="B162" s="229"/>
      <c r="C162" s="220"/>
      <c r="D162" s="220"/>
      <c r="E162" s="304" t="str">
        <f>IFERROR(IF(ISBLANK(C162),IF(ISBLANK(D162),"",VLOOKUP(D162,Subrecipient!$D$13:$E$200,2,FALSE)),VLOOKUP(C162,Subrecipient!$C$13:$E$200,3,FALSE)),"Not Found")</f>
        <v/>
      </c>
      <c r="F162" s="220"/>
      <c r="G162" s="286"/>
      <c r="H162" s="277"/>
      <c r="I162" s="304" t="str">
        <f t="shared" si="2"/>
        <v/>
      </c>
      <c r="J162" s="220"/>
      <c r="K162" s="287"/>
      <c r="L162" s="222"/>
      <c r="M162" s="223"/>
      <c r="N162" s="223"/>
      <c r="O162" s="223"/>
      <c r="P162" s="222"/>
      <c r="Q162" s="285"/>
      <c r="R162" s="220"/>
      <c r="S162" s="220"/>
      <c r="T162" s="220"/>
      <c r="U162" s="220"/>
      <c r="V162" s="220"/>
      <c r="W162" s="277"/>
      <c r="X162" s="277"/>
      <c r="Y162" s="220"/>
      <c r="Z162" s="220"/>
      <c r="AA162" s="220"/>
    </row>
    <row r="163" spans="1:27" ht="12.75" customHeight="1" x14ac:dyDescent="0.3">
      <c r="A163" s="229"/>
      <c r="B163" s="229"/>
      <c r="C163" s="220"/>
      <c r="D163" s="220"/>
      <c r="E163" s="304" t="str">
        <f>IFERROR(IF(ISBLANK(C163),IF(ISBLANK(D163),"",VLOOKUP(D163,Subrecipient!$D$13:$E$200,2,FALSE)),VLOOKUP(C163,Subrecipient!$C$13:$E$200,3,FALSE)),"Not Found")</f>
        <v/>
      </c>
      <c r="F163" s="220"/>
      <c r="G163" s="286"/>
      <c r="H163" s="277"/>
      <c r="I163" s="304" t="str">
        <f t="shared" si="2"/>
        <v/>
      </c>
      <c r="J163" s="220"/>
      <c r="K163" s="287"/>
      <c r="L163" s="222"/>
      <c r="M163" s="223"/>
      <c r="N163" s="223"/>
      <c r="O163" s="223"/>
      <c r="P163" s="222"/>
      <c r="Q163" s="285"/>
      <c r="R163" s="220"/>
      <c r="S163" s="220"/>
      <c r="T163" s="220"/>
      <c r="U163" s="220"/>
      <c r="V163" s="220"/>
      <c r="W163" s="277"/>
      <c r="X163" s="277"/>
      <c r="Y163" s="220"/>
      <c r="Z163" s="220"/>
      <c r="AA163" s="220"/>
    </row>
    <row r="164" spans="1:27" ht="12.75" customHeight="1" x14ac:dyDescent="0.3">
      <c r="A164" s="229"/>
      <c r="B164" s="229"/>
      <c r="C164" s="220"/>
      <c r="D164" s="220"/>
      <c r="E164" s="304" t="str">
        <f>IFERROR(IF(ISBLANK(C164),IF(ISBLANK(D164),"",VLOOKUP(D164,Subrecipient!$D$13:$E$200,2,FALSE)),VLOOKUP(C164,Subrecipient!$C$13:$E$200,3,FALSE)),"Not Found")</f>
        <v/>
      </c>
      <c r="F164" s="220"/>
      <c r="G164" s="286"/>
      <c r="H164" s="277"/>
      <c r="I164" s="304" t="str">
        <f t="shared" si="2"/>
        <v/>
      </c>
      <c r="J164" s="220"/>
      <c r="K164" s="287"/>
      <c r="L164" s="222"/>
      <c r="M164" s="223"/>
      <c r="N164" s="223"/>
      <c r="O164" s="223"/>
      <c r="P164" s="222"/>
      <c r="Q164" s="285"/>
      <c r="R164" s="220"/>
      <c r="S164" s="220"/>
      <c r="T164" s="220"/>
      <c r="U164" s="220"/>
      <c r="V164" s="220"/>
      <c r="W164" s="277"/>
      <c r="X164" s="277"/>
      <c r="Y164" s="220"/>
      <c r="Z164" s="220"/>
      <c r="AA164" s="220"/>
    </row>
    <row r="165" spans="1:27" ht="12.75" customHeight="1" x14ac:dyDescent="0.3">
      <c r="A165" s="229"/>
      <c r="B165" s="229"/>
      <c r="C165" s="220"/>
      <c r="D165" s="220"/>
      <c r="E165" s="304" t="str">
        <f>IFERROR(IF(ISBLANK(C165),IF(ISBLANK(D165),"",VLOOKUP(D165,Subrecipient!$D$13:$E$200,2,FALSE)),VLOOKUP(C165,Subrecipient!$C$13:$E$200,3,FALSE)),"Not Found")</f>
        <v/>
      </c>
      <c r="F165" s="220"/>
      <c r="G165" s="286"/>
      <c r="H165" s="277"/>
      <c r="I165" s="304" t="str">
        <f t="shared" si="2"/>
        <v/>
      </c>
      <c r="J165" s="220"/>
      <c r="K165" s="287"/>
      <c r="L165" s="222"/>
      <c r="M165" s="223"/>
      <c r="N165" s="223"/>
      <c r="O165" s="223"/>
      <c r="P165" s="222"/>
      <c r="Q165" s="285"/>
      <c r="R165" s="220"/>
      <c r="S165" s="220"/>
      <c r="T165" s="220"/>
      <c r="U165" s="220"/>
      <c r="V165" s="220"/>
      <c r="W165" s="277"/>
      <c r="X165" s="277"/>
      <c r="Y165" s="220"/>
      <c r="Z165" s="220"/>
      <c r="AA165" s="220"/>
    </row>
    <row r="166" spans="1:27" ht="12.75" customHeight="1" x14ac:dyDescent="0.3">
      <c r="A166" s="229"/>
      <c r="B166" s="229"/>
      <c r="C166" s="220"/>
      <c r="D166" s="220"/>
      <c r="E166" s="304" t="str">
        <f>IFERROR(IF(ISBLANK(C166),IF(ISBLANK(D166),"",VLOOKUP(D166,Subrecipient!$D$13:$E$200,2,FALSE)),VLOOKUP(C166,Subrecipient!$C$13:$E$200,3,FALSE)),"Not Found")</f>
        <v/>
      </c>
      <c r="F166" s="220"/>
      <c r="G166" s="286"/>
      <c r="H166" s="277"/>
      <c r="I166" s="304" t="str">
        <f t="shared" si="2"/>
        <v/>
      </c>
      <c r="J166" s="220"/>
      <c r="K166" s="287"/>
      <c r="L166" s="222"/>
      <c r="M166" s="223"/>
      <c r="N166" s="223"/>
      <c r="O166" s="223"/>
      <c r="P166" s="222"/>
      <c r="Q166" s="285"/>
      <c r="R166" s="220"/>
      <c r="S166" s="220"/>
      <c r="T166" s="220"/>
      <c r="U166" s="220"/>
      <c r="V166" s="220"/>
      <c r="W166" s="277"/>
      <c r="X166" s="277"/>
      <c r="Y166" s="220"/>
      <c r="Z166" s="220"/>
      <c r="AA166" s="220"/>
    </row>
    <row r="167" spans="1:27" ht="12.75" customHeight="1" x14ac:dyDescent="0.3">
      <c r="A167" s="229"/>
      <c r="B167" s="229"/>
      <c r="C167" s="220"/>
      <c r="D167" s="220"/>
      <c r="E167" s="304" t="str">
        <f>IFERROR(IF(ISBLANK(C167),IF(ISBLANK(D167),"",VLOOKUP(D167,Subrecipient!$D$13:$E$200,2,FALSE)),VLOOKUP(C167,Subrecipient!$C$13:$E$200,3,FALSE)),"Not Found")</f>
        <v/>
      </c>
      <c r="F167" s="220"/>
      <c r="G167" s="286"/>
      <c r="H167" s="277"/>
      <c r="I167" s="304" t="str">
        <f t="shared" si="2"/>
        <v/>
      </c>
      <c r="J167" s="220"/>
      <c r="K167" s="287"/>
      <c r="L167" s="222"/>
      <c r="M167" s="223"/>
      <c r="N167" s="223"/>
      <c r="O167" s="223"/>
      <c r="P167" s="222"/>
      <c r="Q167" s="285"/>
      <c r="R167" s="220"/>
      <c r="S167" s="220"/>
      <c r="T167" s="220"/>
      <c r="U167" s="220"/>
      <c r="V167" s="220"/>
      <c r="W167" s="277"/>
      <c r="X167" s="277"/>
      <c r="Y167" s="220"/>
      <c r="Z167" s="220"/>
      <c r="AA167" s="220"/>
    </row>
    <row r="168" spans="1:27" ht="12.75" customHeight="1" x14ac:dyDescent="0.3">
      <c r="A168" s="229"/>
      <c r="B168" s="229"/>
      <c r="C168" s="220"/>
      <c r="D168" s="220"/>
      <c r="E168" s="304" t="str">
        <f>IFERROR(IF(ISBLANK(C168),IF(ISBLANK(D168),"",VLOOKUP(D168,Subrecipient!$D$13:$E$200,2,FALSE)),VLOOKUP(C168,Subrecipient!$C$13:$E$200,3,FALSE)),"Not Found")</f>
        <v/>
      </c>
      <c r="F168" s="220"/>
      <c r="G168" s="286"/>
      <c r="H168" s="277"/>
      <c r="I168" s="304" t="str">
        <f t="shared" si="2"/>
        <v/>
      </c>
      <c r="J168" s="220"/>
      <c r="K168" s="287"/>
      <c r="L168" s="222"/>
      <c r="M168" s="223"/>
      <c r="N168" s="223"/>
      <c r="O168" s="223"/>
      <c r="P168" s="222"/>
      <c r="Q168" s="285"/>
      <c r="R168" s="220"/>
      <c r="S168" s="220"/>
      <c r="T168" s="220"/>
      <c r="U168" s="220"/>
      <c r="V168" s="220"/>
      <c r="W168" s="277"/>
      <c r="X168" s="277"/>
      <c r="Y168" s="220"/>
      <c r="Z168" s="220"/>
      <c r="AA168" s="220"/>
    </row>
    <row r="169" spans="1:27" ht="12.75" customHeight="1" x14ac:dyDescent="0.3">
      <c r="A169" s="229"/>
      <c r="B169" s="229"/>
      <c r="C169" s="220"/>
      <c r="D169" s="220"/>
      <c r="E169" s="304" t="str">
        <f>IFERROR(IF(ISBLANK(C169),IF(ISBLANK(D169),"",VLOOKUP(D169,Subrecipient!$D$13:$E$200,2,FALSE)),VLOOKUP(C169,Subrecipient!$C$13:$E$200,3,FALSE)),"Not Found")</f>
        <v/>
      </c>
      <c r="F169" s="220"/>
      <c r="G169" s="286"/>
      <c r="H169" s="277"/>
      <c r="I169" s="304" t="str">
        <f t="shared" si="2"/>
        <v/>
      </c>
      <c r="J169" s="220"/>
      <c r="K169" s="287"/>
      <c r="L169" s="222"/>
      <c r="M169" s="223"/>
      <c r="N169" s="223"/>
      <c r="O169" s="223"/>
      <c r="P169" s="222"/>
      <c r="Q169" s="285"/>
      <c r="R169" s="220"/>
      <c r="S169" s="220"/>
      <c r="T169" s="220"/>
      <c r="U169" s="220"/>
      <c r="V169" s="220"/>
      <c r="W169" s="277"/>
      <c r="X169" s="277"/>
      <c r="Y169" s="220"/>
      <c r="Z169" s="220"/>
      <c r="AA169" s="220"/>
    </row>
    <row r="170" spans="1:27" ht="12.75" customHeight="1" x14ac:dyDescent="0.3">
      <c r="A170" s="229"/>
      <c r="B170" s="229"/>
      <c r="C170" s="220"/>
      <c r="D170" s="220"/>
      <c r="E170" s="304" t="str">
        <f>IFERROR(IF(ISBLANK(C170),IF(ISBLANK(D170),"",VLOOKUP(D170,Subrecipient!$D$13:$E$200,2,FALSE)),VLOOKUP(C170,Subrecipient!$C$13:$E$200,3,FALSE)),"Not Found")</f>
        <v/>
      </c>
      <c r="F170" s="220"/>
      <c r="G170" s="286"/>
      <c r="H170" s="277"/>
      <c r="I170" s="304" t="str">
        <f t="shared" si="2"/>
        <v/>
      </c>
      <c r="J170" s="220"/>
      <c r="K170" s="287"/>
      <c r="L170" s="222"/>
      <c r="M170" s="223"/>
      <c r="N170" s="223"/>
      <c r="O170" s="223"/>
      <c r="P170" s="222"/>
      <c r="Q170" s="285"/>
      <c r="R170" s="220"/>
      <c r="S170" s="220"/>
      <c r="T170" s="220"/>
      <c r="U170" s="220"/>
      <c r="V170" s="220"/>
      <c r="W170" s="277"/>
      <c r="X170" s="277"/>
      <c r="Y170" s="220"/>
      <c r="Z170" s="220"/>
      <c r="AA170" s="220"/>
    </row>
    <row r="171" spans="1:27" ht="12.75" customHeight="1" x14ac:dyDescent="0.3">
      <c r="A171" s="229"/>
      <c r="B171" s="229"/>
      <c r="C171" s="220"/>
      <c r="D171" s="220"/>
      <c r="E171" s="304" t="str">
        <f>IFERROR(IF(ISBLANK(C171),IF(ISBLANK(D171),"",VLOOKUP(D171,Subrecipient!$D$13:$E$200,2,FALSE)),VLOOKUP(C171,Subrecipient!$C$13:$E$200,3,FALSE)),"Not Found")</f>
        <v/>
      </c>
      <c r="F171" s="220"/>
      <c r="G171" s="286"/>
      <c r="H171" s="277"/>
      <c r="I171" s="304" t="str">
        <f t="shared" si="2"/>
        <v/>
      </c>
      <c r="J171" s="220"/>
      <c r="K171" s="287"/>
      <c r="L171" s="222"/>
      <c r="M171" s="223"/>
      <c r="N171" s="223"/>
      <c r="O171" s="223"/>
      <c r="P171" s="222"/>
      <c r="Q171" s="285"/>
      <c r="R171" s="220"/>
      <c r="S171" s="220"/>
      <c r="T171" s="220"/>
      <c r="U171" s="220"/>
      <c r="V171" s="220"/>
      <c r="W171" s="277"/>
      <c r="X171" s="277"/>
      <c r="Y171" s="220"/>
      <c r="Z171" s="220"/>
      <c r="AA171" s="220"/>
    </row>
    <row r="172" spans="1:27" ht="12.75" customHeight="1" x14ac:dyDescent="0.3">
      <c r="A172" s="229"/>
      <c r="B172" s="229"/>
      <c r="C172" s="220"/>
      <c r="D172" s="220"/>
      <c r="E172" s="304" t="str">
        <f>IFERROR(IF(ISBLANK(C172),IF(ISBLANK(D172),"",VLOOKUP(D172,Subrecipient!$D$13:$E$200,2,FALSE)),VLOOKUP(C172,Subrecipient!$C$13:$E$200,3,FALSE)),"Not Found")</f>
        <v/>
      </c>
      <c r="F172" s="220"/>
      <c r="G172" s="286"/>
      <c r="H172" s="277"/>
      <c r="I172" s="304" t="str">
        <f t="shared" si="2"/>
        <v/>
      </c>
      <c r="J172" s="220"/>
      <c r="K172" s="287"/>
      <c r="L172" s="222"/>
      <c r="M172" s="223"/>
      <c r="N172" s="223"/>
      <c r="O172" s="223"/>
      <c r="P172" s="222"/>
      <c r="Q172" s="285"/>
      <c r="R172" s="220"/>
      <c r="S172" s="220"/>
      <c r="T172" s="220"/>
      <c r="U172" s="220"/>
      <c r="V172" s="220"/>
      <c r="W172" s="277"/>
      <c r="X172" s="277"/>
      <c r="Y172" s="220"/>
      <c r="Z172" s="220"/>
      <c r="AA172" s="220"/>
    </row>
    <row r="173" spans="1:27" ht="12.75" customHeight="1" x14ac:dyDescent="0.3">
      <c r="A173" s="229"/>
      <c r="B173" s="229"/>
      <c r="C173" s="220"/>
      <c r="D173" s="220"/>
      <c r="E173" s="304" t="str">
        <f>IFERROR(IF(ISBLANK(C173),IF(ISBLANK(D173),"",VLOOKUP(D173,Subrecipient!$D$13:$E$200,2,FALSE)),VLOOKUP(C173,Subrecipient!$C$13:$E$200,3,FALSE)),"Not Found")</f>
        <v/>
      </c>
      <c r="F173" s="220"/>
      <c r="G173" s="286"/>
      <c r="H173" s="277"/>
      <c r="I173" s="304" t="str">
        <f t="shared" si="2"/>
        <v/>
      </c>
      <c r="J173" s="220"/>
      <c r="K173" s="287"/>
      <c r="L173" s="222"/>
      <c r="M173" s="223"/>
      <c r="N173" s="223"/>
      <c r="O173" s="223"/>
      <c r="P173" s="222"/>
      <c r="Q173" s="285"/>
      <c r="R173" s="220"/>
      <c r="S173" s="220"/>
      <c r="T173" s="220"/>
      <c r="U173" s="220"/>
      <c r="V173" s="220"/>
      <c r="W173" s="277"/>
      <c r="X173" s="277"/>
      <c r="Y173" s="220"/>
      <c r="Z173" s="220"/>
      <c r="AA173" s="220"/>
    </row>
    <row r="174" spans="1:27" ht="12.75" customHeight="1" x14ac:dyDescent="0.3">
      <c r="A174" s="229"/>
      <c r="B174" s="229"/>
      <c r="C174" s="220"/>
      <c r="D174" s="220"/>
      <c r="E174" s="304" t="str">
        <f>IFERROR(IF(ISBLANK(C174),IF(ISBLANK(D174),"",VLOOKUP(D174,Subrecipient!$D$13:$E$200,2,FALSE)),VLOOKUP(C174,Subrecipient!$C$13:$E$200,3,FALSE)),"Not Found")</f>
        <v/>
      </c>
      <c r="F174" s="220"/>
      <c r="G174" s="286"/>
      <c r="H174" s="277"/>
      <c r="I174" s="304" t="str">
        <f t="shared" si="2"/>
        <v/>
      </c>
      <c r="J174" s="220"/>
      <c r="K174" s="287"/>
      <c r="L174" s="222"/>
      <c r="M174" s="223"/>
      <c r="N174" s="223"/>
      <c r="O174" s="223"/>
      <c r="P174" s="222"/>
      <c r="Q174" s="285"/>
      <c r="R174" s="220"/>
      <c r="S174" s="220"/>
      <c r="T174" s="220"/>
      <c r="U174" s="220"/>
      <c r="V174" s="220"/>
      <c r="W174" s="277"/>
      <c r="X174" s="277"/>
      <c r="Y174" s="220"/>
      <c r="Z174" s="220"/>
      <c r="AA174" s="220"/>
    </row>
    <row r="175" spans="1:27" ht="12.75" customHeight="1" x14ac:dyDescent="0.3">
      <c r="A175" s="229"/>
      <c r="B175" s="229"/>
      <c r="C175" s="220"/>
      <c r="D175" s="220"/>
      <c r="E175" s="304" t="str">
        <f>IFERROR(IF(ISBLANK(C175),IF(ISBLANK(D175),"",VLOOKUP(D175,Subrecipient!$D$13:$E$200,2,FALSE)),VLOOKUP(C175,Subrecipient!$C$13:$E$200,3,FALSE)),"Not Found")</f>
        <v/>
      </c>
      <c r="F175" s="220"/>
      <c r="G175" s="286"/>
      <c r="H175" s="277"/>
      <c r="I175" s="304" t="str">
        <f t="shared" si="2"/>
        <v/>
      </c>
      <c r="J175" s="220"/>
      <c r="K175" s="287"/>
      <c r="L175" s="222"/>
      <c r="M175" s="223"/>
      <c r="N175" s="223"/>
      <c r="O175" s="223"/>
      <c r="P175" s="222"/>
      <c r="Q175" s="285"/>
      <c r="R175" s="220"/>
      <c r="S175" s="220"/>
      <c r="T175" s="220"/>
      <c r="U175" s="220"/>
      <c r="V175" s="220"/>
      <c r="W175" s="277"/>
      <c r="X175" s="277"/>
      <c r="Y175" s="220"/>
      <c r="Z175" s="220"/>
      <c r="AA175" s="220"/>
    </row>
    <row r="176" spans="1:27" ht="12.75" customHeight="1" x14ac:dyDescent="0.3">
      <c r="A176" s="229"/>
      <c r="B176" s="229"/>
      <c r="C176" s="220"/>
      <c r="D176" s="220"/>
      <c r="E176" s="304" t="str">
        <f>IFERROR(IF(ISBLANK(C176),IF(ISBLANK(D176),"",VLOOKUP(D176,Subrecipient!$D$13:$E$200,2,FALSE)),VLOOKUP(C176,Subrecipient!$C$13:$E$200,3,FALSE)),"Not Found")</f>
        <v/>
      </c>
      <c r="F176" s="220"/>
      <c r="G176" s="286"/>
      <c r="H176" s="277"/>
      <c r="I176" s="304" t="str">
        <f t="shared" si="2"/>
        <v/>
      </c>
      <c r="J176" s="220"/>
      <c r="K176" s="287"/>
      <c r="L176" s="222"/>
      <c r="M176" s="223"/>
      <c r="N176" s="223"/>
      <c r="O176" s="223"/>
      <c r="P176" s="222"/>
      <c r="Q176" s="285"/>
      <c r="R176" s="220"/>
      <c r="S176" s="220"/>
      <c r="T176" s="220"/>
      <c r="U176" s="220"/>
      <c r="V176" s="220"/>
      <c r="W176" s="277"/>
      <c r="X176" s="277"/>
      <c r="Y176" s="220"/>
      <c r="Z176" s="220"/>
      <c r="AA176" s="220"/>
    </row>
    <row r="177" spans="1:27" ht="12.75" customHeight="1" x14ac:dyDescent="0.3">
      <c r="A177" s="229"/>
      <c r="B177" s="229"/>
      <c r="C177" s="220"/>
      <c r="D177" s="220"/>
      <c r="E177" s="304" t="str">
        <f>IFERROR(IF(ISBLANK(C177),IF(ISBLANK(D177),"",VLOOKUP(D177,Subrecipient!$D$13:$E$200,2,FALSE)),VLOOKUP(C177,Subrecipient!$C$13:$E$200,3,FALSE)),"Not Found")</f>
        <v/>
      </c>
      <c r="F177" s="220"/>
      <c r="G177" s="286"/>
      <c r="H177" s="277"/>
      <c r="I177" s="304" t="str">
        <f t="shared" si="2"/>
        <v/>
      </c>
      <c r="J177" s="220"/>
      <c r="K177" s="287"/>
      <c r="L177" s="222"/>
      <c r="M177" s="223"/>
      <c r="N177" s="223"/>
      <c r="O177" s="223"/>
      <c r="P177" s="222"/>
      <c r="Q177" s="285"/>
      <c r="R177" s="220"/>
      <c r="S177" s="220"/>
      <c r="T177" s="220"/>
      <c r="U177" s="220"/>
      <c r="V177" s="220"/>
      <c r="W177" s="277"/>
      <c r="X177" s="277"/>
      <c r="Y177" s="220"/>
      <c r="Z177" s="220"/>
      <c r="AA177" s="220"/>
    </row>
    <row r="178" spans="1:27" ht="12.75" customHeight="1" x14ac:dyDescent="0.3">
      <c r="A178" s="229"/>
      <c r="B178" s="229"/>
      <c r="C178" s="220"/>
      <c r="D178" s="220"/>
      <c r="E178" s="304" t="str">
        <f>IFERROR(IF(ISBLANK(C178),IF(ISBLANK(D178),"",VLOOKUP(D178,Subrecipient!$D$13:$E$200,2,FALSE)),VLOOKUP(C178,Subrecipient!$C$13:$E$200,3,FALSE)),"Not Found")</f>
        <v/>
      </c>
      <c r="F178" s="220"/>
      <c r="G178" s="286"/>
      <c r="H178" s="277"/>
      <c r="I178" s="304" t="str">
        <f t="shared" si="2"/>
        <v/>
      </c>
      <c r="J178" s="220"/>
      <c r="K178" s="287"/>
      <c r="L178" s="222"/>
      <c r="M178" s="223"/>
      <c r="N178" s="223"/>
      <c r="O178" s="223"/>
      <c r="P178" s="222"/>
      <c r="Q178" s="285"/>
      <c r="R178" s="220"/>
      <c r="S178" s="220"/>
      <c r="T178" s="220"/>
      <c r="U178" s="220"/>
      <c r="V178" s="220"/>
      <c r="W178" s="277"/>
      <c r="X178" s="277"/>
      <c r="Y178" s="220"/>
      <c r="Z178" s="220"/>
      <c r="AA178" s="220"/>
    </row>
    <row r="179" spans="1:27" ht="12.75" customHeight="1" x14ac:dyDescent="0.3">
      <c r="A179" s="229"/>
      <c r="B179" s="229"/>
      <c r="C179" s="220"/>
      <c r="D179" s="220"/>
      <c r="E179" s="304" t="str">
        <f>IFERROR(IF(ISBLANK(C179),IF(ISBLANK(D179),"",VLOOKUP(D179,Subrecipient!$D$13:$E$200,2,FALSE)),VLOOKUP(C179,Subrecipient!$C$13:$E$200,3,FALSE)),"Not Found")</f>
        <v/>
      </c>
      <c r="F179" s="220"/>
      <c r="G179" s="286"/>
      <c r="H179" s="277"/>
      <c r="I179" s="304" t="str">
        <f t="shared" si="2"/>
        <v/>
      </c>
      <c r="J179" s="220"/>
      <c r="K179" s="287"/>
      <c r="L179" s="222"/>
      <c r="M179" s="223"/>
      <c r="N179" s="223"/>
      <c r="O179" s="223"/>
      <c r="P179" s="222"/>
      <c r="Q179" s="285"/>
      <c r="R179" s="220"/>
      <c r="S179" s="220"/>
      <c r="T179" s="220"/>
      <c r="U179" s="220"/>
      <c r="V179" s="220"/>
      <c r="W179" s="277"/>
      <c r="X179" s="277"/>
      <c r="Y179" s="220"/>
      <c r="Z179" s="220"/>
      <c r="AA179" s="220"/>
    </row>
    <row r="180" spans="1:27" ht="12.75" customHeight="1" x14ac:dyDescent="0.3">
      <c r="A180" s="229"/>
      <c r="B180" s="229"/>
      <c r="C180" s="220"/>
      <c r="D180" s="220"/>
      <c r="E180" s="304" t="str">
        <f>IFERROR(IF(ISBLANK(C180),IF(ISBLANK(D180),"",VLOOKUP(D180,Subrecipient!$D$13:$E$200,2,FALSE)),VLOOKUP(C180,Subrecipient!$C$13:$E$200,3,FALSE)),"Not Found")</f>
        <v/>
      </c>
      <c r="F180" s="220"/>
      <c r="G180" s="286"/>
      <c r="H180" s="277"/>
      <c r="I180" s="304" t="str">
        <f t="shared" si="2"/>
        <v/>
      </c>
      <c r="J180" s="220"/>
      <c r="K180" s="287"/>
      <c r="L180" s="222"/>
      <c r="M180" s="223"/>
      <c r="N180" s="223"/>
      <c r="O180" s="223"/>
      <c r="P180" s="222"/>
      <c r="Q180" s="285"/>
      <c r="R180" s="220"/>
      <c r="S180" s="220"/>
      <c r="T180" s="220"/>
      <c r="U180" s="220"/>
      <c r="V180" s="220"/>
      <c r="W180" s="277"/>
      <c r="X180" s="277"/>
      <c r="Y180" s="220"/>
      <c r="Z180" s="220"/>
      <c r="AA180" s="220"/>
    </row>
    <row r="181" spans="1:27" ht="12.75" customHeight="1" x14ac:dyDescent="0.3">
      <c r="A181" s="229"/>
      <c r="B181" s="229"/>
      <c r="C181" s="220"/>
      <c r="D181" s="220"/>
      <c r="E181" s="304" t="str">
        <f>IFERROR(IF(ISBLANK(C181),IF(ISBLANK(D181),"",VLOOKUP(D181,Subrecipient!$D$13:$E$200,2,FALSE)),VLOOKUP(C181,Subrecipient!$C$13:$E$200,3,FALSE)),"Not Found")</f>
        <v/>
      </c>
      <c r="F181" s="220"/>
      <c r="G181" s="286"/>
      <c r="H181" s="277"/>
      <c r="I181" s="304" t="str">
        <f t="shared" si="2"/>
        <v/>
      </c>
      <c r="J181" s="220"/>
      <c r="K181" s="287"/>
      <c r="L181" s="222"/>
      <c r="M181" s="223"/>
      <c r="N181" s="223"/>
      <c r="O181" s="223"/>
      <c r="P181" s="222"/>
      <c r="Q181" s="285"/>
      <c r="R181" s="220"/>
      <c r="S181" s="220"/>
      <c r="T181" s="220"/>
      <c r="U181" s="220"/>
      <c r="V181" s="220"/>
      <c r="W181" s="277"/>
      <c r="X181" s="277"/>
      <c r="Y181" s="220"/>
      <c r="Z181" s="220"/>
      <c r="AA181" s="220"/>
    </row>
    <row r="182" spans="1:27" ht="12.75" customHeight="1" x14ac:dyDescent="0.3">
      <c r="A182" s="229"/>
      <c r="B182" s="229"/>
      <c r="C182" s="220"/>
      <c r="D182" s="220"/>
      <c r="E182" s="304" t="str">
        <f>IFERROR(IF(ISBLANK(C182),IF(ISBLANK(D182),"",VLOOKUP(D182,Subrecipient!$D$13:$E$200,2,FALSE)),VLOOKUP(C182,Subrecipient!$C$13:$E$200,3,FALSE)),"Not Found")</f>
        <v/>
      </c>
      <c r="F182" s="220"/>
      <c r="G182" s="286"/>
      <c r="H182" s="277"/>
      <c r="I182" s="304" t="str">
        <f t="shared" si="2"/>
        <v/>
      </c>
      <c r="J182" s="220"/>
      <c r="K182" s="287"/>
      <c r="L182" s="222"/>
      <c r="M182" s="223"/>
      <c r="N182" s="223"/>
      <c r="O182" s="223"/>
      <c r="P182" s="222"/>
      <c r="Q182" s="285"/>
      <c r="R182" s="220"/>
      <c r="S182" s="220"/>
      <c r="T182" s="220"/>
      <c r="U182" s="220"/>
      <c r="V182" s="220"/>
      <c r="W182" s="277"/>
      <c r="X182" s="277"/>
      <c r="Y182" s="220"/>
      <c r="Z182" s="220"/>
      <c r="AA182" s="220"/>
    </row>
    <row r="183" spans="1:27" ht="12.75" customHeight="1" x14ac:dyDescent="0.3">
      <c r="A183" s="229"/>
      <c r="B183" s="229"/>
      <c r="C183" s="220"/>
      <c r="D183" s="220"/>
      <c r="E183" s="304" t="str">
        <f>IFERROR(IF(ISBLANK(C183),IF(ISBLANK(D183),"",VLOOKUP(D183,Subrecipient!$D$13:$E$200,2,FALSE)),VLOOKUP(C183,Subrecipient!$C$13:$E$200,3,FALSE)),"Not Found")</f>
        <v/>
      </c>
      <c r="F183" s="220"/>
      <c r="G183" s="286"/>
      <c r="H183" s="277"/>
      <c r="I183" s="304" t="str">
        <f t="shared" si="2"/>
        <v/>
      </c>
      <c r="J183" s="220"/>
      <c r="K183" s="287"/>
      <c r="L183" s="222"/>
      <c r="M183" s="223"/>
      <c r="N183" s="223"/>
      <c r="O183" s="223"/>
      <c r="P183" s="222"/>
      <c r="Q183" s="285"/>
      <c r="R183" s="220"/>
      <c r="S183" s="220"/>
      <c r="T183" s="220"/>
      <c r="U183" s="220"/>
      <c r="V183" s="220"/>
      <c r="W183" s="277"/>
      <c r="X183" s="277"/>
      <c r="Y183" s="220"/>
      <c r="Z183" s="220"/>
      <c r="AA183" s="220"/>
    </row>
    <row r="184" spans="1:27" ht="12.75" customHeight="1" x14ac:dyDescent="0.3">
      <c r="A184" s="229"/>
      <c r="B184" s="229"/>
      <c r="C184" s="220"/>
      <c r="D184" s="220"/>
      <c r="E184" s="304" t="str">
        <f>IFERROR(IF(ISBLANK(C184),IF(ISBLANK(D184),"",VLOOKUP(D184,Subrecipient!$D$13:$E$200,2,FALSE)),VLOOKUP(C184,Subrecipient!$C$13:$E$200,3,FALSE)),"Not Found")</f>
        <v/>
      </c>
      <c r="F184" s="220"/>
      <c r="G184" s="286"/>
      <c r="H184" s="277"/>
      <c r="I184" s="304" t="str">
        <f t="shared" si="2"/>
        <v/>
      </c>
      <c r="J184" s="220"/>
      <c r="K184" s="287"/>
      <c r="L184" s="222"/>
      <c r="M184" s="223"/>
      <c r="N184" s="223"/>
      <c r="O184" s="223"/>
      <c r="P184" s="222"/>
      <c r="Q184" s="285"/>
      <c r="R184" s="220"/>
      <c r="S184" s="220"/>
      <c r="T184" s="220"/>
      <c r="U184" s="220"/>
      <c r="V184" s="220"/>
      <c r="W184" s="277"/>
      <c r="X184" s="277"/>
      <c r="Y184" s="220"/>
      <c r="Z184" s="220"/>
      <c r="AA184" s="220"/>
    </row>
    <row r="185" spans="1:27" ht="12.75" customHeight="1" x14ac:dyDescent="0.3">
      <c r="A185" s="229"/>
      <c r="B185" s="229"/>
      <c r="C185" s="220"/>
      <c r="D185" s="220"/>
      <c r="E185" s="304" t="str">
        <f>IFERROR(IF(ISBLANK(C185),IF(ISBLANK(D185),"",VLOOKUP(D185,Subrecipient!$D$13:$E$200,2,FALSE)),VLOOKUP(C185,Subrecipient!$C$13:$E$200,3,FALSE)),"Not Found")</f>
        <v/>
      </c>
      <c r="F185" s="220"/>
      <c r="G185" s="286"/>
      <c r="H185" s="277"/>
      <c r="I185" s="304" t="str">
        <f t="shared" si="2"/>
        <v/>
      </c>
      <c r="J185" s="220"/>
      <c r="K185" s="287"/>
      <c r="L185" s="222"/>
      <c r="M185" s="223"/>
      <c r="N185" s="223"/>
      <c r="O185" s="223"/>
      <c r="P185" s="222"/>
      <c r="Q185" s="285"/>
      <c r="R185" s="220"/>
      <c r="S185" s="220"/>
      <c r="T185" s="220"/>
      <c r="U185" s="220"/>
      <c r="V185" s="220"/>
      <c r="W185" s="277"/>
      <c r="X185" s="277"/>
      <c r="Y185" s="220"/>
      <c r="Z185" s="220"/>
      <c r="AA185" s="220"/>
    </row>
    <row r="186" spans="1:27" ht="12.75" customHeight="1" x14ac:dyDescent="0.3">
      <c r="A186" s="229"/>
      <c r="B186" s="229"/>
      <c r="C186" s="220"/>
      <c r="D186" s="220"/>
      <c r="E186" s="304" t="str">
        <f>IFERROR(IF(ISBLANK(C186),IF(ISBLANK(D186),"",VLOOKUP(D186,Subrecipient!$D$13:$E$200,2,FALSE)),VLOOKUP(C186,Subrecipient!$C$13:$E$200,3,FALSE)),"Not Found")</f>
        <v/>
      </c>
      <c r="F186" s="220"/>
      <c r="G186" s="286"/>
      <c r="H186" s="277"/>
      <c r="I186" s="304" t="str">
        <f t="shared" si="2"/>
        <v/>
      </c>
      <c r="J186" s="220"/>
      <c r="K186" s="287"/>
      <c r="L186" s="222"/>
      <c r="M186" s="223"/>
      <c r="N186" s="223"/>
      <c r="O186" s="223"/>
      <c r="P186" s="222"/>
      <c r="Q186" s="285"/>
      <c r="R186" s="220"/>
      <c r="S186" s="220"/>
      <c r="T186" s="220"/>
      <c r="U186" s="220"/>
      <c r="V186" s="220"/>
      <c r="W186" s="277"/>
      <c r="X186" s="277"/>
      <c r="Y186" s="220"/>
      <c r="Z186" s="220"/>
      <c r="AA186" s="220"/>
    </row>
    <row r="187" spans="1:27" ht="12.75" customHeight="1" x14ac:dyDescent="0.3">
      <c r="A187" s="229"/>
      <c r="B187" s="229"/>
      <c r="C187" s="220"/>
      <c r="D187" s="220"/>
      <c r="E187" s="304" t="str">
        <f>IFERROR(IF(ISBLANK(C187),IF(ISBLANK(D187),"",VLOOKUP(D187,Subrecipient!$D$13:$E$200,2,FALSE)),VLOOKUP(C187,Subrecipient!$C$13:$E$200,3,FALSE)),"Not Found")</f>
        <v/>
      </c>
      <c r="F187" s="220"/>
      <c r="G187" s="286"/>
      <c r="H187" s="277"/>
      <c r="I187" s="304" t="str">
        <f t="shared" si="2"/>
        <v/>
      </c>
      <c r="J187" s="220"/>
      <c r="K187" s="287"/>
      <c r="L187" s="222"/>
      <c r="M187" s="223"/>
      <c r="N187" s="223"/>
      <c r="O187" s="223"/>
      <c r="P187" s="222"/>
      <c r="Q187" s="285"/>
      <c r="R187" s="220"/>
      <c r="S187" s="220"/>
      <c r="T187" s="220"/>
      <c r="U187" s="220"/>
      <c r="V187" s="220"/>
      <c r="W187" s="277"/>
      <c r="X187" s="277"/>
      <c r="Y187" s="220"/>
      <c r="Z187" s="220"/>
      <c r="AA187" s="220"/>
    </row>
    <row r="188" spans="1:27" ht="12.75" customHeight="1" x14ac:dyDescent="0.3">
      <c r="A188" s="229"/>
      <c r="B188" s="229"/>
      <c r="C188" s="220"/>
      <c r="D188" s="220"/>
      <c r="E188" s="304" t="str">
        <f>IFERROR(IF(ISBLANK(C188),IF(ISBLANK(D188),"",VLOOKUP(D188,Subrecipient!$D$13:$E$200,2,FALSE)),VLOOKUP(C188,Subrecipient!$C$13:$E$200,3,FALSE)),"Not Found")</f>
        <v/>
      </c>
      <c r="F188" s="220"/>
      <c r="G188" s="286"/>
      <c r="H188" s="277"/>
      <c r="I188" s="304" t="str">
        <f t="shared" si="2"/>
        <v/>
      </c>
      <c r="J188" s="220"/>
      <c r="K188" s="287"/>
      <c r="L188" s="222"/>
      <c r="M188" s="223"/>
      <c r="N188" s="223"/>
      <c r="O188" s="223"/>
      <c r="P188" s="222"/>
      <c r="Q188" s="285"/>
      <c r="R188" s="220"/>
      <c r="S188" s="220"/>
      <c r="T188" s="220"/>
      <c r="U188" s="220"/>
      <c r="V188" s="220"/>
      <c r="W188" s="277"/>
      <c r="X188" s="277"/>
      <c r="Y188" s="220"/>
      <c r="Z188" s="220"/>
      <c r="AA188" s="220"/>
    </row>
    <row r="189" spans="1:27" ht="12.75" customHeight="1" x14ac:dyDescent="0.3">
      <c r="A189" s="229"/>
      <c r="B189" s="229"/>
      <c r="C189" s="220"/>
      <c r="D189" s="220"/>
      <c r="E189" s="304" t="str">
        <f>IFERROR(IF(ISBLANK(C189),IF(ISBLANK(D189),"",VLOOKUP(D189,Subrecipient!$D$13:$E$200,2,FALSE)),VLOOKUP(C189,Subrecipient!$C$13:$E$200,3,FALSE)),"Not Found")</f>
        <v/>
      </c>
      <c r="F189" s="220"/>
      <c r="G189" s="286"/>
      <c r="H189" s="277"/>
      <c r="I189" s="304" t="str">
        <f t="shared" si="2"/>
        <v/>
      </c>
      <c r="J189" s="220"/>
      <c r="K189" s="287"/>
      <c r="L189" s="222"/>
      <c r="M189" s="223"/>
      <c r="N189" s="223"/>
      <c r="O189" s="223"/>
      <c r="P189" s="222"/>
      <c r="Q189" s="285"/>
      <c r="R189" s="220"/>
      <c r="S189" s="220"/>
      <c r="T189" s="220"/>
      <c r="U189" s="220"/>
      <c r="V189" s="220"/>
      <c r="W189" s="277"/>
      <c r="X189" s="277"/>
      <c r="Y189" s="220"/>
      <c r="Z189" s="220"/>
      <c r="AA189" s="220"/>
    </row>
    <row r="190" spans="1:27" ht="12.75" customHeight="1" x14ac:dyDescent="0.3">
      <c r="A190" s="229"/>
      <c r="B190" s="229"/>
      <c r="C190" s="220"/>
      <c r="D190" s="220"/>
      <c r="E190" s="304" t="str">
        <f>IFERROR(IF(ISBLANK(C190),IF(ISBLANK(D190),"",VLOOKUP(D190,Subrecipient!$D$13:$E$200,2,FALSE)),VLOOKUP(C190,Subrecipient!$C$13:$E$200,3,FALSE)),"Not Found")</f>
        <v/>
      </c>
      <c r="F190" s="220"/>
      <c r="G190" s="286"/>
      <c r="H190" s="277"/>
      <c r="I190" s="304" t="str">
        <f t="shared" si="2"/>
        <v/>
      </c>
      <c r="J190" s="220"/>
      <c r="K190" s="287"/>
      <c r="L190" s="222"/>
      <c r="M190" s="223"/>
      <c r="N190" s="223"/>
      <c r="O190" s="223"/>
      <c r="P190" s="222"/>
      <c r="Q190" s="285"/>
      <c r="R190" s="220"/>
      <c r="S190" s="220"/>
      <c r="T190" s="220"/>
      <c r="U190" s="220"/>
      <c r="V190" s="220"/>
      <c r="W190" s="277"/>
      <c r="X190" s="277"/>
      <c r="Y190" s="220"/>
      <c r="Z190" s="220"/>
      <c r="AA190" s="220"/>
    </row>
    <row r="191" spans="1:27" ht="12.75" customHeight="1" x14ac:dyDescent="0.3">
      <c r="A191" s="229"/>
      <c r="B191" s="229"/>
      <c r="C191" s="220"/>
      <c r="D191" s="220"/>
      <c r="E191" s="304" t="str">
        <f>IFERROR(IF(ISBLANK(C191),IF(ISBLANK(D191),"",VLOOKUP(D191,Subrecipient!$D$13:$E$200,2,FALSE)),VLOOKUP(C191,Subrecipient!$C$13:$E$200,3,FALSE)),"Not Found")</f>
        <v/>
      </c>
      <c r="F191" s="220"/>
      <c r="G191" s="286"/>
      <c r="H191" s="277"/>
      <c r="I191" s="304" t="str">
        <f t="shared" si="2"/>
        <v/>
      </c>
      <c r="J191" s="220"/>
      <c r="K191" s="287"/>
      <c r="L191" s="222"/>
      <c r="M191" s="223"/>
      <c r="N191" s="223"/>
      <c r="O191" s="223"/>
      <c r="P191" s="222"/>
      <c r="Q191" s="285"/>
      <c r="R191" s="220"/>
      <c r="S191" s="220"/>
      <c r="T191" s="220"/>
      <c r="U191" s="220"/>
      <c r="V191" s="220"/>
      <c r="W191" s="277"/>
      <c r="X191" s="277"/>
      <c r="Y191" s="220"/>
      <c r="Z191" s="220"/>
      <c r="AA191" s="220"/>
    </row>
    <row r="192" spans="1:27" ht="12.75" customHeight="1" x14ac:dyDescent="0.3">
      <c r="A192" s="229"/>
      <c r="B192" s="229"/>
      <c r="C192" s="220"/>
      <c r="D192" s="220"/>
      <c r="E192" s="304" t="str">
        <f>IFERROR(IF(ISBLANK(C192),IF(ISBLANK(D192),"",VLOOKUP(D192,Subrecipient!$D$13:$E$200,2,FALSE)),VLOOKUP(C192,Subrecipient!$C$13:$E$200,3,FALSE)),"Not Found")</f>
        <v/>
      </c>
      <c r="F192" s="220"/>
      <c r="G192" s="286"/>
      <c r="H192" s="277"/>
      <c r="I192" s="304" t="str">
        <f t="shared" si="2"/>
        <v/>
      </c>
      <c r="J192" s="220"/>
      <c r="K192" s="287"/>
      <c r="L192" s="222"/>
      <c r="M192" s="223"/>
      <c r="N192" s="223"/>
      <c r="O192" s="223"/>
      <c r="P192" s="222"/>
      <c r="Q192" s="285"/>
      <c r="R192" s="220"/>
      <c r="S192" s="220"/>
      <c r="T192" s="220"/>
      <c r="U192" s="220"/>
      <c r="V192" s="220"/>
      <c r="W192" s="277"/>
      <c r="X192" s="277"/>
      <c r="Y192" s="220"/>
      <c r="Z192" s="220"/>
      <c r="AA192" s="220"/>
    </row>
    <row r="193" spans="1:27" ht="12.75" customHeight="1" x14ac:dyDescent="0.3">
      <c r="A193" s="229"/>
      <c r="B193" s="229"/>
      <c r="C193" s="220"/>
      <c r="D193" s="220"/>
      <c r="E193" s="304" t="str">
        <f>IFERROR(IF(ISBLANK(C193),IF(ISBLANK(D193),"",VLOOKUP(D193,Subrecipient!$D$13:$E$200,2,FALSE)),VLOOKUP(C193,Subrecipient!$C$13:$E$200,3,FALSE)),"Not Found")</f>
        <v/>
      </c>
      <c r="F193" s="220"/>
      <c r="G193" s="286"/>
      <c r="H193" s="277"/>
      <c r="I193" s="304" t="str">
        <f t="shared" si="2"/>
        <v/>
      </c>
      <c r="J193" s="220"/>
      <c r="K193" s="287"/>
      <c r="L193" s="222"/>
      <c r="M193" s="223"/>
      <c r="N193" s="223"/>
      <c r="O193" s="223"/>
      <c r="P193" s="222"/>
      <c r="Q193" s="285"/>
      <c r="R193" s="220"/>
      <c r="S193" s="220"/>
      <c r="T193" s="220"/>
      <c r="U193" s="220"/>
      <c r="V193" s="220"/>
      <c r="W193" s="277"/>
      <c r="X193" s="277"/>
      <c r="Y193" s="220"/>
      <c r="Z193" s="220"/>
      <c r="AA193" s="220"/>
    </row>
    <row r="194" spans="1:27" ht="12.75" customHeight="1" x14ac:dyDescent="0.3">
      <c r="A194" s="229"/>
      <c r="B194" s="229"/>
      <c r="C194" s="220"/>
      <c r="D194" s="220"/>
      <c r="E194" s="304" t="str">
        <f>IFERROR(IF(ISBLANK(C194),IF(ISBLANK(D194),"",VLOOKUP(D194,Subrecipient!$D$13:$E$200,2,FALSE)),VLOOKUP(C194,Subrecipient!$C$13:$E$200,3,FALSE)),"Not Found")</f>
        <v/>
      </c>
      <c r="F194" s="220"/>
      <c r="G194" s="286"/>
      <c r="H194" s="277"/>
      <c r="I194" s="304" t="str">
        <f t="shared" si="2"/>
        <v/>
      </c>
      <c r="J194" s="220"/>
      <c r="K194" s="287"/>
      <c r="L194" s="222"/>
      <c r="M194" s="223"/>
      <c r="N194" s="223"/>
      <c r="O194" s="223"/>
      <c r="P194" s="222"/>
      <c r="Q194" s="285"/>
      <c r="R194" s="220"/>
      <c r="S194" s="220"/>
      <c r="T194" s="220"/>
      <c r="U194" s="220"/>
      <c r="V194" s="220"/>
      <c r="W194" s="277"/>
      <c r="X194" s="277"/>
      <c r="Y194" s="220"/>
      <c r="Z194" s="220"/>
      <c r="AA194" s="220"/>
    </row>
    <row r="195" spans="1:27" ht="12.75" customHeight="1" x14ac:dyDescent="0.3">
      <c r="A195" s="229"/>
      <c r="B195" s="229"/>
      <c r="C195" s="220"/>
      <c r="D195" s="220"/>
      <c r="E195" s="304" t="str">
        <f>IFERROR(IF(ISBLANK(C195),IF(ISBLANK(D195),"",VLOOKUP(D195,Subrecipient!$D$13:$E$200,2,FALSE)),VLOOKUP(C195,Subrecipient!$C$13:$E$200,3,FALSE)),"Not Found")</f>
        <v/>
      </c>
      <c r="F195" s="220"/>
      <c r="G195" s="286"/>
      <c r="H195" s="277"/>
      <c r="I195" s="304" t="str">
        <f t="shared" si="2"/>
        <v/>
      </c>
      <c r="J195" s="220"/>
      <c r="K195" s="287"/>
      <c r="L195" s="222"/>
      <c r="M195" s="223"/>
      <c r="N195" s="223"/>
      <c r="O195" s="223"/>
      <c r="P195" s="222"/>
      <c r="Q195" s="285"/>
      <c r="R195" s="220"/>
      <c r="S195" s="220"/>
      <c r="T195" s="220"/>
      <c r="U195" s="220"/>
      <c r="V195" s="220"/>
      <c r="W195" s="277"/>
      <c r="X195" s="277"/>
      <c r="Y195" s="220"/>
      <c r="Z195" s="220"/>
      <c r="AA195" s="220"/>
    </row>
    <row r="196" spans="1:27" ht="12.75" customHeight="1" x14ac:dyDescent="0.3">
      <c r="A196" s="229"/>
      <c r="B196" s="229"/>
      <c r="C196" s="220"/>
      <c r="D196" s="220"/>
      <c r="E196" s="304" t="str">
        <f>IFERROR(IF(ISBLANK(C196),IF(ISBLANK(D196),"",VLOOKUP(D196,Subrecipient!$D$13:$E$200,2,FALSE)),VLOOKUP(C196,Subrecipient!$C$13:$E$200,3,FALSE)),"Not Found")</f>
        <v/>
      </c>
      <c r="F196" s="220"/>
      <c r="G196" s="286"/>
      <c r="H196" s="277"/>
      <c r="I196" s="304" t="str">
        <f t="shared" si="2"/>
        <v/>
      </c>
      <c r="J196" s="220"/>
      <c r="K196" s="287"/>
      <c r="L196" s="222"/>
      <c r="M196" s="223"/>
      <c r="N196" s="223"/>
      <c r="O196" s="223"/>
      <c r="P196" s="222"/>
      <c r="Q196" s="285"/>
      <c r="R196" s="220"/>
      <c r="S196" s="220"/>
      <c r="T196" s="220"/>
      <c r="U196" s="220"/>
      <c r="V196" s="220"/>
      <c r="W196" s="277"/>
      <c r="X196" s="277"/>
      <c r="Y196" s="220"/>
      <c r="Z196" s="220"/>
      <c r="AA196" s="220"/>
    </row>
    <row r="197" spans="1:27" ht="12.75" customHeight="1" x14ac:dyDescent="0.3">
      <c r="A197" s="229"/>
      <c r="B197" s="229"/>
      <c r="C197" s="220"/>
      <c r="D197" s="220"/>
      <c r="E197" s="304" t="str">
        <f>IFERROR(IF(ISBLANK(C197),IF(ISBLANK(D197),"",VLOOKUP(D197,Subrecipient!$D$13:$E$200,2,FALSE)),VLOOKUP(C197,Subrecipient!$C$13:$E$200,3,FALSE)),"Not Found")</f>
        <v/>
      </c>
      <c r="F197" s="220"/>
      <c r="G197" s="286"/>
      <c r="H197" s="277"/>
      <c r="I197" s="304" t="str">
        <f t="shared" si="2"/>
        <v/>
      </c>
      <c r="J197" s="220"/>
      <c r="K197" s="287"/>
      <c r="L197" s="222"/>
      <c r="M197" s="223"/>
      <c r="N197" s="223"/>
      <c r="O197" s="223"/>
      <c r="P197" s="222"/>
      <c r="Q197" s="285"/>
      <c r="R197" s="220"/>
      <c r="S197" s="220"/>
      <c r="T197" s="220"/>
      <c r="U197" s="220"/>
      <c r="V197" s="220"/>
      <c r="W197" s="277"/>
      <c r="X197" s="277"/>
      <c r="Y197" s="220"/>
      <c r="Z197" s="220"/>
      <c r="AA197" s="220"/>
    </row>
    <row r="198" spans="1:27" ht="12.75" customHeight="1" x14ac:dyDescent="0.3">
      <c r="A198" s="229"/>
      <c r="B198" s="229"/>
      <c r="C198" s="220"/>
      <c r="D198" s="220"/>
      <c r="E198" s="304" t="str">
        <f>IFERROR(IF(ISBLANK(C198),IF(ISBLANK(D198),"",VLOOKUP(D198,Subrecipient!$D$13:$E$200,2,FALSE)),VLOOKUP(C198,Subrecipient!$C$13:$E$200,3,FALSE)),"Not Found")</f>
        <v/>
      </c>
      <c r="F198" s="220"/>
      <c r="G198" s="286"/>
      <c r="H198" s="277"/>
      <c r="I198" s="304" t="str">
        <f t="shared" si="2"/>
        <v/>
      </c>
      <c r="J198" s="220"/>
      <c r="K198" s="287"/>
      <c r="L198" s="222"/>
      <c r="M198" s="223"/>
      <c r="N198" s="223"/>
      <c r="O198" s="223"/>
      <c r="P198" s="222"/>
      <c r="Q198" s="285"/>
      <c r="R198" s="220"/>
      <c r="S198" s="220"/>
      <c r="T198" s="220"/>
      <c r="U198" s="220"/>
      <c r="V198" s="220"/>
      <c r="W198" s="277"/>
      <c r="X198" s="277"/>
      <c r="Y198" s="220"/>
      <c r="Z198" s="220"/>
      <c r="AA198" s="220"/>
    </row>
    <row r="199" spans="1:27" ht="12.75" customHeight="1" x14ac:dyDescent="0.3">
      <c r="A199" s="229"/>
      <c r="B199" s="229"/>
      <c r="C199" s="220"/>
      <c r="D199" s="220"/>
      <c r="E199" s="304" t="str">
        <f>IFERROR(IF(ISBLANK(C199),IF(ISBLANK(D199),"",VLOOKUP(D199,Subrecipient!$D$13:$E$200,2,FALSE)),VLOOKUP(C199,Subrecipient!$C$13:$E$200,3,FALSE)),"Not Found")</f>
        <v/>
      </c>
      <c r="F199" s="220"/>
      <c r="G199" s="286"/>
      <c r="H199" s="277"/>
      <c r="I199" s="304" t="str">
        <f t="shared" si="2"/>
        <v/>
      </c>
      <c r="J199" s="220"/>
      <c r="K199" s="287"/>
      <c r="L199" s="222"/>
      <c r="M199" s="223"/>
      <c r="N199" s="223"/>
      <c r="O199" s="223"/>
      <c r="P199" s="222"/>
      <c r="Q199" s="285"/>
      <c r="R199" s="220"/>
      <c r="S199" s="220"/>
      <c r="T199" s="220"/>
      <c r="U199" s="220"/>
      <c r="V199" s="220"/>
      <c r="W199" s="277"/>
      <c r="X199" s="277"/>
      <c r="Y199" s="220"/>
      <c r="Z199" s="220"/>
      <c r="AA199" s="220"/>
    </row>
    <row r="200" spans="1:27" ht="12.75" customHeight="1" x14ac:dyDescent="0.3">
      <c r="A200" s="229"/>
      <c r="B200" s="229"/>
      <c r="C200" s="220"/>
      <c r="D200" s="220"/>
      <c r="E200" s="304" t="str">
        <f>IFERROR(IF(ISBLANK(C200),IF(ISBLANK(D200),"",VLOOKUP(D200,Subrecipient!$D$13:$E$200,2,FALSE)),VLOOKUP(C200,Subrecipient!$C$13:$E$200,3,FALSE)),"Not Found")</f>
        <v/>
      </c>
      <c r="F200" s="220"/>
      <c r="G200" s="286"/>
      <c r="H200" s="277"/>
      <c r="I200" s="304" t="str">
        <f t="shared" si="2"/>
        <v/>
      </c>
      <c r="J200" s="220"/>
      <c r="K200" s="287"/>
      <c r="L200" s="222"/>
      <c r="M200" s="223"/>
      <c r="N200" s="223"/>
      <c r="O200" s="223"/>
      <c r="P200" s="222"/>
      <c r="Q200" s="285"/>
      <c r="R200" s="220"/>
      <c r="S200" s="220"/>
      <c r="T200" s="220"/>
      <c r="U200" s="220"/>
      <c r="V200" s="220"/>
      <c r="W200" s="277"/>
      <c r="X200" s="277"/>
      <c r="Y200" s="220"/>
      <c r="Z200" s="220"/>
      <c r="AA200" s="220"/>
    </row>
  </sheetData>
  <sheetProtection algorithmName="SHA-512" hashValue="zcfuHDzrMXzp28EJ0v3f44x0xie69VC7leM36nh+aeVc9KY6t52ZbEabZeyYNatrGFWIFZpikJ8siYB/dg1zuQ==" saltValue="DAB7OTf6alsPbj8iDnMauw==" spinCount="100000" sheet="1" objects="1" scenarios="1" formatCells="0" formatRows="0"/>
  <dataConsolidate/>
  <phoneticPr fontId="12" type="noConversion"/>
  <conditionalFormatting sqref="N13:N200">
    <cfRule type="expression" priority="5">
      <formula>LEFT($M13,5)="Other"</formula>
    </cfRule>
    <cfRule type="expression" dxfId="15" priority="6">
      <formula>LEFT($M13,5)&lt;&gt;"Other"</formula>
    </cfRule>
  </conditionalFormatting>
  <conditionalFormatting sqref="AA13:AA200">
    <cfRule type="expression" dxfId="14" priority="3">
      <formula>Z13="Yes"</formula>
    </cfRule>
    <cfRule type="expression" dxfId="13" priority="4">
      <formula>Z13&lt;&gt;"Yes"</formula>
    </cfRule>
  </conditionalFormatting>
  <conditionalFormatting sqref="E13:F200">
    <cfRule type="expression" priority="1">
      <formula>E13&lt;&gt;"Not Found"</formula>
    </cfRule>
    <cfRule type="expression" dxfId="12" priority="2">
      <formula>E13="Not Found"</formula>
    </cfRule>
  </conditionalFormatting>
  <dataValidations count="21">
    <dataValidation type="list" allowBlank="1" showInputMessage="1" showErrorMessage="1" sqref="J39:J200" xr:uid="{36445C50-A535-A348-86B6-F0AE447665B2}">
      <formula1>Contracts</formula1>
    </dataValidation>
    <dataValidation type="list" allowBlank="1" showInputMessage="1" showErrorMessage="1" sqref="V13:V200" xr:uid="{9A5BA65E-D53F-40E8-9AA4-A0945401CCB0}">
      <formula1>State</formula1>
    </dataValidation>
    <dataValidation type="list" allowBlank="1" showInputMessage="1" showErrorMessage="1" sqref="M13:M200" xr:uid="{75EF46A9-FC43-4B8B-A402-F7B0A455E015}">
      <formula1>Sectors</formula1>
    </dataValidation>
    <dataValidation type="list" operator="lessThanOrEqual" allowBlank="1" showInputMessage="1" showErrorMessage="1" errorTitle="Max Length Exceed" error="Value cannot exceed 750 characters." sqref="Z13:Z200" xr:uid="{D4921AFB-C680-4C63-B9FE-9930D98EDF25}">
      <formula1>YesNo</formula1>
    </dataValidation>
    <dataValidation operator="lessThanOrEqual" allowBlank="1" showInputMessage="1" showErrorMessage="1" errorTitle="Max Length Exceed" error="Value cannot exceed 20 characters." sqref="I13:I200" xr:uid="{08CF28F2-0A7A-44E1-987C-04099961E30B}"/>
    <dataValidation type="list" allowBlank="1" showInputMessage="1" showErrorMessage="1" sqref="F13:F200" xr:uid="{5F96DC5B-950F-4A58-AF13-0B31623B1AE4}">
      <formula1>Subrecipient</formula1>
    </dataValidation>
    <dataValidation type="textLength" operator="equal" allowBlank="1" showInputMessage="1" showErrorMessage="1" errorTitle="Invalid Length" error="Value must equal 12 characters." sqref="C13:C200" xr:uid="{AFB22286-3B1C-4E20-AD09-6BB505869C1F}">
      <formula1>12</formula1>
    </dataValidation>
    <dataValidation type="textLength" operator="equal" allowBlank="1" showInputMessage="1" showErrorMessage="1" errorTitle="Invalid Length" error="Value must equal 9 characters." sqref="D13:D200" xr:uid="{3DE3D258-C7F4-4FC0-A114-39843E36E16A}">
      <formula1>9</formula1>
    </dataValidation>
    <dataValidation type="textLength" operator="lessThanOrEqual" allowBlank="1" showInputMessage="1" showErrorMessage="1" errorTitle="Max Length Exceed" error="Value cannot exceed 20 characters." sqref="G13:G200" xr:uid="{F58FDDD3-BE11-44ED-902E-03C707F0339C}">
      <formula1>20</formula1>
    </dataValidation>
    <dataValidation type="textLength" operator="lessThanOrEqual" allowBlank="1" showInputMessage="1" showErrorMessage="1" errorTitle="Max Length Exceed" error="Value cannot exceed 20 characters." sqref="H13:H200" xr:uid="{A0767233-5FBA-443C-A2F9-430C6433A93C}">
      <formula1>20</formula1>
    </dataValidation>
    <dataValidation type="decimal" operator="lessThanOrEqual" allowBlank="1" showInputMessage="1" showErrorMessage="1" errorTitle="Maximum Exceeded" error="Value cannot exceed 999,999,999,999.99" sqref="K13:K200" xr:uid="{C35E9A00-2A69-405E-A631-CADAA0D7EACE}">
      <formula1>999999999999.99</formula1>
    </dataValidation>
    <dataValidation type="textLength" operator="lessThanOrEqual" allowBlank="1" showInputMessage="1" showErrorMessage="1" errorTitle="Max Length Exceed" error="Value cannot exceed 100 characters." sqref="N13:N200" xr:uid="{5018F249-E16A-4D0C-A868-1E2E30CD85FB}">
      <formula1>100</formula1>
    </dataValidation>
    <dataValidation type="textLength" operator="lessThanOrEqual" allowBlank="1" showInputMessage="1" showErrorMessage="1" errorTitle="Max Length Exceed" error="Value cannot exceed 3000 characters." sqref="O13:O200" xr:uid="{A29B2E62-A2E5-4BA1-B981-1060233A4D6B}">
      <formula1>3000</formula1>
    </dataValidation>
    <dataValidation type="textLength" operator="lessThanOrEqual" allowBlank="1" showInputMessage="1" showErrorMessage="1" errorTitle="Max Length Exceed" error="Value cannot exceed 120 characters." sqref="R13:R200" xr:uid="{10550301-7FEB-40A2-A4DC-A8B2E165B035}">
      <formula1>120</formula1>
    </dataValidation>
    <dataValidation type="textLength" operator="lessThanOrEqual" allowBlank="1" showInputMessage="1" showErrorMessage="1" errorTitle="Max Length Exceed" error="Value cannot exceed 120 characters." sqref="S13:S200" xr:uid="{E060F88C-2058-471C-8AA7-7F56D227CE16}">
      <formula1>120</formula1>
    </dataValidation>
    <dataValidation type="textLength" operator="lessThanOrEqual" allowBlank="1" showInputMessage="1" showErrorMessage="1" errorTitle="Max Length Exceed" error="Value cannot exceed 120 characters." sqref="T13:T200" xr:uid="{218A46A5-4539-405B-88EC-039121EEC8D9}">
      <formula1>120</formula1>
    </dataValidation>
    <dataValidation type="textLength" operator="lessThanOrEqual" allowBlank="1" showInputMessage="1" showErrorMessage="1" errorTitle="Max Length Exceed" error="Value cannot exceed 40 characters." sqref="U13:U200" xr:uid="{A19E7E17-2E23-429C-8D44-FF113B46C4BD}">
      <formula1>40</formula1>
    </dataValidation>
    <dataValidation type="textLength" operator="lessThanOrEqual" allowBlank="1" showInputMessage="1" showErrorMessage="1" errorTitle="Max Length Exceed" error="Value cannot exceed 5 characters." sqref="W13:W200" xr:uid="{233042E9-5582-413E-BCD1-0BA5A5AC05F9}">
      <formula1>5</formula1>
    </dataValidation>
    <dataValidation type="textLength" operator="lessThanOrEqual" allowBlank="1" showInputMessage="1" showErrorMessage="1" errorTitle="Max Length Exceed" error="Value cannot exceed 4 characters." sqref="X13:X200" xr:uid="{C035A556-82A3-4D44-834B-DE39163419C2}">
      <formula1>4</formula1>
    </dataValidation>
    <dataValidation type="textLength" operator="lessThanOrEqual" allowBlank="1" showInputMessage="1" showErrorMessage="1" errorTitle="Max Length Exceed" error="Value cannot exceed 750 characters." sqref="Y13:Y200" xr:uid="{68018FB5-E73F-4710-93CF-7D8D1F102F87}">
      <formula1>750</formula1>
    </dataValidation>
    <dataValidation type="textLength" operator="lessThanOrEqual" allowBlank="1" showInputMessage="1" showErrorMessage="1" errorTitle="Max Length Exceed" error="Value cannot exceed 250 characters." sqref="AA13:AA200" xr:uid="{E571A1A5-F79F-42EF-BDC3-F93F7211D860}">
      <formula1>250</formula1>
    </dataValidation>
  </dataValidations>
  <pageMargins left="0.78749999999999998" right="0.78749999999999998" top="1.05277777777778" bottom="1.05277777777778" header="0" footer="0"/>
  <pageSetup orientation="landscape"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183FCD85-98F5-4F15-927E-13C17D5E838D}">
          <x14:formula1>
            <xm:f>Dropdowns!$I$3:$I$15</xm:f>
          </x14:formula1>
          <xm:sqref>J13:J38</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2EEE76-763C-4406-BAD7-2A3D4EE66D5A}">
  <sheetPr codeName="Sheet102"/>
  <dimension ref="A1:G200"/>
  <sheetViews>
    <sheetView showGridLines="0" workbookViewId="0">
      <pane ySplit="12" topLeftCell="A13" activePane="bottomLeft" state="frozen"/>
      <selection pane="bottomLeft" sqref="A1:XFD10"/>
    </sheetView>
  </sheetViews>
  <sheetFormatPr defaultColWidth="14.453125" defaultRowHeight="12.75" customHeight="1" x14ac:dyDescent="0.25"/>
  <cols>
    <col min="1" max="1" width="14" style="207" hidden="1" customWidth="1"/>
    <col min="2" max="2" width="4.453125" style="207" hidden="1" customWidth="1"/>
    <col min="3" max="4" width="20.7265625" style="165" customWidth="1"/>
    <col min="5" max="5" width="32.54296875" style="209" customWidth="1"/>
    <col min="6" max="6" width="18.54296875" style="209" customWidth="1"/>
    <col min="7" max="7" width="20.453125" style="210" customWidth="1"/>
    <col min="8" max="29" width="8.7265625" style="165" customWidth="1"/>
    <col min="30" max="16384" width="14.453125" style="165"/>
  </cols>
  <sheetData>
    <row r="1" spans="1:7" ht="27" hidden="1" customHeight="1" x14ac:dyDescent="0.25">
      <c r="A1" s="111"/>
      <c r="B1" s="122"/>
      <c r="C1" s="122"/>
      <c r="D1" s="122"/>
      <c r="E1" s="134"/>
      <c r="F1" s="134"/>
      <c r="G1" s="135"/>
    </row>
    <row r="2" spans="1:7" ht="27" hidden="1" customHeight="1" x14ac:dyDescent="0.25">
      <c r="A2" s="109" t="s">
        <v>394</v>
      </c>
      <c r="B2" s="123"/>
      <c r="C2" s="122" t="s">
        <v>644</v>
      </c>
      <c r="D2" s="122"/>
      <c r="E2" s="122" t="s">
        <v>644</v>
      </c>
      <c r="F2" s="122" t="s">
        <v>644</v>
      </c>
      <c r="G2" s="122" t="s">
        <v>644</v>
      </c>
    </row>
    <row r="3" spans="1:7" ht="27" hidden="1" customHeight="1" x14ac:dyDescent="0.25">
      <c r="A3" s="109" t="s">
        <v>163</v>
      </c>
      <c r="B3" s="123"/>
      <c r="C3" s="130" t="s">
        <v>645</v>
      </c>
      <c r="D3" s="122" t="s">
        <v>1033</v>
      </c>
      <c r="E3" s="136" t="s">
        <v>269</v>
      </c>
      <c r="F3" s="136" t="s">
        <v>270</v>
      </c>
      <c r="G3" s="136" t="s">
        <v>271</v>
      </c>
    </row>
    <row r="4" spans="1:7" ht="27" hidden="1" customHeight="1" x14ac:dyDescent="0.25">
      <c r="A4" s="109" t="s">
        <v>162</v>
      </c>
      <c r="B4" s="123"/>
      <c r="C4" s="130" t="s">
        <v>149</v>
      </c>
      <c r="D4" s="122" t="s">
        <v>1024</v>
      </c>
      <c r="E4" s="130" t="s">
        <v>149</v>
      </c>
      <c r="F4" s="130" t="s">
        <v>149</v>
      </c>
      <c r="G4" s="130" t="s">
        <v>149</v>
      </c>
    </row>
    <row r="5" spans="1:7" ht="27" hidden="1" customHeight="1" x14ac:dyDescent="0.25">
      <c r="A5" s="109" t="s">
        <v>395</v>
      </c>
      <c r="B5" s="123"/>
      <c r="C5" s="122" t="s">
        <v>646</v>
      </c>
      <c r="D5" s="122"/>
      <c r="E5" s="137" t="s">
        <v>647</v>
      </c>
      <c r="F5" s="137" t="s">
        <v>648</v>
      </c>
      <c r="G5" s="137" t="s">
        <v>649</v>
      </c>
    </row>
    <row r="6" spans="1:7" ht="27" hidden="1" customHeight="1" x14ac:dyDescent="0.25">
      <c r="A6" s="109" t="s">
        <v>166</v>
      </c>
      <c r="B6" s="123"/>
      <c r="C6" s="130" t="s">
        <v>134</v>
      </c>
      <c r="D6" s="122" t="s">
        <v>134</v>
      </c>
      <c r="E6" s="130" t="s">
        <v>134</v>
      </c>
      <c r="F6" s="130" t="s">
        <v>134</v>
      </c>
      <c r="G6" s="130" t="s">
        <v>134</v>
      </c>
    </row>
    <row r="7" spans="1:7" ht="27" hidden="1" customHeight="1" x14ac:dyDescent="0.25">
      <c r="A7" s="109" t="s">
        <v>167</v>
      </c>
      <c r="B7" s="123"/>
      <c r="C7" s="130" t="s">
        <v>169</v>
      </c>
      <c r="D7" s="122" t="s">
        <v>1030</v>
      </c>
      <c r="E7" s="130" t="s">
        <v>2</v>
      </c>
      <c r="F7" s="130" t="s">
        <v>2</v>
      </c>
      <c r="G7" s="130" t="s">
        <v>173</v>
      </c>
    </row>
    <row r="8" spans="1:7" ht="27" hidden="1" customHeight="1" x14ac:dyDescent="0.25">
      <c r="A8" s="109" t="s">
        <v>168</v>
      </c>
      <c r="B8" s="123"/>
      <c r="C8" s="133">
        <v>20</v>
      </c>
      <c r="D8" s="122" t="s">
        <v>134</v>
      </c>
      <c r="E8" s="133" t="s">
        <v>745</v>
      </c>
      <c r="F8" s="133" t="s">
        <v>745</v>
      </c>
      <c r="G8" s="130" t="s">
        <v>174</v>
      </c>
    </row>
    <row r="9" spans="1:7" ht="27" hidden="1" customHeight="1" x14ac:dyDescent="0.25">
      <c r="A9" s="109" t="s">
        <v>396</v>
      </c>
      <c r="B9" s="123"/>
      <c r="C9" s="122"/>
      <c r="D9" s="122"/>
      <c r="E9" s="122"/>
      <c r="F9" s="122"/>
      <c r="G9" s="122"/>
    </row>
    <row r="10" spans="1:7" ht="35.15" hidden="1" customHeight="1" x14ac:dyDescent="0.25">
      <c r="A10" s="86" t="s">
        <v>752</v>
      </c>
      <c r="B10" s="91"/>
      <c r="C10" s="125" t="s">
        <v>797</v>
      </c>
      <c r="D10" s="127" t="s">
        <v>1028</v>
      </c>
      <c r="E10" s="125" t="s">
        <v>798</v>
      </c>
      <c r="F10" s="125" t="s">
        <v>799</v>
      </c>
      <c r="G10" s="126" t="s">
        <v>800</v>
      </c>
    </row>
    <row r="11" spans="1:7" ht="14" x14ac:dyDescent="0.25">
      <c r="A11" s="102"/>
      <c r="B11" s="102"/>
      <c r="C11" s="82">
        <f>Cover!$C$2</f>
        <v>0</v>
      </c>
      <c r="D11" s="69"/>
      <c r="E11" s="101"/>
      <c r="F11" s="101"/>
      <c r="G11" s="101"/>
    </row>
    <row r="12" spans="1:7" ht="26" x14ac:dyDescent="0.3">
      <c r="A12" s="54" t="s">
        <v>164</v>
      </c>
      <c r="B12" s="54"/>
      <c r="C12" s="234" t="s">
        <v>330</v>
      </c>
      <c r="D12" s="307" t="s">
        <v>9</v>
      </c>
      <c r="E12" s="311" t="s">
        <v>63</v>
      </c>
      <c r="F12" s="311" t="s">
        <v>64</v>
      </c>
      <c r="G12" s="311" t="s">
        <v>65</v>
      </c>
    </row>
    <row r="13" spans="1:7" ht="12.75" customHeight="1" x14ac:dyDescent="0.3">
      <c r="A13" s="226" t="s">
        <v>165</v>
      </c>
      <c r="B13" s="226"/>
      <c r="C13" s="306"/>
      <c r="D13" s="305" t="str">
        <f>IFERROR(IF(ISBLANK(C13),"",VLOOKUP(C13,'Awards &gt; 50000'!$H$13:$I$200,2,FALSE)),"Not Found")</f>
        <v/>
      </c>
      <c r="E13" s="285"/>
      <c r="F13" s="285"/>
      <c r="G13" s="254"/>
    </row>
    <row r="14" spans="1:7" ht="12.75" customHeight="1" x14ac:dyDescent="0.3">
      <c r="A14" s="288"/>
      <c r="B14" s="288"/>
      <c r="C14" s="306"/>
      <c r="D14" s="305" t="str">
        <f>IFERROR(IF(ISBLANK(C14),"",VLOOKUP(C14,'Awards &gt; 50000'!$H$13:$I$200,2,FALSE)),"Not Found")</f>
        <v/>
      </c>
      <c r="E14" s="285"/>
      <c r="F14" s="285"/>
      <c r="G14" s="254"/>
    </row>
    <row r="15" spans="1:7" ht="12.75" customHeight="1" x14ac:dyDescent="0.3">
      <c r="A15" s="288"/>
      <c r="B15" s="288"/>
      <c r="C15" s="306"/>
      <c r="D15" s="305" t="str">
        <f>IFERROR(IF(ISBLANK(C15),"",VLOOKUP(C15,'Awards &gt; 50000'!$H$13:$I$200,2,FALSE)),"Not Found")</f>
        <v/>
      </c>
      <c r="E15" s="285"/>
      <c r="F15" s="285"/>
      <c r="G15" s="254"/>
    </row>
    <row r="16" spans="1:7" ht="12.75" customHeight="1" x14ac:dyDescent="0.3">
      <c r="A16" s="288"/>
      <c r="B16" s="288"/>
      <c r="C16" s="306"/>
      <c r="D16" s="305" t="str">
        <f>IFERROR(IF(ISBLANK(C16),"",VLOOKUP(C16,'Awards &gt; 50000'!$H$13:$I$200,2,FALSE)),"Not Found")</f>
        <v/>
      </c>
      <c r="E16" s="285"/>
      <c r="F16" s="285"/>
      <c r="G16" s="254"/>
    </row>
    <row r="17" spans="1:7" ht="12.75" customHeight="1" x14ac:dyDescent="0.3">
      <c r="A17" s="288"/>
      <c r="B17" s="288"/>
      <c r="C17" s="306"/>
      <c r="D17" s="305" t="str">
        <f>IFERROR(IF(ISBLANK(C17),"",VLOOKUP(C17,'Awards &gt; 50000'!$H$13:$I$200,2,FALSE)),"Not Found")</f>
        <v/>
      </c>
      <c r="E17" s="285"/>
      <c r="F17" s="285"/>
      <c r="G17" s="254"/>
    </row>
    <row r="18" spans="1:7" ht="12.75" customHeight="1" x14ac:dyDescent="0.3">
      <c r="A18" s="288"/>
      <c r="B18" s="288"/>
      <c r="C18" s="306"/>
      <c r="D18" s="305" t="str">
        <f>IFERROR(IF(ISBLANK(C18),"",VLOOKUP(C18,'Awards &gt; 50000'!$H$13:$I$200,2,FALSE)),"Not Found")</f>
        <v/>
      </c>
      <c r="E18" s="285"/>
      <c r="F18" s="285"/>
      <c r="G18" s="254"/>
    </row>
    <row r="19" spans="1:7" ht="12.75" customHeight="1" x14ac:dyDescent="0.3">
      <c r="A19" s="288"/>
      <c r="B19" s="288"/>
      <c r="C19" s="306"/>
      <c r="D19" s="305" t="str">
        <f>IFERROR(IF(ISBLANK(C19),"",VLOOKUP(C19,'Awards &gt; 50000'!$H$13:$I$200,2,FALSE)),"Not Found")</f>
        <v/>
      </c>
      <c r="E19" s="285"/>
      <c r="F19" s="285"/>
      <c r="G19" s="254"/>
    </row>
    <row r="20" spans="1:7" ht="12.75" customHeight="1" x14ac:dyDescent="0.3">
      <c r="A20" s="288"/>
      <c r="B20" s="288"/>
      <c r="C20" s="286"/>
      <c r="D20" s="305" t="str">
        <f>IFERROR(IF(ISBLANK(C20),"",VLOOKUP(C20,'Awards &gt; 50000'!$H$13:$I$200,2,FALSE)),"Not Found")</f>
        <v/>
      </c>
      <c r="E20" s="285"/>
      <c r="F20" s="285"/>
      <c r="G20" s="254"/>
    </row>
    <row r="21" spans="1:7" ht="12.75" customHeight="1" x14ac:dyDescent="0.3">
      <c r="A21" s="288"/>
      <c r="B21" s="288"/>
      <c r="C21" s="286"/>
      <c r="D21" s="305" t="str">
        <f>IFERROR(IF(ISBLANK(C21),"",VLOOKUP(C21,'Awards &gt; 50000'!$H$13:$I$200,2,FALSE)),"Not Found")</f>
        <v/>
      </c>
      <c r="E21" s="285"/>
      <c r="F21" s="285"/>
      <c r="G21" s="254"/>
    </row>
    <row r="22" spans="1:7" ht="12.75" customHeight="1" x14ac:dyDescent="0.3">
      <c r="A22" s="288"/>
      <c r="B22" s="288"/>
      <c r="C22" s="286"/>
      <c r="D22" s="305" t="str">
        <f>IFERROR(IF(ISBLANK(C22),"",VLOOKUP(C22,'Awards &gt; 50000'!$H$13:$I$200,2,FALSE)),"Not Found")</f>
        <v/>
      </c>
      <c r="E22" s="285"/>
      <c r="F22" s="285"/>
      <c r="G22" s="254"/>
    </row>
    <row r="23" spans="1:7" ht="12.75" customHeight="1" x14ac:dyDescent="0.3">
      <c r="A23" s="288"/>
      <c r="B23" s="288"/>
      <c r="C23" s="286"/>
      <c r="D23" s="305" t="str">
        <f>IFERROR(IF(ISBLANK(C23),"",VLOOKUP(C23,'Awards &gt; 50000'!$H$13:$I$200,2,FALSE)),"Not Found")</f>
        <v/>
      </c>
      <c r="E23" s="285"/>
      <c r="F23" s="285"/>
      <c r="G23" s="254"/>
    </row>
    <row r="24" spans="1:7" ht="12.75" customHeight="1" x14ac:dyDescent="0.3">
      <c r="A24" s="288"/>
      <c r="B24" s="288"/>
      <c r="C24" s="286"/>
      <c r="D24" s="305" t="str">
        <f>IFERROR(IF(ISBLANK(C24),"",VLOOKUP(C24,'Awards &gt; 50000'!$H$13:$I$200,2,FALSE)),"Not Found")</f>
        <v/>
      </c>
      <c r="E24" s="285"/>
      <c r="F24" s="285"/>
      <c r="G24" s="254"/>
    </row>
    <row r="25" spans="1:7" ht="12.75" customHeight="1" x14ac:dyDescent="0.3">
      <c r="A25" s="288"/>
      <c r="B25" s="288"/>
      <c r="C25" s="286"/>
      <c r="D25" s="305" t="str">
        <f>IFERROR(IF(ISBLANK(C25),"",VLOOKUP(C25,'Awards &gt; 50000'!$H$13:$I$200,2,FALSE)),"Not Found")</f>
        <v/>
      </c>
      <c r="E25" s="285"/>
      <c r="F25" s="285"/>
      <c r="G25" s="254"/>
    </row>
    <row r="26" spans="1:7" ht="12.75" customHeight="1" x14ac:dyDescent="0.3">
      <c r="A26" s="288"/>
      <c r="B26" s="288"/>
      <c r="C26" s="286"/>
      <c r="D26" s="305" t="str">
        <f>IFERROR(IF(ISBLANK(C26),"",VLOOKUP(C26,'Awards &gt; 50000'!$H$13:$I$200,2,FALSE)),"Not Found")</f>
        <v/>
      </c>
      <c r="E26" s="285"/>
      <c r="F26" s="285"/>
      <c r="G26" s="254"/>
    </row>
    <row r="27" spans="1:7" ht="12.75" customHeight="1" x14ac:dyDescent="0.3">
      <c r="A27" s="288"/>
      <c r="B27" s="288"/>
      <c r="C27" s="286"/>
      <c r="D27" s="305" t="str">
        <f>IFERROR(IF(ISBLANK(C27),"",VLOOKUP(C27,'Awards &gt; 50000'!$H$13:$I$200,2,FALSE)),"Not Found")</f>
        <v/>
      </c>
      <c r="E27" s="285"/>
      <c r="F27" s="285"/>
      <c r="G27" s="254"/>
    </row>
    <row r="28" spans="1:7" ht="12.75" customHeight="1" x14ac:dyDescent="0.3">
      <c r="A28" s="288"/>
      <c r="B28" s="288"/>
      <c r="C28" s="286"/>
      <c r="D28" s="305" t="str">
        <f>IFERROR(IF(ISBLANK(C28),"",VLOOKUP(C28,'Awards &gt; 50000'!$H$13:$I$200,2,FALSE)),"Not Found")</f>
        <v/>
      </c>
      <c r="E28" s="285"/>
      <c r="F28" s="285"/>
      <c r="G28" s="254"/>
    </row>
    <row r="29" spans="1:7" ht="12.75" customHeight="1" x14ac:dyDescent="0.3">
      <c r="A29" s="288"/>
      <c r="B29" s="288"/>
      <c r="C29" s="286"/>
      <c r="D29" s="305" t="str">
        <f>IFERROR(IF(ISBLANK(C29),"",VLOOKUP(C29,'Awards &gt; 50000'!$H$13:$I$200,2,FALSE)),"Not Found")</f>
        <v/>
      </c>
      <c r="E29" s="285"/>
      <c r="F29" s="285"/>
      <c r="G29" s="254"/>
    </row>
    <row r="30" spans="1:7" ht="12.75" customHeight="1" x14ac:dyDescent="0.3">
      <c r="A30" s="288"/>
      <c r="B30" s="288"/>
      <c r="C30" s="286"/>
      <c r="D30" s="305" t="str">
        <f>IFERROR(IF(ISBLANK(C30),"",VLOOKUP(C30,'Awards &gt; 50000'!$H$13:$I$200,2,FALSE)),"Not Found")</f>
        <v/>
      </c>
      <c r="E30" s="285"/>
      <c r="F30" s="285"/>
      <c r="G30" s="254"/>
    </row>
    <row r="31" spans="1:7" ht="12.75" customHeight="1" x14ac:dyDescent="0.3">
      <c r="A31" s="288"/>
      <c r="B31" s="288"/>
      <c r="C31" s="286"/>
      <c r="D31" s="305" t="str">
        <f>IFERROR(IF(ISBLANK(C31),"",VLOOKUP(C31,'Awards &gt; 50000'!$H$13:$I$200,2,FALSE)),"Not Found")</f>
        <v/>
      </c>
      <c r="E31" s="285"/>
      <c r="F31" s="285"/>
      <c r="G31" s="254"/>
    </row>
    <row r="32" spans="1:7" ht="12.75" customHeight="1" x14ac:dyDescent="0.3">
      <c r="A32" s="288"/>
      <c r="B32" s="288"/>
      <c r="C32" s="286"/>
      <c r="D32" s="305" t="str">
        <f>IFERROR(IF(ISBLANK(C32),"",VLOOKUP(C32,'Awards &gt; 50000'!$H$13:$I$200,2,FALSE)),"Not Found")</f>
        <v/>
      </c>
      <c r="E32" s="285"/>
      <c r="F32" s="285"/>
      <c r="G32" s="254"/>
    </row>
    <row r="33" spans="1:7" ht="12.75" customHeight="1" x14ac:dyDescent="0.3">
      <c r="A33" s="288"/>
      <c r="B33" s="288"/>
      <c r="C33" s="286"/>
      <c r="D33" s="305" t="str">
        <f>IFERROR(IF(ISBLANK(C33),"",VLOOKUP(C33,'Awards &gt; 50000'!$H$13:$I$200,2,FALSE)),"Not Found")</f>
        <v/>
      </c>
      <c r="E33" s="285"/>
      <c r="F33" s="285"/>
      <c r="G33" s="254"/>
    </row>
    <row r="34" spans="1:7" ht="12.75" customHeight="1" x14ac:dyDescent="0.3">
      <c r="A34" s="288"/>
      <c r="B34" s="288"/>
      <c r="C34" s="286"/>
      <c r="D34" s="305" t="str">
        <f>IFERROR(IF(ISBLANK(C34),"",VLOOKUP(C34,'Awards &gt; 50000'!$H$13:$I$200,2,FALSE)),"Not Found")</f>
        <v/>
      </c>
      <c r="E34" s="285"/>
      <c r="F34" s="285"/>
      <c r="G34" s="254"/>
    </row>
    <row r="35" spans="1:7" ht="12.75" customHeight="1" x14ac:dyDescent="0.3">
      <c r="A35" s="288"/>
      <c r="B35" s="288"/>
      <c r="C35" s="286"/>
      <c r="D35" s="305" t="str">
        <f>IFERROR(IF(ISBLANK(C35),"",VLOOKUP(C35,'Awards &gt; 50000'!$H$13:$I$200,2,FALSE)),"Not Found")</f>
        <v/>
      </c>
      <c r="E35" s="285"/>
      <c r="F35" s="285"/>
      <c r="G35" s="254"/>
    </row>
    <row r="36" spans="1:7" ht="12.75" customHeight="1" x14ac:dyDescent="0.3">
      <c r="A36" s="288"/>
      <c r="B36" s="288"/>
      <c r="C36" s="286"/>
      <c r="D36" s="305" t="str">
        <f>IFERROR(IF(ISBLANK(C36),"",VLOOKUP(C36,'Awards &gt; 50000'!$H$13:$I$200,2,FALSE)),"Not Found")</f>
        <v/>
      </c>
      <c r="E36" s="285"/>
      <c r="F36" s="285"/>
      <c r="G36" s="254"/>
    </row>
    <row r="37" spans="1:7" ht="12.75" customHeight="1" x14ac:dyDescent="0.3">
      <c r="A37" s="288"/>
      <c r="B37" s="288"/>
      <c r="C37" s="286"/>
      <c r="D37" s="305" t="str">
        <f>IFERROR(IF(ISBLANK(C37),"",VLOOKUP(C37,'Awards &gt; 50000'!$H$13:$I$200,2,FALSE)),"Not Found")</f>
        <v/>
      </c>
      <c r="E37" s="285"/>
      <c r="F37" s="285"/>
      <c r="G37" s="254"/>
    </row>
    <row r="38" spans="1:7" ht="12.75" customHeight="1" x14ac:dyDescent="0.3">
      <c r="A38" s="288"/>
      <c r="B38" s="288"/>
      <c r="C38" s="286"/>
      <c r="D38" s="305" t="str">
        <f>IFERROR(IF(ISBLANK(C38),"",VLOOKUP(C38,'Awards &gt; 50000'!$H$13:$I$200,2,FALSE)),"Not Found")</f>
        <v/>
      </c>
      <c r="E38" s="285"/>
      <c r="F38" s="285"/>
      <c r="G38" s="254"/>
    </row>
    <row r="39" spans="1:7" ht="12.75" customHeight="1" x14ac:dyDescent="0.3">
      <c r="A39" s="288"/>
      <c r="B39" s="288"/>
      <c r="C39" s="286"/>
      <c r="D39" s="305" t="str">
        <f>IFERROR(IF(ISBLANK(C39),"",VLOOKUP(C39,'Awards &gt; 50000'!$H$13:$I$200,2,FALSE)),"Not Found")</f>
        <v/>
      </c>
      <c r="E39" s="285"/>
      <c r="F39" s="285"/>
      <c r="G39" s="254"/>
    </row>
    <row r="40" spans="1:7" ht="12.75" customHeight="1" x14ac:dyDescent="0.3">
      <c r="A40" s="288"/>
      <c r="B40" s="288"/>
      <c r="C40" s="286"/>
      <c r="D40" s="305" t="str">
        <f>IFERROR(IF(ISBLANK(C40),"",VLOOKUP(C40,'Awards &gt; 50000'!$H$13:$I$200,2,FALSE)),"Not Found")</f>
        <v/>
      </c>
      <c r="E40" s="285"/>
      <c r="F40" s="285"/>
      <c r="G40" s="254"/>
    </row>
    <row r="41" spans="1:7" ht="12.75" customHeight="1" x14ac:dyDescent="0.3">
      <c r="A41" s="288"/>
      <c r="B41" s="288"/>
      <c r="C41" s="286"/>
      <c r="D41" s="305" t="str">
        <f>IFERROR(IF(ISBLANK(C41),"",VLOOKUP(C41,'Awards &gt; 50000'!$H$13:$I$200,2,FALSE)),"Not Found")</f>
        <v/>
      </c>
      <c r="E41" s="285"/>
      <c r="F41" s="285"/>
      <c r="G41" s="254"/>
    </row>
    <row r="42" spans="1:7" ht="12.75" customHeight="1" x14ac:dyDescent="0.3">
      <c r="A42" s="288"/>
      <c r="B42" s="288"/>
      <c r="C42" s="286"/>
      <c r="D42" s="305" t="str">
        <f>IFERROR(IF(ISBLANK(C42),"",VLOOKUP(C42,'Awards &gt; 50000'!$H$13:$I$200,2,FALSE)),"Not Found")</f>
        <v/>
      </c>
      <c r="E42" s="285"/>
      <c r="F42" s="285"/>
      <c r="G42" s="254"/>
    </row>
    <row r="43" spans="1:7" ht="12.75" customHeight="1" x14ac:dyDescent="0.3">
      <c r="A43" s="288"/>
      <c r="B43" s="288"/>
      <c r="C43" s="286"/>
      <c r="D43" s="305" t="str">
        <f>IFERROR(IF(ISBLANK(C43),"",VLOOKUP(C43,'Awards &gt; 50000'!$H$13:$I$200,2,FALSE)),"Not Found")</f>
        <v/>
      </c>
      <c r="E43" s="285"/>
      <c r="F43" s="285"/>
      <c r="G43" s="254"/>
    </row>
    <row r="44" spans="1:7" ht="12.75" customHeight="1" x14ac:dyDescent="0.3">
      <c r="A44" s="288"/>
      <c r="B44" s="288"/>
      <c r="C44" s="286"/>
      <c r="D44" s="305" t="str">
        <f>IFERROR(IF(ISBLANK(C44),"",VLOOKUP(C44,'Awards &gt; 50000'!$H$13:$I$200,2,FALSE)),"Not Found")</f>
        <v/>
      </c>
      <c r="E44" s="285"/>
      <c r="F44" s="285"/>
      <c r="G44" s="254"/>
    </row>
    <row r="45" spans="1:7" ht="12.75" customHeight="1" x14ac:dyDescent="0.3">
      <c r="A45" s="288"/>
      <c r="B45" s="288"/>
      <c r="C45" s="286"/>
      <c r="D45" s="305" t="str">
        <f>IFERROR(IF(ISBLANK(C45),"",VLOOKUP(C45,'Awards &gt; 50000'!$H$13:$I$200,2,FALSE)),"Not Found")</f>
        <v/>
      </c>
      <c r="E45" s="285"/>
      <c r="F45" s="285"/>
      <c r="G45" s="254"/>
    </row>
    <row r="46" spans="1:7" ht="12.75" customHeight="1" x14ac:dyDescent="0.3">
      <c r="A46" s="288"/>
      <c r="B46" s="288"/>
      <c r="C46" s="286"/>
      <c r="D46" s="305" t="str">
        <f>IFERROR(IF(ISBLANK(C46),"",VLOOKUP(C46,'Awards &gt; 50000'!$H$13:$I$200,2,FALSE)),"Not Found")</f>
        <v/>
      </c>
      <c r="E46" s="285"/>
      <c r="F46" s="285"/>
      <c r="G46" s="254"/>
    </row>
    <row r="47" spans="1:7" ht="12.75" customHeight="1" x14ac:dyDescent="0.3">
      <c r="A47" s="288"/>
      <c r="B47" s="288"/>
      <c r="C47" s="286"/>
      <c r="D47" s="305" t="str">
        <f>IFERROR(IF(ISBLANK(C47),"",VLOOKUP(C47,'Awards &gt; 50000'!$H$13:$I$200,2,FALSE)),"Not Found")</f>
        <v/>
      </c>
      <c r="E47" s="285"/>
      <c r="F47" s="285"/>
      <c r="G47" s="254"/>
    </row>
    <row r="48" spans="1:7" ht="12.75" customHeight="1" x14ac:dyDescent="0.3">
      <c r="A48" s="288"/>
      <c r="B48" s="288"/>
      <c r="C48" s="286"/>
      <c r="D48" s="305" t="str">
        <f>IFERROR(IF(ISBLANK(C48),"",VLOOKUP(C48,'Awards &gt; 50000'!$H$13:$I$200,2,FALSE)),"Not Found")</f>
        <v/>
      </c>
      <c r="E48" s="285"/>
      <c r="F48" s="285"/>
      <c r="G48" s="254"/>
    </row>
    <row r="49" spans="1:7" ht="12.75" customHeight="1" x14ac:dyDescent="0.3">
      <c r="A49" s="288"/>
      <c r="B49" s="288"/>
      <c r="C49" s="286"/>
      <c r="D49" s="305" t="str">
        <f>IFERROR(IF(ISBLANK(C49),"",VLOOKUP(C49,'Awards &gt; 50000'!$H$13:$I$200,2,FALSE)),"Not Found")</f>
        <v/>
      </c>
      <c r="E49" s="285"/>
      <c r="F49" s="285"/>
      <c r="G49" s="254"/>
    </row>
    <row r="50" spans="1:7" ht="12.75" customHeight="1" x14ac:dyDescent="0.3">
      <c r="A50" s="288"/>
      <c r="B50" s="288"/>
      <c r="C50" s="286"/>
      <c r="D50" s="305" t="str">
        <f>IFERROR(IF(ISBLANK(C50),"",VLOOKUP(C50,'Awards &gt; 50000'!$H$13:$I$200,2,FALSE)),"Not Found")</f>
        <v/>
      </c>
      <c r="E50" s="285"/>
      <c r="F50" s="285"/>
      <c r="G50" s="254"/>
    </row>
    <row r="51" spans="1:7" ht="12.75" customHeight="1" x14ac:dyDescent="0.3">
      <c r="A51" s="288"/>
      <c r="B51" s="288"/>
      <c r="C51" s="286"/>
      <c r="D51" s="305" t="str">
        <f>IFERROR(IF(ISBLANK(C51),"",VLOOKUP(C51,'Awards &gt; 50000'!$H$13:$I$200,2,FALSE)),"Not Found")</f>
        <v/>
      </c>
      <c r="E51" s="285"/>
      <c r="F51" s="285"/>
      <c r="G51" s="254"/>
    </row>
    <row r="52" spans="1:7" ht="12.75" customHeight="1" x14ac:dyDescent="0.3">
      <c r="A52" s="288"/>
      <c r="B52" s="288"/>
      <c r="C52" s="286"/>
      <c r="D52" s="305" t="str">
        <f>IFERROR(IF(ISBLANK(C52),"",VLOOKUP(C52,'Awards &gt; 50000'!$H$13:$I$200,2,FALSE)),"Not Found")</f>
        <v/>
      </c>
      <c r="E52" s="285"/>
      <c r="F52" s="285"/>
      <c r="G52" s="254"/>
    </row>
    <row r="53" spans="1:7" ht="12.75" customHeight="1" x14ac:dyDescent="0.3">
      <c r="A53" s="288"/>
      <c r="B53" s="288"/>
      <c r="C53" s="286"/>
      <c r="D53" s="305" t="str">
        <f>IFERROR(IF(ISBLANK(C53),"",VLOOKUP(C53,'Awards &gt; 50000'!$H$13:$I$200,2,FALSE)),"Not Found")</f>
        <v/>
      </c>
      <c r="E53" s="285"/>
      <c r="F53" s="285"/>
      <c r="G53" s="254"/>
    </row>
    <row r="54" spans="1:7" ht="12.75" customHeight="1" x14ac:dyDescent="0.3">
      <c r="A54" s="288"/>
      <c r="B54" s="288"/>
      <c r="C54" s="286"/>
      <c r="D54" s="305" t="str">
        <f>IFERROR(IF(ISBLANK(C54),"",VLOOKUP(C54,'Awards &gt; 50000'!$H$13:$I$200,2,FALSE)),"Not Found")</f>
        <v/>
      </c>
      <c r="E54" s="285"/>
      <c r="F54" s="285"/>
      <c r="G54" s="254"/>
    </row>
    <row r="55" spans="1:7" ht="12.75" customHeight="1" x14ac:dyDescent="0.3">
      <c r="A55" s="288"/>
      <c r="B55" s="288"/>
      <c r="C55" s="286"/>
      <c r="D55" s="305" t="str">
        <f>IFERROR(IF(ISBLANK(C55),"",VLOOKUP(C55,'Awards &gt; 50000'!$H$13:$I$200,2,FALSE)),"Not Found")</f>
        <v/>
      </c>
      <c r="E55" s="285"/>
      <c r="F55" s="285"/>
      <c r="G55" s="254"/>
    </row>
    <row r="56" spans="1:7" ht="12.75" customHeight="1" x14ac:dyDescent="0.3">
      <c r="A56" s="288"/>
      <c r="B56" s="288"/>
      <c r="C56" s="286"/>
      <c r="D56" s="305" t="str">
        <f>IFERROR(IF(ISBLANK(C56),"",VLOOKUP(C56,'Awards &gt; 50000'!$H$13:$I$200,2,FALSE)),"Not Found")</f>
        <v/>
      </c>
      <c r="E56" s="285"/>
      <c r="F56" s="285"/>
      <c r="G56" s="254"/>
    </row>
    <row r="57" spans="1:7" ht="12.75" customHeight="1" x14ac:dyDescent="0.3">
      <c r="A57" s="288"/>
      <c r="B57" s="288"/>
      <c r="C57" s="286"/>
      <c r="D57" s="305" t="str">
        <f>IFERROR(IF(ISBLANK(C57),"",VLOOKUP(C57,'Awards &gt; 50000'!$H$13:$I$200,2,FALSE)),"Not Found")</f>
        <v/>
      </c>
      <c r="E57" s="285"/>
      <c r="F57" s="285"/>
      <c r="G57" s="254"/>
    </row>
    <row r="58" spans="1:7" ht="12.75" customHeight="1" x14ac:dyDescent="0.3">
      <c r="A58" s="288"/>
      <c r="B58" s="288"/>
      <c r="C58" s="286"/>
      <c r="D58" s="305" t="str">
        <f>IFERROR(IF(ISBLANK(C58),"",VLOOKUP(C58,'Awards &gt; 50000'!$H$13:$I$200,2,FALSE)),"Not Found")</f>
        <v/>
      </c>
      <c r="E58" s="285"/>
      <c r="F58" s="285"/>
      <c r="G58" s="254"/>
    </row>
    <row r="59" spans="1:7" ht="12.75" customHeight="1" x14ac:dyDescent="0.3">
      <c r="A59" s="288"/>
      <c r="B59" s="288"/>
      <c r="C59" s="286"/>
      <c r="D59" s="305" t="str">
        <f>IFERROR(IF(ISBLANK(C59),"",VLOOKUP(C59,'Awards &gt; 50000'!$H$13:$I$200,2,FALSE)),"Not Found")</f>
        <v/>
      </c>
      <c r="E59" s="285"/>
      <c r="F59" s="285"/>
      <c r="G59" s="254"/>
    </row>
    <row r="60" spans="1:7" ht="12.75" customHeight="1" x14ac:dyDescent="0.3">
      <c r="A60" s="288"/>
      <c r="B60" s="288"/>
      <c r="C60" s="286"/>
      <c r="D60" s="305" t="str">
        <f>IFERROR(IF(ISBLANK(C60),"",VLOOKUP(C60,'Awards &gt; 50000'!$H$13:$I$200,2,FALSE)),"Not Found")</f>
        <v/>
      </c>
      <c r="E60" s="285"/>
      <c r="F60" s="285"/>
      <c r="G60" s="254"/>
    </row>
    <row r="61" spans="1:7" ht="12.75" customHeight="1" x14ac:dyDescent="0.3">
      <c r="A61" s="288"/>
      <c r="B61" s="288"/>
      <c r="C61" s="286"/>
      <c r="D61" s="305" t="str">
        <f>IFERROR(IF(ISBLANK(C61),"",VLOOKUP(C61,'Awards &gt; 50000'!$H$13:$I$200,2,FALSE)),"Not Found")</f>
        <v/>
      </c>
      <c r="E61" s="285"/>
      <c r="F61" s="285"/>
      <c r="G61" s="254"/>
    </row>
    <row r="62" spans="1:7" ht="12.75" customHeight="1" x14ac:dyDescent="0.3">
      <c r="A62" s="288"/>
      <c r="B62" s="288"/>
      <c r="C62" s="286"/>
      <c r="D62" s="305" t="str">
        <f>IFERROR(IF(ISBLANK(C62),"",VLOOKUP(C62,'Awards &gt; 50000'!$H$13:$I$200,2,FALSE)),"Not Found")</f>
        <v/>
      </c>
      <c r="E62" s="285"/>
      <c r="F62" s="285"/>
      <c r="G62" s="254"/>
    </row>
    <row r="63" spans="1:7" ht="12.75" customHeight="1" x14ac:dyDescent="0.3">
      <c r="A63" s="288"/>
      <c r="B63" s="288"/>
      <c r="C63" s="286"/>
      <c r="D63" s="305" t="str">
        <f>IFERROR(IF(ISBLANK(C63),"",VLOOKUP(C63,'Awards &gt; 50000'!$H$13:$I$200,2,FALSE)),"Not Found")</f>
        <v/>
      </c>
      <c r="E63" s="285"/>
      <c r="F63" s="285"/>
      <c r="G63" s="254"/>
    </row>
    <row r="64" spans="1:7" ht="12.75" customHeight="1" x14ac:dyDescent="0.3">
      <c r="A64" s="288"/>
      <c r="B64" s="288"/>
      <c r="C64" s="286"/>
      <c r="D64" s="305" t="str">
        <f>IFERROR(IF(ISBLANK(C64),"",VLOOKUP(C64,'Awards &gt; 50000'!$H$13:$I$200,2,FALSE)),"Not Found")</f>
        <v/>
      </c>
      <c r="E64" s="285"/>
      <c r="F64" s="285"/>
      <c r="G64" s="254"/>
    </row>
    <row r="65" spans="1:7" ht="12.75" customHeight="1" x14ac:dyDescent="0.3">
      <c r="A65" s="288"/>
      <c r="B65" s="288"/>
      <c r="C65" s="286"/>
      <c r="D65" s="305" t="str">
        <f>IFERROR(IF(ISBLANK(C65),"",VLOOKUP(C65,'Awards &gt; 50000'!$H$13:$I$200,2,FALSE)),"Not Found")</f>
        <v/>
      </c>
      <c r="E65" s="285"/>
      <c r="F65" s="285"/>
      <c r="G65" s="254"/>
    </row>
    <row r="66" spans="1:7" ht="12.75" customHeight="1" x14ac:dyDescent="0.3">
      <c r="A66" s="288"/>
      <c r="B66" s="288"/>
      <c r="C66" s="286"/>
      <c r="D66" s="305" t="str">
        <f>IFERROR(IF(ISBLANK(C66),"",VLOOKUP(C66,'Awards &gt; 50000'!$H$13:$I$200,2,FALSE)),"Not Found")</f>
        <v/>
      </c>
      <c r="E66" s="285"/>
      <c r="F66" s="285"/>
      <c r="G66" s="254"/>
    </row>
    <row r="67" spans="1:7" ht="12.75" customHeight="1" x14ac:dyDescent="0.3">
      <c r="A67" s="288"/>
      <c r="B67" s="288"/>
      <c r="C67" s="286"/>
      <c r="D67" s="305" t="str">
        <f>IFERROR(IF(ISBLANK(C67),"",VLOOKUP(C67,'Awards &gt; 50000'!$H$13:$I$200,2,FALSE)),"Not Found")</f>
        <v/>
      </c>
      <c r="E67" s="285"/>
      <c r="F67" s="285"/>
      <c r="G67" s="254"/>
    </row>
    <row r="68" spans="1:7" ht="12.75" customHeight="1" x14ac:dyDescent="0.3">
      <c r="A68" s="288"/>
      <c r="B68" s="288"/>
      <c r="C68" s="286"/>
      <c r="D68" s="305" t="str">
        <f>IFERROR(IF(ISBLANK(C68),"",VLOOKUP(C68,'Awards &gt; 50000'!$H$13:$I$200,2,FALSE)),"Not Found")</f>
        <v/>
      </c>
      <c r="E68" s="285"/>
      <c r="F68" s="285"/>
      <c r="G68" s="254"/>
    </row>
    <row r="69" spans="1:7" ht="12.75" customHeight="1" x14ac:dyDescent="0.3">
      <c r="A69" s="288"/>
      <c r="B69" s="288"/>
      <c r="C69" s="286"/>
      <c r="D69" s="305" t="str">
        <f>IFERROR(IF(ISBLANK(C69),"",VLOOKUP(C69,'Awards &gt; 50000'!$H$13:$I$200,2,FALSE)),"Not Found")</f>
        <v/>
      </c>
      <c r="E69" s="285"/>
      <c r="F69" s="285"/>
      <c r="G69" s="254"/>
    </row>
    <row r="70" spans="1:7" ht="12.75" customHeight="1" x14ac:dyDescent="0.3">
      <c r="A70" s="288"/>
      <c r="B70" s="288"/>
      <c r="C70" s="286"/>
      <c r="D70" s="305" t="str">
        <f>IFERROR(IF(ISBLANK(C70),"",VLOOKUP(C70,'Awards &gt; 50000'!$H$13:$I$200,2,FALSE)),"Not Found")</f>
        <v/>
      </c>
      <c r="E70" s="285"/>
      <c r="F70" s="285"/>
      <c r="G70" s="254"/>
    </row>
    <row r="71" spans="1:7" ht="12.75" customHeight="1" x14ac:dyDescent="0.3">
      <c r="A71" s="288"/>
      <c r="B71" s="288"/>
      <c r="C71" s="286"/>
      <c r="D71" s="305" t="str">
        <f>IFERROR(IF(ISBLANK(C71),"",VLOOKUP(C71,'Awards &gt; 50000'!$H$13:$I$200,2,FALSE)),"Not Found")</f>
        <v/>
      </c>
      <c r="E71" s="285"/>
      <c r="F71" s="285"/>
      <c r="G71" s="254"/>
    </row>
    <row r="72" spans="1:7" ht="12.75" customHeight="1" x14ac:dyDescent="0.3">
      <c r="A72" s="288"/>
      <c r="B72" s="288"/>
      <c r="C72" s="286"/>
      <c r="D72" s="305" t="str">
        <f>IFERROR(IF(ISBLANK(C72),"",VLOOKUP(C72,'Awards &gt; 50000'!$H$13:$I$200,2,FALSE)),"Not Found")</f>
        <v/>
      </c>
      <c r="E72" s="285"/>
      <c r="F72" s="285"/>
      <c r="G72" s="254"/>
    </row>
    <row r="73" spans="1:7" ht="12.75" customHeight="1" x14ac:dyDescent="0.3">
      <c r="A73" s="288"/>
      <c r="B73" s="288"/>
      <c r="C73" s="286"/>
      <c r="D73" s="305" t="str">
        <f>IFERROR(IF(ISBLANK(C73),"",VLOOKUP(C73,'Awards &gt; 50000'!$H$13:$I$200,2,FALSE)),"Not Found")</f>
        <v/>
      </c>
      <c r="E73" s="285"/>
      <c r="F73" s="285"/>
      <c r="G73" s="254"/>
    </row>
    <row r="74" spans="1:7" ht="12.75" customHeight="1" x14ac:dyDescent="0.3">
      <c r="A74" s="288"/>
      <c r="B74" s="288"/>
      <c r="C74" s="286"/>
      <c r="D74" s="305" t="str">
        <f>IFERROR(IF(ISBLANK(C74),"",VLOOKUP(C74,'Awards &gt; 50000'!$H$13:$I$200,2,FALSE)),"Not Found")</f>
        <v/>
      </c>
      <c r="E74" s="285"/>
      <c r="F74" s="285"/>
      <c r="G74" s="254"/>
    </row>
    <row r="75" spans="1:7" ht="12.75" customHeight="1" x14ac:dyDescent="0.3">
      <c r="A75" s="288"/>
      <c r="B75" s="288"/>
      <c r="C75" s="286"/>
      <c r="D75" s="305" t="str">
        <f>IFERROR(IF(ISBLANK(C75),"",VLOOKUP(C75,'Awards &gt; 50000'!$H$13:$I$200,2,FALSE)),"Not Found")</f>
        <v/>
      </c>
      <c r="E75" s="285"/>
      <c r="F75" s="285"/>
      <c r="G75" s="254"/>
    </row>
    <row r="76" spans="1:7" ht="12.75" customHeight="1" x14ac:dyDescent="0.3">
      <c r="A76" s="288"/>
      <c r="B76" s="288"/>
      <c r="C76" s="286"/>
      <c r="D76" s="305" t="str">
        <f>IFERROR(IF(ISBLANK(C76),"",VLOOKUP(C76,'Awards &gt; 50000'!$H$13:$I$200,2,FALSE)),"Not Found")</f>
        <v/>
      </c>
      <c r="E76" s="285"/>
      <c r="F76" s="285"/>
      <c r="G76" s="254"/>
    </row>
    <row r="77" spans="1:7" ht="12.75" customHeight="1" x14ac:dyDescent="0.3">
      <c r="A77" s="288"/>
      <c r="B77" s="288"/>
      <c r="C77" s="286"/>
      <c r="D77" s="305" t="str">
        <f>IFERROR(IF(ISBLANK(C77),"",VLOOKUP(C77,'Awards &gt; 50000'!$H$13:$I$200,2,FALSE)),"Not Found")</f>
        <v/>
      </c>
      <c r="E77" s="285"/>
      <c r="F77" s="285"/>
      <c r="G77" s="254"/>
    </row>
    <row r="78" spans="1:7" ht="12.75" customHeight="1" x14ac:dyDescent="0.3">
      <c r="A78" s="288"/>
      <c r="B78" s="288"/>
      <c r="C78" s="286"/>
      <c r="D78" s="305" t="str">
        <f>IFERROR(IF(ISBLANK(C78),"",VLOOKUP(C78,'Awards &gt; 50000'!$H$13:$I$200,2,FALSE)),"Not Found")</f>
        <v/>
      </c>
      <c r="E78" s="285"/>
      <c r="F78" s="285"/>
      <c r="G78" s="254"/>
    </row>
    <row r="79" spans="1:7" ht="12.75" customHeight="1" x14ac:dyDescent="0.3">
      <c r="A79" s="288"/>
      <c r="B79" s="288"/>
      <c r="C79" s="286"/>
      <c r="D79" s="305" t="str">
        <f>IFERROR(IF(ISBLANK(C79),"",VLOOKUP(C79,'Awards &gt; 50000'!$H$13:$I$200,2,FALSE)),"Not Found")</f>
        <v/>
      </c>
      <c r="E79" s="285"/>
      <c r="F79" s="285"/>
      <c r="G79" s="254"/>
    </row>
    <row r="80" spans="1:7" ht="12.75" customHeight="1" x14ac:dyDescent="0.3">
      <c r="A80" s="288"/>
      <c r="B80" s="288"/>
      <c r="C80" s="286"/>
      <c r="D80" s="305" t="str">
        <f>IFERROR(IF(ISBLANK(C80),"",VLOOKUP(C80,'Awards &gt; 50000'!$H$13:$I$200,2,FALSE)),"Not Found")</f>
        <v/>
      </c>
      <c r="E80" s="285"/>
      <c r="F80" s="285"/>
      <c r="G80" s="254"/>
    </row>
    <row r="81" spans="1:7" ht="12.75" customHeight="1" x14ac:dyDescent="0.3">
      <c r="A81" s="288"/>
      <c r="B81" s="288"/>
      <c r="C81" s="286"/>
      <c r="D81" s="305" t="str">
        <f>IFERROR(IF(ISBLANK(C81),"",VLOOKUP(C81,'Awards &gt; 50000'!$H$13:$I$200,2,FALSE)),"Not Found")</f>
        <v/>
      </c>
      <c r="E81" s="285"/>
      <c r="F81" s="285"/>
      <c r="G81" s="254"/>
    </row>
    <row r="82" spans="1:7" ht="12.75" customHeight="1" x14ac:dyDescent="0.3">
      <c r="A82" s="288"/>
      <c r="B82" s="288"/>
      <c r="C82" s="286"/>
      <c r="D82" s="305" t="str">
        <f>IFERROR(IF(ISBLANK(C82),"",VLOOKUP(C82,'Awards &gt; 50000'!$H$13:$I$200,2,FALSE)),"Not Found")</f>
        <v/>
      </c>
      <c r="E82" s="285"/>
      <c r="F82" s="285"/>
      <c r="G82" s="254"/>
    </row>
    <row r="83" spans="1:7" ht="12.75" customHeight="1" x14ac:dyDescent="0.3">
      <c r="A83" s="288"/>
      <c r="B83" s="288"/>
      <c r="C83" s="286"/>
      <c r="D83" s="305" t="str">
        <f>IFERROR(IF(ISBLANK(C83),"",VLOOKUP(C83,'Awards &gt; 50000'!$H$13:$I$200,2,FALSE)),"Not Found")</f>
        <v/>
      </c>
      <c r="E83" s="285"/>
      <c r="F83" s="285"/>
      <c r="G83" s="254"/>
    </row>
    <row r="84" spans="1:7" ht="12.75" customHeight="1" x14ac:dyDescent="0.3">
      <c r="A84" s="288"/>
      <c r="B84" s="288"/>
      <c r="C84" s="286"/>
      <c r="D84" s="305" t="str">
        <f>IFERROR(IF(ISBLANK(C84),"",VLOOKUP(C84,'Awards &gt; 50000'!$H$13:$I$200,2,FALSE)),"Not Found")</f>
        <v/>
      </c>
      <c r="E84" s="285"/>
      <c r="F84" s="285"/>
      <c r="G84" s="254"/>
    </row>
    <row r="85" spans="1:7" ht="12.75" customHeight="1" x14ac:dyDescent="0.3">
      <c r="A85" s="288"/>
      <c r="B85" s="288"/>
      <c r="C85" s="286"/>
      <c r="D85" s="305" t="str">
        <f>IFERROR(IF(ISBLANK(C85),"",VLOOKUP(C85,'Awards &gt; 50000'!$H$13:$I$200,2,FALSE)),"Not Found")</f>
        <v/>
      </c>
      <c r="E85" s="285"/>
      <c r="F85" s="285"/>
      <c r="G85" s="254"/>
    </row>
    <row r="86" spans="1:7" ht="12.75" customHeight="1" x14ac:dyDescent="0.3">
      <c r="A86" s="288"/>
      <c r="B86" s="288"/>
      <c r="C86" s="286"/>
      <c r="D86" s="305" t="str">
        <f>IFERROR(IF(ISBLANK(C86),"",VLOOKUP(C86,'Awards &gt; 50000'!$H$13:$I$200,2,FALSE)),"Not Found")</f>
        <v/>
      </c>
      <c r="E86" s="285"/>
      <c r="F86" s="285"/>
      <c r="G86" s="254"/>
    </row>
    <row r="87" spans="1:7" ht="12.75" customHeight="1" x14ac:dyDescent="0.3">
      <c r="A87" s="288"/>
      <c r="B87" s="288"/>
      <c r="C87" s="286"/>
      <c r="D87" s="305" t="str">
        <f>IFERROR(IF(ISBLANK(C87),"",VLOOKUP(C87,'Awards &gt; 50000'!$H$13:$I$200,2,FALSE)),"Not Found")</f>
        <v/>
      </c>
      <c r="E87" s="285"/>
      <c r="F87" s="285"/>
      <c r="G87" s="254"/>
    </row>
    <row r="88" spans="1:7" ht="12.75" customHeight="1" x14ac:dyDescent="0.3">
      <c r="A88" s="288"/>
      <c r="B88" s="288"/>
      <c r="C88" s="286"/>
      <c r="D88" s="305" t="str">
        <f>IFERROR(IF(ISBLANK(C88),"",VLOOKUP(C88,'Awards &gt; 50000'!$H$13:$I$200,2,FALSE)),"Not Found")</f>
        <v/>
      </c>
      <c r="E88" s="285"/>
      <c r="F88" s="285"/>
      <c r="G88" s="254"/>
    </row>
    <row r="89" spans="1:7" ht="12.75" customHeight="1" x14ac:dyDescent="0.3">
      <c r="A89" s="288"/>
      <c r="B89" s="288"/>
      <c r="C89" s="286"/>
      <c r="D89" s="305" t="str">
        <f>IFERROR(IF(ISBLANK(C89),"",VLOOKUP(C89,'Awards &gt; 50000'!$H$13:$I$200,2,FALSE)),"Not Found")</f>
        <v/>
      </c>
      <c r="E89" s="285"/>
      <c r="F89" s="285"/>
      <c r="G89" s="254"/>
    </row>
    <row r="90" spans="1:7" ht="12.75" customHeight="1" x14ac:dyDescent="0.3">
      <c r="A90" s="288"/>
      <c r="B90" s="288"/>
      <c r="C90" s="286"/>
      <c r="D90" s="305" t="str">
        <f>IFERROR(IF(ISBLANK(C90),"",VLOOKUP(C90,'Awards &gt; 50000'!$H$13:$I$200,2,FALSE)),"Not Found")</f>
        <v/>
      </c>
      <c r="E90" s="285"/>
      <c r="F90" s="285"/>
      <c r="G90" s="254"/>
    </row>
    <row r="91" spans="1:7" ht="12.75" customHeight="1" x14ac:dyDescent="0.3">
      <c r="A91" s="288"/>
      <c r="B91" s="288"/>
      <c r="C91" s="286"/>
      <c r="D91" s="305" t="str">
        <f>IFERROR(IF(ISBLANK(C91),"",VLOOKUP(C91,'Awards &gt; 50000'!$H$13:$I$200,2,FALSE)),"Not Found")</f>
        <v/>
      </c>
      <c r="E91" s="285"/>
      <c r="F91" s="285"/>
      <c r="G91" s="254"/>
    </row>
    <row r="92" spans="1:7" ht="12.75" customHeight="1" x14ac:dyDescent="0.3">
      <c r="A92" s="288"/>
      <c r="B92" s="288"/>
      <c r="C92" s="286"/>
      <c r="D92" s="305" t="str">
        <f>IFERROR(IF(ISBLANK(C92),"",VLOOKUP(C92,'Awards &gt; 50000'!$H$13:$I$200,2,FALSE)),"Not Found")</f>
        <v/>
      </c>
      <c r="E92" s="285"/>
      <c r="F92" s="285"/>
      <c r="G92" s="254"/>
    </row>
    <row r="93" spans="1:7" ht="12.75" customHeight="1" x14ac:dyDescent="0.3">
      <c r="A93" s="288"/>
      <c r="B93" s="288"/>
      <c r="C93" s="286"/>
      <c r="D93" s="305" t="str">
        <f>IFERROR(IF(ISBLANK(C93),"",VLOOKUP(C93,'Awards &gt; 50000'!$H$13:$I$200,2,FALSE)),"Not Found")</f>
        <v/>
      </c>
      <c r="E93" s="285"/>
      <c r="F93" s="285"/>
      <c r="G93" s="254"/>
    </row>
    <row r="94" spans="1:7" ht="12.75" customHeight="1" x14ac:dyDescent="0.3">
      <c r="A94" s="288"/>
      <c r="B94" s="288"/>
      <c r="C94" s="286"/>
      <c r="D94" s="305" t="str">
        <f>IFERROR(IF(ISBLANK(C94),"",VLOOKUP(C94,'Awards &gt; 50000'!$H$13:$I$200,2,FALSE)),"Not Found")</f>
        <v/>
      </c>
      <c r="E94" s="285"/>
      <c r="F94" s="285"/>
      <c r="G94" s="254"/>
    </row>
    <row r="95" spans="1:7" ht="12.75" customHeight="1" x14ac:dyDescent="0.3">
      <c r="A95" s="288"/>
      <c r="B95" s="288"/>
      <c r="C95" s="286"/>
      <c r="D95" s="305" t="str">
        <f>IFERROR(IF(ISBLANK(C95),"",VLOOKUP(C95,'Awards &gt; 50000'!$H$13:$I$200,2,FALSE)),"Not Found")</f>
        <v/>
      </c>
      <c r="E95" s="285"/>
      <c r="F95" s="285"/>
      <c r="G95" s="254"/>
    </row>
    <row r="96" spans="1:7" ht="12.75" customHeight="1" x14ac:dyDescent="0.3">
      <c r="A96" s="288"/>
      <c r="B96" s="288"/>
      <c r="C96" s="286"/>
      <c r="D96" s="305" t="str">
        <f>IFERROR(IF(ISBLANK(C96),"",VLOOKUP(C96,'Awards &gt; 50000'!$H$13:$I$200,2,FALSE)),"Not Found")</f>
        <v/>
      </c>
      <c r="E96" s="285"/>
      <c r="F96" s="285"/>
      <c r="G96" s="254"/>
    </row>
    <row r="97" spans="1:7" ht="12.75" customHeight="1" x14ac:dyDescent="0.3">
      <c r="A97" s="288"/>
      <c r="B97" s="288"/>
      <c r="C97" s="286"/>
      <c r="D97" s="305" t="str">
        <f>IFERROR(IF(ISBLANK(C97),"",VLOOKUP(C97,'Awards &gt; 50000'!$H$13:$I$200,2,FALSE)),"Not Found")</f>
        <v/>
      </c>
      <c r="E97" s="285"/>
      <c r="F97" s="285"/>
      <c r="G97" s="254"/>
    </row>
    <row r="98" spans="1:7" ht="12.75" customHeight="1" x14ac:dyDescent="0.3">
      <c r="A98" s="288"/>
      <c r="B98" s="288"/>
      <c r="C98" s="286"/>
      <c r="D98" s="305" t="str">
        <f>IFERROR(IF(ISBLANK(C98),"",VLOOKUP(C98,'Awards &gt; 50000'!$H$13:$I$200,2,FALSE)),"Not Found")</f>
        <v/>
      </c>
      <c r="E98" s="285"/>
      <c r="F98" s="285"/>
      <c r="G98" s="254"/>
    </row>
    <row r="99" spans="1:7" ht="12.75" customHeight="1" x14ac:dyDescent="0.3">
      <c r="A99" s="288"/>
      <c r="B99" s="288"/>
      <c r="C99" s="286"/>
      <c r="D99" s="305" t="str">
        <f>IFERROR(IF(ISBLANK(C99),"",VLOOKUP(C99,'Awards &gt; 50000'!$H$13:$I$200,2,FALSE)),"Not Found")</f>
        <v/>
      </c>
      <c r="E99" s="285"/>
      <c r="F99" s="285"/>
      <c r="G99" s="254"/>
    </row>
    <row r="100" spans="1:7" ht="12.75" customHeight="1" x14ac:dyDescent="0.3">
      <c r="A100" s="288"/>
      <c r="B100" s="288"/>
      <c r="C100" s="286"/>
      <c r="D100" s="305" t="str">
        <f>IFERROR(IF(ISBLANK(C100),"",VLOOKUP(C100,'Awards &gt; 50000'!$H$13:$I$200,2,FALSE)),"Not Found")</f>
        <v/>
      </c>
      <c r="E100" s="285"/>
      <c r="F100" s="285"/>
      <c r="G100" s="254"/>
    </row>
    <row r="101" spans="1:7" ht="12.75" customHeight="1" x14ac:dyDescent="0.3">
      <c r="A101" s="288"/>
      <c r="B101" s="288"/>
      <c r="C101" s="286"/>
      <c r="D101" s="305" t="str">
        <f>IFERROR(IF(ISBLANK(C101),"",VLOOKUP(C101,'Awards &gt; 50000'!$H$13:$I$200,2,FALSE)),"Not Found")</f>
        <v/>
      </c>
      <c r="E101" s="285"/>
      <c r="F101" s="285"/>
      <c r="G101" s="254"/>
    </row>
    <row r="102" spans="1:7" ht="12.75" customHeight="1" x14ac:dyDescent="0.3">
      <c r="A102" s="288"/>
      <c r="B102" s="288"/>
      <c r="C102" s="286"/>
      <c r="D102" s="305" t="str">
        <f>IFERROR(IF(ISBLANK(C102),"",VLOOKUP(C102,'Awards &gt; 50000'!$H$13:$I$200,2,FALSE)),"Not Found")</f>
        <v/>
      </c>
      <c r="E102" s="285"/>
      <c r="F102" s="285"/>
      <c r="G102" s="254"/>
    </row>
    <row r="103" spans="1:7" ht="12.75" customHeight="1" x14ac:dyDescent="0.3">
      <c r="A103" s="288"/>
      <c r="B103" s="288"/>
      <c r="C103" s="286"/>
      <c r="D103" s="305" t="str">
        <f>IFERROR(IF(ISBLANK(C103),"",VLOOKUP(C103,'Awards &gt; 50000'!$H$13:$I$200,2,FALSE)),"Not Found")</f>
        <v/>
      </c>
      <c r="E103" s="285"/>
      <c r="F103" s="285"/>
      <c r="G103" s="254"/>
    </row>
    <row r="104" spans="1:7" ht="12.75" customHeight="1" x14ac:dyDescent="0.3">
      <c r="A104" s="288"/>
      <c r="B104" s="288"/>
      <c r="C104" s="286"/>
      <c r="D104" s="305" t="str">
        <f>IFERROR(IF(ISBLANK(C104),"",VLOOKUP(C104,'Awards &gt; 50000'!$H$13:$I$200,2,FALSE)),"Not Found")</f>
        <v/>
      </c>
      <c r="E104" s="285"/>
      <c r="F104" s="285"/>
      <c r="G104" s="254"/>
    </row>
    <row r="105" spans="1:7" ht="12.75" customHeight="1" x14ac:dyDescent="0.3">
      <c r="A105" s="288"/>
      <c r="B105" s="288"/>
      <c r="C105" s="286"/>
      <c r="D105" s="305" t="str">
        <f>IFERROR(IF(ISBLANK(C105),"",VLOOKUP(C105,'Awards &gt; 50000'!$H$13:$I$200,2,FALSE)),"Not Found")</f>
        <v/>
      </c>
      <c r="E105" s="285"/>
      <c r="F105" s="285"/>
      <c r="G105" s="254"/>
    </row>
    <row r="106" spans="1:7" ht="12.75" customHeight="1" x14ac:dyDescent="0.3">
      <c r="A106" s="288"/>
      <c r="B106" s="288"/>
      <c r="C106" s="286"/>
      <c r="D106" s="305" t="str">
        <f>IFERROR(IF(ISBLANK(C106),"",VLOOKUP(C106,'Awards &gt; 50000'!$H$13:$I$200,2,FALSE)),"Not Found")</f>
        <v/>
      </c>
      <c r="E106" s="285"/>
      <c r="F106" s="285"/>
      <c r="G106" s="254"/>
    </row>
    <row r="107" spans="1:7" ht="12.75" customHeight="1" x14ac:dyDescent="0.3">
      <c r="A107" s="288"/>
      <c r="B107" s="288"/>
      <c r="C107" s="286"/>
      <c r="D107" s="305" t="str">
        <f>IFERROR(IF(ISBLANK(C107),"",VLOOKUP(C107,'Awards &gt; 50000'!$H$13:$I$200,2,FALSE)),"Not Found")</f>
        <v/>
      </c>
      <c r="E107" s="285"/>
      <c r="F107" s="285"/>
      <c r="G107" s="254"/>
    </row>
    <row r="108" spans="1:7" ht="12.75" customHeight="1" x14ac:dyDescent="0.3">
      <c r="A108" s="288"/>
      <c r="B108" s="288"/>
      <c r="C108" s="286"/>
      <c r="D108" s="305" t="str">
        <f>IFERROR(IF(ISBLANK(C108),"",VLOOKUP(C108,'Awards &gt; 50000'!$H$13:$I$200,2,FALSE)),"Not Found")</f>
        <v/>
      </c>
      <c r="E108" s="285"/>
      <c r="F108" s="285"/>
      <c r="G108" s="254"/>
    </row>
    <row r="109" spans="1:7" ht="12.75" customHeight="1" x14ac:dyDescent="0.3">
      <c r="A109" s="288"/>
      <c r="B109" s="288"/>
      <c r="C109" s="286"/>
      <c r="D109" s="305" t="str">
        <f>IFERROR(IF(ISBLANK(C109),"",VLOOKUP(C109,'Awards &gt; 50000'!$H$13:$I$200,2,FALSE)),"Not Found")</f>
        <v/>
      </c>
      <c r="E109" s="285"/>
      <c r="F109" s="285"/>
      <c r="G109" s="254"/>
    </row>
    <row r="110" spans="1:7" ht="12.75" customHeight="1" x14ac:dyDescent="0.3">
      <c r="A110" s="288"/>
      <c r="B110" s="288"/>
      <c r="C110" s="286"/>
      <c r="D110" s="305" t="str">
        <f>IFERROR(IF(ISBLANK(C110),"",VLOOKUP(C110,'Awards &gt; 50000'!$H$13:$I$200,2,FALSE)),"Not Found")</f>
        <v/>
      </c>
      <c r="E110" s="285"/>
      <c r="F110" s="285"/>
      <c r="G110" s="254"/>
    </row>
    <row r="111" spans="1:7" ht="12.75" customHeight="1" x14ac:dyDescent="0.3">
      <c r="A111" s="288"/>
      <c r="B111" s="288"/>
      <c r="C111" s="286"/>
      <c r="D111" s="305" t="str">
        <f>IFERROR(IF(ISBLANK(C111),"",VLOOKUP(C111,'Awards &gt; 50000'!$H$13:$I$200,2,FALSE)),"Not Found")</f>
        <v/>
      </c>
      <c r="E111" s="285"/>
      <c r="F111" s="285"/>
      <c r="G111" s="254"/>
    </row>
    <row r="112" spans="1:7" ht="12.75" customHeight="1" x14ac:dyDescent="0.3">
      <c r="A112" s="288"/>
      <c r="B112" s="288"/>
      <c r="C112" s="286"/>
      <c r="D112" s="305" t="str">
        <f>IFERROR(IF(ISBLANK(C112),"",VLOOKUP(C112,'Awards &gt; 50000'!$H$13:$I$200,2,FALSE)),"Not Found")</f>
        <v/>
      </c>
      <c r="E112" s="285"/>
      <c r="F112" s="285"/>
      <c r="G112" s="254"/>
    </row>
    <row r="113" spans="1:7" ht="12.75" customHeight="1" x14ac:dyDescent="0.3">
      <c r="A113" s="288"/>
      <c r="B113" s="288"/>
      <c r="C113" s="286"/>
      <c r="D113" s="305" t="str">
        <f>IFERROR(IF(ISBLANK(C113),"",VLOOKUP(C113,'Awards &gt; 50000'!$H$13:$I$200,2,FALSE)),"Not Found")</f>
        <v/>
      </c>
      <c r="E113" s="285"/>
      <c r="F113" s="285"/>
      <c r="G113" s="254"/>
    </row>
    <row r="114" spans="1:7" ht="12.75" customHeight="1" x14ac:dyDescent="0.3">
      <c r="A114" s="288"/>
      <c r="B114" s="288"/>
      <c r="C114" s="286"/>
      <c r="D114" s="305" t="str">
        <f>IFERROR(IF(ISBLANK(C114),"",VLOOKUP(C114,'Awards &gt; 50000'!$H$13:$I$200,2,FALSE)),"Not Found")</f>
        <v/>
      </c>
      <c r="E114" s="285"/>
      <c r="F114" s="285"/>
      <c r="G114" s="254"/>
    </row>
    <row r="115" spans="1:7" ht="12.75" customHeight="1" x14ac:dyDescent="0.3">
      <c r="A115" s="288"/>
      <c r="B115" s="288"/>
      <c r="C115" s="286"/>
      <c r="D115" s="305" t="str">
        <f>IFERROR(IF(ISBLANK(C115),"",VLOOKUP(C115,'Awards &gt; 50000'!$H$13:$I$200,2,FALSE)),"Not Found")</f>
        <v/>
      </c>
      <c r="E115" s="285"/>
      <c r="F115" s="285"/>
      <c r="G115" s="254"/>
    </row>
    <row r="116" spans="1:7" ht="12.75" customHeight="1" x14ac:dyDescent="0.3">
      <c r="A116" s="288"/>
      <c r="B116" s="288"/>
      <c r="C116" s="286"/>
      <c r="D116" s="305" t="str">
        <f>IFERROR(IF(ISBLANK(C116),"",VLOOKUP(C116,'Awards &gt; 50000'!$H$13:$I$200,2,FALSE)),"Not Found")</f>
        <v/>
      </c>
      <c r="E116" s="285"/>
      <c r="F116" s="285"/>
      <c r="G116" s="254"/>
    </row>
    <row r="117" spans="1:7" ht="12.75" customHeight="1" x14ac:dyDescent="0.3">
      <c r="A117" s="288"/>
      <c r="B117" s="288"/>
      <c r="C117" s="286"/>
      <c r="D117" s="305" t="str">
        <f>IFERROR(IF(ISBLANK(C117),"",VLOOKUP(C117,'Awards &gt; 50000'!$H$13:$I$200,2,FALSE)),"Not Found")</f>
        <v/>
      </c>
      <c r="E117" s="285"/>
      <c r="F117" s="285"/>
      <c r="G117" s="254"/>
    </row>
    <row r="118" spans="1:7" ht="12.75" customHeight="1" x14ac:dyDescent="0.3">
      <c r="A118" s="288"/>
      <c r="B118" s="288"/>
      <c r="C118" s="286"/>
      <c r="D118" s="305" t="str">
        <f>IFERROR(IF(ISBLANK(C118),"",VLOOKUP(C118,'Awards &gt; 50000'!$H$13:$I$200,2,FALSE)),"Not Found")</f>
        <v/>
      </c>
      <c r="E118" s="285"/>
      <c r="F118" s="285"/>
      <c r="G118" s="254"/>
    </row>
    <row r="119" spans="1:7" ht="12.75" customHeight="1" x14ac:dyDescent="0.3">
      <c r="A119" s="288"/>
      <c r="B119" s="288"/>
      <c r="C119" s="286"/>
      <c r="D119" s="305" t="str">
        <f>IFERROR(IF(ISBLANK(C119),"",VLOOKUP(C119,'Awards &gt; 50000'!$H$13:$I$200,2,FALSE)),"Not Found")</f>
        <v/>
      </c>
      <c r="E119" s="285"/>
      <c r="F119" s="285"/>
      <c r="G119" s="254"/>
    </row>
    <row r="120" spans="1:7" ht="12.75" customHeight="1" x14ac:dyDescent="0.3">
      <c r="A120" s="288"/>
      <c r="B120" s="288"/>
      <c r="C120" s="286"/>
      <c r="D120" s="305" t="str">
        <f>IFERROR(IF(ISBLANK(C120),"",VLOOKUP(C120,'Awards &gt; 50000'!$H$13:$I$200,2,FALSE)),"Not Found")</f>
        <v/>
      </c>
      <c r="E120" s="285"/>
      <c r="F120" s="285"/>
      <c r="G120" s="254"/>
    </row>
    <row r="121" spans="1:7" ht="12.75" customHeight="1" x14ac:dyDescent="0.3">
      <c r="A121" s="288"/>
      <c r="B121" s="288"/>
      <c r="C121" s="286"/>
      <c r="D121" s="305" t="str">
        <f>IFERROR(IF(ISBLANK(C121),"",VLOOKUP(C121,'Awards &gt; 50000'!$H$13:$I$200,2,FALSE)),"Not Found")</f>
        <v/>
      </c>
      <c r="E121" s="285"/>
      <c r="F121" s="285"/>
      <c r="G121" s="254"/>
    </row>
    <row r="122" spans="1:7" ht="12.75" customHeight="1" x14ac:dyDescent="0.3">
      <c r="A122" s="288"/>
      <c r="B122" s="288"/>
      <c r="C122" s="286"/>
      <c r="D122" s="305" t="str">
        <f>IFERROR(IF(ISBLANK(C122),"",VLOOKUP(C122,'Awards &gt; 50000'!$H$13:$I$200,2,FALSE)),"Not Found")</f>
        <v/>
      </c>
      <c r="E122" s="285"/>
      <c r="F122" s="285"/>
      <c r="G122" s="254"/>
    </row>
    <row r="123" spans="1:7" ht="12.75" customHeight="1" x14ac:dyDescent="0.3">
      <c r="A123" s="288"/>
      <c r="B123" s="288"/>
      <c r="C123" s="286"/>
      <c r="D123" s="305" t="str">
        <f>IFERROR(IF(ISBLANK(C123),"",VLOOKUP(C123,'Awards &gt; 50000'!$H$13:$I$200,2,FALSE)),"Not Found")</f>
        <v/>
      </c>
      <c r="E123" s="285"/>
      <c r="F123" s="285"/>
      <c r="G123" s="254"/>
    </row>
    <row r="124" spans="1:7" ht="12.75" customHeight="1" x14ac:dyDescent="0.3">
      <c r="A124" s="288"/>
      <c r="B124" s="288"/>
      <c r="C124" s="286"/>
      <c r="D124" s="305" t="str">
        <f>IFERROR(IF(ISBLANK(C124),"",VLOOKUP(C124,'Awards &gt; 50000'!$H$13:$I$200,2,FALSE)),"Not Found")</f>
        <v/>
      </c>
      <c r="E124" s="285"/>
      <c r="F124" s="285"/>
      <c r="G124" s="254"/>
    </row>
    <row r="125" spans="1:7" ht="12.75" customHeight="1" x14ac:dyDescent="0.3">
      <c r="A125" s="288"/>
      <c r="B125" s="288"/>
      <c r="C125" s="286"/>
      <c r="D125" s="305" t="str">
        <f>IFERROR(IF(ISBLANK(C125),"",VLOOKUP(C125,'Awards &gt; 50000'!$H$13:$I$200,2,FALSE)),"Not Found")</f>
        <v/>
      </c>
      <c r="E125" s="285"/>
      <c r="F125" s="285"/>
      <c r="G125" s="254"/>
    </row>
    <row r="126" spans="1:7" ht="12.75" customHeight="1" x14ac:dyDescent="0.3">
      <c r="A126" s="288"/>
      <c r="B126" s="288"/>
      <c r="C126" s="286"/>
      <c r="D126" s="305" t="str">
        <f>IFERROR(IF(ISBLANK(C126),"",VLOOKUP(C126,'Awards &gt; 50000'!$H$13:$I$200,2,FALSE)),"Not Found")</f>
        <v/>
      </c>
      <c r="E126" s="285"/>
      <c r="F126" s="285"/>
      <c r="G126" s="254"/>
    </row>
    <row r="127" spans="1:7" ht="12.75" customHeight="1" x14ac:dyDescent="0.3">
      <c r="A127" s="288"/>
      <c r="B127" s="288"/>
      <c r="C127" s="286"/>
      <c r="D127" s="305" t="str">
        <f>IFERROR(IF(ISBLANK(C127),"",VLOOKUP(C127,'Awards &gt; 50000'!$H$13:$I$200,2,FALSE)),"Not Found")</f>
        <v/>
      </c>
      <c r="E127" s="285"/>
      <c r="F127" s="285"/>
      <c r="G127" s="254"/>
    </row>
    <row r="128" spans="1:7" ht="12.75" customHeight="1" x14ac:dyDescent="0.3">
      <c r="A128" s="288"/>
      <c r="B128" s="288"/>
      <c r="C128" s="286"/>
      <c r="D128" s="305" t="str">
        <f>IFERROR(IF(ISBLANK(C128),"",VLOOKUP(C128,'Awards &gt; 50000'!$H$13:$I$200,2,FALSE)),"Not Found")</f>
        <v/>
      </c>
      <c r="E128" s="285"/>
      <c r="F128" s="285"/>
      <c r="G128" s="254"/>
    </row>
    <row r="129" spans="1:7" ht="12.75" customHeight="1" x14ac:dyDescent="0.3">
      <c r="A129" s="288"/>
      <c r="B129" s="288"/>
      <c r="C129" s="286"/>
      <c r="D129" s="305" t="str">
        <f>IFERROR(IF(ISBLANK(C129),"",VLOOKUP(C129,'Awards &gt; 50000'!$H$13:$I$200,2,FALSE)),"Not Found")</f>
        <v/>
      </c>
      <c r="E129" s="285"/>
      <c r="F129" s="285"/>
      <c r="G129" s="254"/>
    </row>
    <row r="130" spans="1:7" ht="12.75" customHeight="1" x14ac:dyDescent="0.3">
      <c r="A130" s="288"/>
      <c r="B130" s="288"/>
      <c r="C130" s="286"/>
      <c r="D130" s="305" t="str">
        <f>IFERROR(IF(ISBLANK(C130),"",VLOOKUP(C130,'Awards &gt; 50000'!$H$13:$I$200,2,FALSE)),"Not Found")</f>
        <v/>
      </c>
      <c r="E130" s="285"/>
      <c r="F130" s="285"/>
      <c r="G130" s="254"/>
    </row>
    <row r="131" spans="1:7" ht="12.75" customHeight="1" x14ac:dyDescent="0.3">
      <c r="A131" s="288"/>
      <c r="B131" s="288"/>
      <c r="C131" s="286"/>
      <c r="D131" s="305" t="str">
        <f>IFERROR(IF(ISBLANK(C131),"",VLOOKUP(C131,'Awards &gt; 50000'!$H$13:$I$200,2,FALSE)),"Not Found")</f>
        <v/>
      </c>
      <c r="E131" s="285"/>
      <c r="F131" s="285"/>
      <c r="G131" s="254"/>
    </row>
    <row r="132" spans="1:7" ht="12.75" customHeight="1" x14ac:dyDescent="0.3">
      <c r="A132" s="288"/>
      <c r="B132" s="288"/>
      <c r="C132" s="286"/>
      <c r="D132" s="305" t="str">
        <f>IFERROR(IF(ISBLANK(C132),"",VLOOKUP(C132,'Awards &gt; 50000'!$H$13:$I$200,2,FALSE)),"Not Found")</f>
        <v/>
      </c>
      <c r="E132" s="285"/>
      <c r="F132" s="285"/>
      <c r="G132" s="254"/>
    </row>
    <row r="133" spans="1:7" ht="12.75" customHeight="1" x14ac:dyDescent="0.3">
      <c r="A133" s="288"/>
      <c r="B133" s="288"/>
      <c r="C133" s="286"/>
      <c r="D133" s="305" t="str">
        <f>IFERROR(IF(ISBLANK(C133),"",VLOOKUP(C133,'Awards &gt; 50000'!$H$13:$I$200,2,FALSE)),"Not Found")</f>
        <v/>
      </c>
      <c r="E133" s="285"/>
      <c r="F133" s="285"/>
      <c r="G133" s="254"/>
    </row>
    <row r="134" spans="1:7" ht="12.75" customHeight="1" x14ac:dyDescent="0.3">
      <c r="A134" s="288"/>
      <c r="B134" s="288"/>
      <c r="C134" s="286"/>
      <c r="D134" s="305" t="str">
        <f>IFERROR(IF(ISBLANK(C134),"",VLOOKUP(C134,'Awards &gt; 50000'!$H$13:$I$200,2,FALSE)),"Not Found")</f>
        <v/>
      </c>
      <c r="E134" s="285"/>
      <c r="F134" s="285"/>
      <c r="G134" s="254"/>
    </row>
    <row r="135" spans="1:7" ht="12.75" customHeight="1" x14ac:dyDescent="0.3">
      <c r="A135" s="288"/>
      <c r="B135" s="288"/>
      <c r="C135" s="286"/>
      <c r="D135" s="305" t="str">
        <f>IFERROR(IF(ISBLANK(C135),"",VLOOKUP(C135,'Awards &gt; 50000'!$H$13:$I$200,2,FALSE)),"Not Found")</f>
        <v/>
      </c>
      <c r="E135" s="285"/>
      <c r="F135" s="285"/>
      <c r="G135" s="254"/>
    </row>
    <row r="136" spans="1:7" ht="12.75" customHeight="1" x14ac:dyDescent="0.3">
      <c r="A136" s="288"/>
      <c r="B136" s="288"/>
      <c r="C136" s="286"/>
      <c r="D136" s="305" t="str">
        <f>IFERROR(IF(ISBLANK(C136),"",VLOOKUP(C136,'Awards &gt; 50000'!$H$13:$I$200,2,FALSE)),"Not Found")</f>
        <v/>
      </c>
      <c r="E136" s="285"/>
      <c r="F136" s="285"/>
      <c r="G136" s="254"/>
    </row>
    <row r="137" spans="1:7" ht="12.75" customHeight="1" x14ac:dyDescent="0.3">
      <c r="A137" s="288"/>
      <c r="B137" s="288"/>
      <c r="C137" s="286"/>
      <c r="D137" s="305" t="str">
        <f>IFERROR(IF(ISBLANK(C137),"",VLOOKUP(C137,'Awards &gt; 50000'!$H$13:$I$200,2,FALSE)),"Not Found")</f>
        <v/>
      </c>
      <c r="E137" s="285"/>
      <c r="F137" s="285"/>
      <c r="G137" s="254"/>
    </row>
    <row r="138" spans="1:7" ht="12.75" customHeight="1" x14ac:dyDescent="0.3">
      <c r="A138" s="288"/>
      <c r="B138" s="288"/>
      <c r="C138" s="286"/>
      <c r="D138" s="305" t="str">
        <f>IFERROR(IF(ISBLANK(C138),"",VLOOKUP(C138,'Awards &gt; 50000'!$H$13:$I$200,2,FALSE)),"Not Found")</f>
        <v/>
      </c>
      <c r="E138" s="285"/>
      <c r="F138" s="285"/>
      <c r="G138" s="254"/>
    </row>
    <row r="139" spans="1:7" ht="12.75" customHeight="1" x14ac:dyDescent="0.3">
      <c r="A139" s="288"/>
      <c r="B139" s="288"/>
      <c r="C139" s="286"/>
      <c r="D139" s="305" t="str">
        <f>IFERROR(IF(ISBLANK(C139),"",VLOOKUP(C139,'Awards &gt; 50000'!$H$13:$I$200,2,FALSE)),"Not Found")</f>
        <v/>
      </c>
      <c r="E139" s="285"/>
      <c r="F139" s="285"/>
      <c r="G139" s="254"/>
    </row>
    <row r="140" spans="1:7" ht="12.75" customHeight="1" x14ac:dyDescent="0.3">
      <c r="A140" s="288"/>
      <c r="B140" s="288"/>
      <c r="C140" s="286"/>
      <c r="D140" s="305" t="str">
        <f>IFERROR(IF(ISBLANK(C140),"",VLOOKUP(C140,'Awards &gt; 50000'!$H$13:$I$200,2,FALSE)),"Not Found")</f>
        <v/>
      </c>
      <c r="E140" s="285"/>
      <c r="F140" s="285"/>
      <c r="G140" s="254"/>
    </row>
    <row r="141" spans="1:7" ht="12.75" customHeight="1" x14ac:dyDescent="0.3">
      <c r="A141" s="288"/>
      <c r="B141" s="288"/>
      <c r="C141" s="286"/>
      <c r="D141" s="305" t="str">
        <f>IFERROR(IF(ISBLANK(C141),"",VLOOKUP(C141,'Awards &gt; 50000'!$H$13:$I$200,2,FALSE)),"Not Found")</f>
        <v/>
      </c>
      <c r="E141" s="285"/>
      <c r="F141" s="285"/>
      <c r="G141" s="254"/>
    </row>
    <row r="142" spans="1:7" ht="12.75" customHeight="1" x14ac:dyDescent="0.3">
      <c r="A142" s="288"/>
      <c r="B142" s="288"/>
      <c r="C142" s="286"/>
      <c r="D142" s="305" t="str">
        <f>IFERROR(IF(ISBLANK(C142),"",VLOOKUP(C142,'Awards &gt; 50000'!$H$13:$I$200,2,FALSE)),"Not Found")</f>
        <v/>
      </c>
      <c r="E142" s="285"/>
      <c r="F142" s="285"/>
      <c r="G142" s="254"/>
    </row>
    <row r="143" spans="1:7" ht="12.75" customHeight="1" x14ac:dyDescent="0.3">
      <c r="A143" s="288"/>
      <c r="B143" s="288"/>
      <c r="C143" s="286"/>
      <c r="D143" s="305" t="str">
        <f>IFERROR(IF(ISBLANK(C143),"",VLOOKUP(C143,'Awards &gt; 50000'!$H$13:$I$200,2,FALSE)),"Not Found")</f>
        <v/>
      </c>
      <c r="E143" s="285"/>
      <c r="F143" s="285"/>
      <c r="G143" s="254"/>
    </row>
    <row r="144" spans="1:7" ht="12.75" customHeight="1" x14ac:dyDescent="0.3">
      <c r="A144" s="288"/>
      <c r="B144" s="288"/>
      <c r="C144" s="286"/>
      <c r="D144" s="305" t="str">
        <f>IFERROR(IF(ISBLANK(C144),"",VLOOKUP(C144,'Awards &gt; 50000'!$H$13:$I$200,2,FALSE)),"Not Found")</f>
        <v/>
      </c>
      <c r="E144" s="285"/>
      <c r="F144" s="285"/>
      <c r="G144" s="254"/>
    </row>
    <row r="145" spans="1:7" ht="12.75" customHeight="1" x14ac:dyDescent="0.3">
      <c r="A145" s="288"/>
      <c r="B145" s="288"/>
      <c r="C145" s="286"/>
      <c r="D145" s="305" t="str">
        <f>IFERROR(IF(ISBLANK(C145),"",VLOOKUP(C145,'Awards &gt; 50000'!$H$13:$I$200,2,FALSE)),"Not Found")</f>
        <v/>
      </c>
      <c r="E145" s="285"/>
      <c r="F145" s="285"/>
      <c r="G145" s="254"/>
    </row>
    <row r="146" spans="1:7" ht="12.75" customHeight="1" x14ac:dyDescent="0.3">
      <c r="A146" s="288"/>
      <c r="B146" s="288"/>
      <c r="C146" s="286"/>
      <c r="D146" s="305" t="str">
        <f>IFERROR(IF(ISBLANK(C146),"",VLOOKUP(C146,'Awards &gt; 50000'!$H$13:$I$200,2,FALSE)),"Not Found")</f>
        <v/>
      </c>
      <c r="E146" s="285"/>
      <c r="F146" s="285"/>
      <c r="G146" s="254"/>
    </row>
    <row r="147" spans="1:7" ht="12.75" customHeight="1" x14ac:dyDescent="0.3">
      <c r="A147" s="288"/>
      <c r="B147" s="288"/>
      <c r="C147" s="286"/>
      <c r="D147" s="305" t="str">
        <f>IFERROR(IF(ISBLANK(C147),"",VLOOKUP(C147,'Awards &gt; 50000'!$H$13:$I$200,2,FALSE)),"Not Found")</f>
        <v/>
      </c>
      <c r="E147" s="285"/>
      <c r="F147" s="285"/>
      <c r="G147" s="254"/>
    </row>
    <row r="148" spans="1:7" ht="12.75" customHeight="1" x14ac:dyDescent="0.3">
      <c r="A148" s="288"/>
      <c r="B148" s="288"/>
      <c r="C148" s="286"/>
      <c r="D148" s="305" t="str">
        <f>IFERROR(IF(ISBLANK(C148),"",VLOOKUP(C148,'Awards &gt; 50000'!$H$13:$I$200,2,FALSE)),"Not Found")</f>
        <v/>
      </c>
      <c r="E148" s="285"/>
      <c r="F148" s="285"/>
      <c r="G148" s="254"/>
    </row>
    <row r="149" spans="1:7" ht="12.75" customHeight="1" x14ac:dyDescent="0.3">
      <c r="A149" s="288"/>
      <c r="B149" s="288"/>
      <c r="C149" s="286"/>
      <c r="D149" s="305" t="str">
        <f>IFERROR(IF(ISBLANK(C149),"",VLOOKUP(C149,'Awards &gt; 50000'!$H$13:$I$200,2,FALSE)),"Not Found")</f>
        <v/>
      </c>
      <c r="E149" s="285"/>
      <c r="F149" s="285"/>
      <c r="G149" s="254"/>
    </row>
    <row r="150" spans="1:7" ht="12.75" customHeight="1" x14ac:dyDescent="0.3">
      <c r="A150" s="288"/>
      <c r="B150" s="288"/>
      <c r="C150" s="286"/>
      <c r="D150" s="305" t="str">
        <f>IFERROR(IF(ISBLANK(C150),"",VLOOKUP(C150,'Awards &gt; 50000'!$H$13:$I$200,2,FALSE)),"Not Found")</f>
        <v/>
      </c>
      <c r="E150" s="285"/>
      <c r="F150" s="285"/>
      <c r="G150" s="254"/>
    </row>
    <row r="151" spans="1:7" ht="12.75" customHeight="1" x14ac:dyDescent="0.3">
      <c r="A151" s="288"/>
      <c r="B151" s="288"/>
      <c r="C151" s="286"/>
      <c r="D151" s="305" t="str">
        <f>IFERROR(IF(ISBLANK(C151),"",VLOOKUP(C151,'Awards &gt; 50000'!$H$13:$I$200,2,FALSE)),"Not Found")</f>
        <v/>
      </c>
      <c r="E151" s="285"/>
      <c r="F151" s="285"/>
      <c r="G151" s="254"/>
    </row>
    <row r="152" spans="1:7" ht="12.75" customHeight="1" x14ac:dyDescent="0.3">
      <c r="A152" s="288"/>
      <c r="B152" s="288"/>
      <c r="C152" s="286"/>
      <c r="D152" s="305" t="str">
        <f>IFERROR(IF(ISBLANK(C152),"",VLOOKUP(C152,'Awards &gt; 50000'!$H$13:$I$200,2,FALSE)),"Not Found")</f>
        <v/>
      </c>
      <c r="E152" s="285"/>
      <c r="F152" s="285"/>
      <c r="G152" s="254"/>
    </row>
    <row r="153" spans="1:7" ht="12.75" customHeight="1" x14ac:dyDescent="0.3">
      <c r="A153" s="288"/>
      <c r="B153" s="288"/>
      <c r="C153" s="286"/>
      <c r="D153" s="305" t="str">
        <f>IFERROR(IF(ISBLANK(C153),"",VLOOKUP(C153,'Awards &gt; 50000'!$H$13:$I$200,2,FALSE)),"Not Found")</f>
        <v/>
      </c>
      <c r="E153" s="285"/>
      <c r="F153" s="285"/>
      <c r="G153" s="254"/>
    </row>
    <row r="154" spans="1:7" ht="12.75" customHeight="1" x14ac:dyDescent="0.3">
      <c r="A154" s="288"/>
      <c r="B154" s="288"/>
      <c r="C154" s="286"/>
      <c r="D154" s="305" t="str">
        <f>IFERROR(IF(ISBLANK(C154),"",VLOOKUP(C154,'Awards &gt; 50000'!$H$13:$I$200,2,FALSE)),"Not Found")</f>
        <v/>
      </c>
      <c r="E154" s="285"/>
      <c r="F154" s="285"/>
      <c r="G154" s="254"/>
    </row>
    <row r="155" spans="1:7" ht="12.75" customHeight="1" x14ac:dyDescent="0.3">
      <c r="A155" s="288"/>
      <c r="B155" s="288"/>
      <c r="C155" s="286"/>
      <c r="D155" s="305" t="str">
        <f>IFERROR(IF(ISBLANK(C155),"",VLOOKUP(C155,'Awards &gt; 50000'!$H$13:$I$200,2,FALSE)),"Not Found")</f>
        <v/>
      </c>
      <c r="E155" s="285"/>
      <c r="F155" s="285"/>
      <c r="G155" s="254"/>
    </row>
    <row r="156" spans="1:7" ht="12.75" customHeight="1" x14ac:dyDescent="0.3">
      <c r="A156" s="288"/>
      <c r="B156" s="288"/>
      <c r="C156" s="286"/>
      <c r="D156" s="305" t="str">
        <f>IFERROR(IF(ISBLANK(C156),"",VLOOKUP(C156,'Awards &gt; 50000'!$H$13:$I$200,2,FALSE)),"Not Found")</f>
        <v/>
      </c>
      <c r="E156" s="285"/>
      <c r="F156" s="285"/>
      <c r="G156" s="254"/>
    </row>
    <row r="157" spans="1:7" ht="12.75" customHeight="1" x14ac:dyDescent="0.3">
      <c r="A157" s="288"/>
      <c r="B157" s="288"/>
      <c r="C157" s="286"/>
      <c r="D157" s="305" t="str">
        <f>IFERROR(IF(ISBLANK(C157),"",VLOOKUP(C157,'Awards &gt; 50000'!$H$13:$I$200,2,FALSE)),"Not Found")</f>
        <v/>
      </c>
      <c r="E157" s="285"/>
      <c r="F157" s="285"/>
      <c r="G157" s="254"/>
    </row>
    <row r="158" spans="1:7" ht="12.75" customHeight="1" x14ac:dyDescent="0.3">
      <c r="A158" s="288"/>
      <c r="B158" s="288"/>
      <c r="C158" s="286"/>
      <c r="D158" s="305" t="str">
        <f>IFERROR(IF(ISBLANK(C158),"",VLOOKUP(C158,'Awards &gt; 50000'!$H$13:$I$200,2,FALSE)),"Not Found")</f>
        <v/>
      </c>
      <c r="E158" s="285"/>
      <c r="F158" s="285"/>
      <c r="G158" s="254"/>
    </row>
    <row r="159" spans="1:7" ht="12.75" customHeight="1" x14ac:dyDescent="0.3">
      <c r="A159" s="288"/>
      <c r="B159" s="288"/>
      <c r="C159" s="286"/>
      <c r="D159" s="305" t="str">
        <f>IFERROR(IF(ISBLANK(C159),"",VLOOKUP(C159,'Awards &gt; 50000'!$H$13:$I$200,2,FALSE)),"Not Found")</f>
        <v/>
      </c>
      <c r="E159" s="285"/>
      <c r="F159" s="285"/>
      <c r="G159" s="254"/>
    </row>
    <row r="160" spans="1:7" ht="12.75" customHeight="1" x14ac:dyDescent="0.3">
      <c r="A160" s="288"/>
      <c r="B160" s="288"/>
      <c r="C160" s="286"/>
      <c r="D160" s="305" t="str">
        <f>IFERROR(IF(ISBLANK(C160),"",VLOOKUP(C160,'Awards &gt; 50000'!$H$13:$I$200,2,FALSE)),"Not Found")</f>
        <v/>
      </c>
      <c r="E160" s="285"/>
      <c r="F160" s="285"/>
      <c r="G160" s="254"/>
    </row>
    <row r="161" spans="1:7" ht="12.75" customHeight="1" x14ac:dyDescent="0.3">
      <c r="A161" s="288"/>
      <c r="B161" s="288"/>
      <c r="C161" s="286"/>
      <c r="D161" s="305" t="str">
        <f>IFERROR(IF(ISBLANK(C161),"",VLOOKUP(C161,'Awards &gt; 50000'!$H$13:$I$200,2,FALSE)),"Not Found")</f>
        <v/>
      </c>
      <c r="E161" s="285"/>
      <c r="F161" s="285"/>
      <c r="G161" s="254"/>
    </row>
    <row r="162" spans="1:7" ht="12.75" customHeight="1" x14ac:dyDescent="0.3">
      <c r="A162" s="288"/>
      <c r="B162" s="288"/>
      <c r="C162" s="286"/>
      <c r="D162" s="305" t="str">
        <f>IFERROR(IF(ISBLANK(C162),"",VLOOKUP(C162,'Awards &gt; 50000'!$H$13:$I$200,2,FALSE)),"Not Found")</f>
        <v/>
      </c>
      <c r="E162" s="285"/>
      <c r="F162" s="285"/>
      <c r="G162" s="254"/>
    </row>
    <row r="163" spans="1:7" ht="12.75" customHeight="1" x14ac:dyDescent="0.3">
      <c r="A163" s="288"/>
      <c r="B163" s="288"/>
      <c r="C163" s="286"/>
      <c r="D163" s="305" t="str">
        <f>IFERROR(IF(ISBLANK(C163),"",VLOOKUP(C163,'Awards &gt; 50000'!$H$13:$I$200,2,FALSE)),"Not Found")</f>
        <v/>
      </c>
      <c r="E163" s="285"/>
      <c r="F163" s="285"/>
      <c r="G163" s="254"/>
    </row>
    <row r="164" spans="1:7" ht="12.75" customHeight="1" x14ac:dyDescent="0.3">
      <c r="A164" s="288"/>
      <c r="B164" s="288"/>
      <c r="C164" s="286"/>
      <c r="D164" s="305" t="str">
        <f>IFERROR(IF(ISBLANK(C164),"",VLOOKUP(C164,'Awards &gt; 50000'!$H$13:$I$200,2,FALSE)),"Not Found")</f>
        <v/>
      </c>
      <c r="E164" s="285"/>
      <c r="F164" s="285"/>
      <c r="G164" s="254"/>
    </row>
    <row r="165" spans="1:7" ht="12.75" customHeight="1" x14ac:dyDescent="0.3">
      <c r="A165" s="288"/>
      <c r="B165" s="288"/>
      <c r="C165" s="286"/>
      <c r="D165" s="305" t="str">
        <f>IFERROR(IF(ISBLANK(C165),"",VLOOKUP(C165,'Awards &gt; 50000'!$H$13:$I$200,2,FALSE)),"Not Found")</f>
        <v/>
      </c>
      <c r="E165" s="285"/>
      <c r="F165" s="285"/>
      <c r="G165" s="254"/>
    </row>
    <row r="166" spans="1:7" ht="12.75" customHeight="1" x14ac:dyDescent="0.3">
      <c r="A166" s="288"/>
      <c r="B166" s="288"/>
      <c r="C166" s="286"/>
      <c r="D166" s="305" t="str">
        <f>IFERROR(IF(ISBLANK(C166),"",VLOOKUP(C166,'Awards &gt; 50000'!$H$13:$I$200,2,FALSE)),"Not Found")</f>
        <v/>
      </c>
      <c r="E166" s="285"/>
      <c r="F166" s="285"/>
      <c r="G166" s="254"/>
    </row>
    <row r="167" spans="1:7" ht="12.75" customHeight="1" x14ac:dyDescent="0.3">
      <c r="A167" s="288"/>
      <c r="B167" s="288"/>
      <c r="C167" s="286"/>
      <c r="D167" s="305" t="str">
        <f>IFERROR(IF(ISBLANK(C167),"",VLOOKUP(C167,'Awards &gt; 50000'!$H$13:$I$200,2,FALSE)),"Not Found")</f>
        <v/>
      </c>
      <c r="E167" s="285"/>
      <c r="F167" s="285"/>
      <c r="G167" s="254"/>
    </row>
    <row r="168" spans="1:7" ht="12.75" customHeight="1" x14ac:dyDescent="0.3">
      <c r="A168" s="288"/>
      <c r="B168" s="288"/>
      <c r="C168" s="286"/>
      <c r="D168" s="305" t="str">
        <f>IFERROR(IF(ISBLANK(C168),"",VLOOKUP(C168,'Awards &gt; 50000'!$H$13:$I$200,2,FALSE)),"Not Found")</f>
        <v/>
      </c>
      <c r="E168" s="285"/>
      <c r="F168" s="285"/>
      <c r="G168" s="254"/>
    </row>
    <row r="169" spans="1:7" ht="12.75" customHeight="1" x14ac:dyDescent="0.3">
      <c r="A169" s="288"/>
      <c r="B169" s="288"/>
      <c r="C169" s="286"/>
      <c r="D169" s="305" t="str">
        <f>IFERROR(IF(ISBLANK(C169),"",VLOOKUP(C169,'Awards &gt; 50000'!$H$13:$I$200,2,FALSE)),"Not Found")</f>
        <v/>
      </c>
      <c r="E169" s="285"/>
      <c r="F169" s="285"/>
      <c r="G169" s="254"/>
    </row>
    <row r="170" spans="1:7" ht="12.75" customHeight="1" x14ac:dyDescent="0.3">
      <c r="A170" s="288"/>
      <c r="B170" s="288"/>
      <c r="C170" s="286"/>
      <c r="D170" s="305" t="str">
        <f>IFERROR(IF(ISBLANK(C170),"",VLOOKUP(C170,'Awards &gt; 50000'!$H$13:$I$200,2,FALSE)),"Not Found")</f>
        <v/>
      </c>
      <c r="E170" s="285"/>
      <c r="F170" s="285"/>
      <c r="G170" s="254"/>
    </row>
    <row r="171" spans="1:7" ht="12.75" customHeight="1" x14ac:dyDescent="0.3">
      <c r="A171" s="288"/>
      <c r="B171" s="288"/>
      <c r="C171" s="286"/>
      <c r="D171" s="305" t="str">
        <f>IFERROR(IF(ISBLANK(C171),"",VLOOKUP(C171,'Awards &gt; 50000'!$H$13:$I$200,2,FALSE)),"Not Found")</f>
        <v/>
      </c>
      <c r="E171" s="285"/>
      <c r="F171" s="285"/>
      <c r="G171" s="254"/>
    </row>
    <row r="172" spans="1:7" ht="12.75" customHeight="1" x14ac:dyDescent="0.3">
      <c r="A172" s="288"/>
      <c r="B172" s="288"/>
      <c r="C172" s="286"/>
      <c r="D172" s="305" t="str">
        <f>IFERROR(IF(ISBLANK(C172),"",VLOOKUP(C172,'Awards &gt; 50000'!$H$13:$I$200,2,FALSE)),"Not Found")</f>
        <v/>
      </c>
      <c r="E172" s="285"/>
      <c r="F172" s="285"/>
      <c r="G172" s="254"/>
    </row>
    <row r="173" spans="1:7" ht="12.75" customHeight="1" x14ac:dyDescent="0.3">
      <c r="A173" s="288"/>
      <c r="B173" s="288"/>
      <c r="C173" s="286"/>
      <c r="D173" s="305" t="str">
        <f>IFERROR(IF(ISBLANK(C173),"",VLOOKUP(C173,'Awards &gt; 50000'!$H$13:$I$200,2,FALSE)),"Not Found")</f>
        <v/>
      </c>
      <c r="E173" s="285"/>
      <c r="F173" s="285"/>
      <c r="G173" s="254"/>
    </row>
    <row r="174" spans="1:7" ht="12.75" customHeight="1" x14ac:dyDescent="0.3">
      <c r="A174" s="288"/>
      <c r="B174" s="288"/>
      <c r="C174" s="286"/>
      <c r="D174" s="305" t="str">
        <f>IFERROR(IF(ISBLANK(C174),"",VLOOKUP(C174,'Awards &gt; 50000'!$H$13:$I$200,2,FALSE)),"Not Found")</f>
        <v/>
      </c>
      <c r="E174" s="285"/>
      <c r="F174" s="285"/>
      <c r="G174" s="254"/>
    </row>
    <row r="175" spans="1:7" ht="12.75" customHeight="1" x14ac:dyDescent="0.3">
      <c r="A175" s="288"/>
      <c r="B175" s="288"/>
      <c r="C175" s="286"/>
      <c r="D175" s="305" t="str">
        <f>IFERROR(IF(ISBLANK(C175),"",VLOOKUP(C175,'Awards &gt; 50000'!$H$13:$I$200,2,FALSE)),"Not Found")</f>
        <v/>
      </c>
      <c r="E175" s="285"/>
      <c r="F175" s="285"/>
      <c r="G175" s="254"/>
    </row>
    <row r="176" spans="1:7" ht="12.75" customHeight="1" x14ac:dyDescent="0.3">
      <c r="A176" s="288"/>
      <c r="B176" s="288"/>
      <c r="C176" s="286"/>
      <c r="D176" s="305" t="str">
        <f>IFERROR(IF(ISBLANK(C176),"",VLOOKUP(C176,'Awards &gt; 50000'!$H$13:$I$200,2,FALSE)),"Not Found")</f>
        <v/>
      </c>
      <c r="E176" s="285"/>
      <c r="F176" s="285"/>
      <c r="G176" s="254"/>
    </row>
    <row r="177" spans="1:7" ht="12.75" customHeight="1" x14ac:dyDescent="0.3">
      <c r="A177" s="288"/>
      <c r="B177" s="288"/>
      <c r="C177" s="286"/>
      <c r="D177" s="305" t="str">
        <f>IFERROR(IF(ISBLANK(C177),"",VLOOKUP(C177,'Awards &gt; 50000'!$H$13:$I$200,2,FALSE)),"Not Found")</f>
        <v/>
      </c>
      <c r="E177" s="285"/>
      <c r="F177" s="285"/>
      <c r="G177" s="254"/>
    </row>
    <row r="178" spans="1:7" ht="12.75" customHeight="1" x14ac:dyDescent="0.3">
      <c r="A178" s="288"/>
      <c r="B178" s="288"/>
      <c r="C178" s="286"/>
      <c r="D178" s="305" t="str">
        <f>IFERROR(IF(ISBLANK(C178),"",VLOOKUP(C178,'Awards &gt; 50000'!$H$13:$I$200,2,FALSE)),"Not Found")</f>
        <v/>
      </c>
      <c r="E178" s="285"/>
      <c r="F178" s="285"/>
      <c r="G178" s="254"/>
    </row>
    <row r="179" spans="1:7" ht="12.75" customHeight="1" x14ac:dyDescent="0.3">
      <c r="A179" s="288"/>
      <c r="B179" s="288"/>
      <c r="C179" s="286"/>
      <c r="D179" s="305" t="str">
        <f>IFERROR(IF(ISBLANK(C179),"",VLOOKUP(C179,'Awards &gt; 50000'!$H$13:$I$200,2,FALSE)),"Not Found")</f>
        <v/>
      </c>
      <c r="E179" s="285"/>
      <c r="F179" s="285"/>
      <c r="G179" s="254"/>
    </row>
    <row r="180" spans="1:7" ht="12.75" customHeight="1" x14ac:dyDescent="0.3">
      <c r="A180" s="288"/>
      <c r="B180" s="288"/>
      <c r="C180" s="286"/>
      <c r="D180" s="305" t="str">
        <f>IFERROR(IF(ISBLANK(C180),"",VLOOKUP(C180,'Awards &gt; 50000'!$H$13:$I$200,2,FALSE)),"Not Found")</f>
        <v/>
      </c>
      <c r="E180" s="285"/>
      <c r="F180" s="285"/>
      <c r="G180" s="254"/>
    </row>
    <row r="181" spans="1:7" ht="12.75" customHeight="1" x14ac:dyDescent="0.3">
      <c r="A181" s="288"/>
      <c r="B181" s="288"/>
      <c r="C181" s="286"/>
      <c r="D181" s="305" t="str">
        <f>IFERROR(IF(ISBLANK(C181),"",VLOOKUP(C181,'Awards &gt; 50000'!$H$13:$I$200,2,FALSE)),"Not Found")</f>
        <v/>
      </c>
      <c r="E181" s="285"/>
      <c r="F181" s="285"/>
      <c r="G181" s="254"/>
    </row>
    <row r="182" spans="1:7" ht="12.75" customHeight="1" x14ac:dyDescent="0.3">
      <c r="A182" s="288"/>
      <c r="B182" s="288"/>
      <c r="C182" s="286"/>
      <c r="D182" s="305" t="str">
        <f>IFERROR(IF(ISBLANK(C182),"",VLOOKUP(C182,'Awards &gt; 50000'!$H$13:$I$200,2,FALSE)),"Not Found")</f>
        <v/>
      </c>
      <c r="E182" s="285"/>
      <c r="F182" s="285"/>
      <c r="G182" s="254"/>
    </row>
    <row r="183" spans="1:7" ht="12.75" customHeight="1" x14ac:dyDescent="0.3">
      <c r="A183" s="288"/>
      <c r="B183" s="288"/>
      <c r="C183" s="286"/>
      <c r="D183" s="305" t="str">
        <f>IFERROR(IF(ISBLANK(C183),"",VLOOKUP(C183,'Awards &gt; 50000'!$H$13:$I$200,2,FALSE)),"Not Found")</f>
        <v/>
      </c>
      <c r="E183" s="285"/>
      <c r="F183" s="285"/>
      <c r="G183" s="254"/>
    </row>
    <row r="184" spans="1:7" ht="12.75" customHeight="1" x14ac:dyDescent="0.3">
      <c r="A184" s="288"/>
      <c r="B184" s="288"/>
      <c r="C184" s="286"/>
      <c r="D184" s="305" t="str">
        <f>IFERROR(IF(ISBLANK(C184),"",VLOOKUP(C184,'Awards &gt; 50000'!$H$13:$I$200,2,FALSE)),"Not Found")</f>
        <v/>
      </c>
      <c r="E184" s="285"/>
      <c r="F184" s="285"/>
      <c r="G184" s="254"/>
    </row>
    <row r="185" spans="1:7" ht="12.75" customHeight="1" x14ac:dyDescent="0.3">
      <c r="A185" s="288"/>
      <c r="B185" s="288"/>
      <c r="C185" s="286"/>
      <c r="D185" s="305" t="str">
        <f>IFERROR(IF(ISBLANK(C185),"",VLOOKUP(C185,'Awards &gt; 50000'!$H$13:$I$200,2,FALSE)),"Not Found")</f>
        <v/>
      </c>
      <c r="E185" s="285"/>
      <c r="F185" s="285"/>
      <c r="G185" s="254"/>
    </row>
    <row r="186" spans="1:7" ht="12.75" customHeight="1" x14ac:dyDescent="0.3">
      <c r="A186" s="288"/>
      <c r="B186" s="288"/>
      <c r="C186" s="286"/>
      <c r="D186" s="305" t="str">
        <f>IFERROR(IF(ISBLANK(C186),"",VLOOKUP(C186,'Awards &gt; 50000'!$H$13:$I$200,2,FALSE)),"Not Found")</f>
        <v/>
      </c>
      <c r="E186" s="285"/>
      <c r="F186" s="285"/>
      <c r="G186" s="254"/>
    </row>
    <row r="187" spans="1:7" ht="12.75" customHeight="1" x14ac:dyDescent="0.3">
      <c r="A187" s="288"/>
      <c r="B187" s="288"/>
      <c r="C187" s="286"/>
      <c r="D187" s="305" t="str">
        <f>IFERROR(IF(ISBLANK(C187),"",VLOOKUP(C187,'Awards &gt; 50000'!$H$13:$I$200,2,FALSE)),"Not Found")</f>
        <v/>
      </c>
      <c r="E187" s="285"/>
      <c r="F187" s="285"/>
      <c r="G187" s="254"/>
    </row>
    <row r="188" spans="1:7" ht="12.75" customHeight="1" x14ac:dyDescent="0.3">
      <c r="A188" s="288"/>
      <c r="B188" s="288"/>
      <c r="C188" s="286"/>
      <c r="D188" s="305" t="str">
        <f>IFERROR(IF(ISBLANK(C188),"",VLOOKUP(C188,'Awards &gt; 50000'!$H$13:$I$200,2,FALSE)),"Not Found")</f>
        <v/>
      </c>
      <c r="E188" s="285"/>
      <c r="F188" s="285"/>
      <c r="G188" s="254"/>
    </row>
    <row r="189" spans="1:7" ht="12.75" customHeight="1" x14ac:dyDescent="0.3">
      <c r="A189" s="288"/>
      <c r="B189" s="288"/>
      <c r="C189" s="286"/>
      <c r="D189" s="305" t="str">
        <f>IFERROR(IF(ISBLANK(C189),"",VLOOKUP(C189,'Awards &gt; 50000'!$H$13:$I$200,2,FALSE)),"Not Found")</f>
        <v/>
      </c>
      <c r="E189" s="285"/>
      <c r="F189" s="285"/>
      <c r="G189" s="254"/>
    </row>
    <row r="190" spans="1:7" ht="12.75" customHeight="1" x14ac:dyDescent="0.3">
      <c r="A190" s="288"/>
      <c r="B190" s="288"/>
      <c r="C190" s="286"/>
      <c r="D190" s="305" t="str">
        <f>IFERROR(IF(ISBLANK(C190),"",VLOOKUP(C190,'Awards &gt; 50000'!$H$13:$I$200,2,FALSE)),"Not Found")</f>
        <v/>
      </c>
      <c r="E190" s="285"/>
      <c r="F190" s="285"/>
      <c r="G190" s="254"/>
    </row>
    <row r="191" spans="1:7" ht="12.75" customHeight="1" x14ac:dyDescent="0.3">
      <c r="A191" s="288"/>
      <c r="B191" s="288"/>
      <c r="C191" s="286"/>
      <c r="D191" s="305" t="str">
        <f>IFERROR(IF(ISBLANK(C191),"",VLOOKUP(C191,'Awards &gt; 50000'!$H$13:$I$200,2,FALSE)),"Not Found")</f>
        <v/>
      </c>
      <c r="E191" s="285"/>
      <c r="F191" s="285"/>
      <c r="G191" s="254"/>
    </row>
    <row r="192" spans="1:7" ht="12.75" customHeight="1" x14ac:dyDescent="0.3">
      <c r="A192" s="288"/>
      <c r="B192" s="288"/>
      <c r="C192" s="286"/>
      <c r="D192" s="305" t="str">
        <f>IFERROR(IF(ISBLANK(C192),"",VLOOKUP(C192,'Awards &gt; 50000'!$H$13:$I$200,2,FALSE)),"Not Found")</f>
        <v/>
      </c>
      <c r="E192" s="285"/>
      <c r="F192" s="285"/>
      <c r="G192" s="254"/>
    </row>
    <row r="193" spans="1:7" ht="12.75" customHeight="1" x14ac:dyDescent="0.3">
      <c r="A193" s="288"/>
      <c r="B193" s="288"/>
      <c r="C193" s="286"/>
      <c r="D193" s="305" t="str">
        <f>IFERROR(IF(ISBLANK(C193),"",VLOOKUP(C193,'Awards &gt; 50000'!$H$13:$I$200,2,FALSE)),"Not Found")</f>
        <v/>
      </c>
      <c r="E193" s="285"/>
      <c r="F193" s="285"/>
      <c r="G193" s="254"/>
    </row>
    <row r="194" spans="1:7" ht="12.75" customHeight="1" x14ac:dyDescent="0.3">
      <c r="A194" s="288"/>
      <c r="B194" s="288"/>
      <c r="C194" s="286"/>
      <c r="D194" s="305" t="str">
        <f>IFERROR(IF(ISBLANK(C194),"",VLOOKUP(C194,'Awards &gt; 50000'!$H$13:$I$200,2,FALSE)),"Not Found")</f>
        <v/>
      </c>
      <c r="E194" s="285"/>
      <c r="F194" s="285"/>
      <c r="G194" s="254"/>
    </row>
    <row r="195" spans="1:7" ht="12.75" customHeight="1" x14ac:dyDescent="0.3">
      <c r="A195" s="288"/>
      <c r="B195" s="288"/>
      <c r="C195" s="286"/>
      <c r="D195" s="305" t="str">
        <f>IFERROR(IF(ISBLANK(C195),"",VLOOKUP(C195,'Awards &gt; 50000'!$H$13:$I$200,2,FALSE)),"Not Found")</f>
        <v/>
      </c>
      <c r="E195" s="285"/>
      <c r="F195" s="285"/>
      <c r="G195" s="254"/>
    </row>
    <row r="196" spans="1:7" ht="12.75" customHeight="1" x14ac:dyDescent="0.3">
      <c r="A196" s="288"/>
      <c r="B196" s="288"/>
      <c r="C196" s="286"/>
      <c r="D196" s="305" t="str">
        <f>IFERROR(IF(ISBLANK(C196),"",VLOOKUP(C196,'Awards &gt; 50000'!$H$13:$I$200,2,FALSE)),"Not Found")</f>
        <v/>
      </c>
      <c r="E196" s="285"/>
      <c r="F196" s="285"/>
      <c r="G196" s="254"/>
    </row>
    <row r="197" spans="1:7" ht="12.75" customHeight="1" x14ac:dyDescent="0.3">
      <c r="A197" s="288"/>
      <c r="B197" s="288"/>
      <c r="C197" s="286"/>
      <c r="D197" s="305" t="str">
        <f>IFERROR(IF(ISBLANK(C197),"",VLOOKUP(C197,'Awards &gt; 50000'!$H$13:$I$200,2,FALSE)),"Not Found")</f>
        <v/>
      </c>
      <c r="E197" s="285"/>
      <c r="F197" s="285"/>
      <c r="G197" s="254"/>
    </row>
    <row r="198" spans="1:7" ht="12.75" customHeight="1" x14ac:dyDescent="0.3">
      <c r="A198" s="288"/>
      <c r="B198" s="288"/>
      <c r="C198" s="286"/>
      <c r="D198" s="305" t="str">
        <f>IFERROR(IF(ISBLANK(C198),"",VLOOKUP(C198,'Awards &gt; 50000'!$H$13:$I$200,2,FALSE)),"Not Found")</f>
        <v/>
      </c>
      <c r="E198" s="285"/>
      <c r="F198" s="285"/>
      <c r="G198" s="254"/>
    </row>
    <row r="199" spans="1:7" ht="12.75" customHeight="1" x14ac:dyDescent="0.3">
      <c r="A199" s="288"/>
      <c r="B199" s="288"/>
      <c r="C199" s="286"/>
      <c r="D199" s="305" t="str">
        <f>IFERROR(IF(ISBLANK(C199),"",VLOOKUP(C199,'Awards &gt; 50000'!$H$13:$I$200,2,FALSE)),"Not Found")</f>
        <v/>
      </c>
      <c r="E199" s="285"/>
      <c r="F199" s="285"/>
      <c r="G199" s="254"/>
    </row>
    <row r="200" spans="1:7" ht="12.75" customHeight="1" x14ac:dyDescent="0.3">
      <c r="A200" s="288"/>
      <c r="B200" s="288"/>
      <c r="C200" s="286"/>
      <c r="D200" s="305" t="str">
        <f>IFERROR(IF(ISBLANK(C200),"",VLOOKUP(C200,'Awards &gt; 50000'!$H$13:$I$200,2,FALSE)),"Not Found")</f>
        <v/>
      </c>
      <c r="E200" s="285"/>
      <c r="F200" s="285"/>
      <c r="G200" s="254"/>
    </row>
  </sheetData>
  <sheetProtection algorithmName="SHA-512" hashValue="75NGcU2paFG1S/eGPpj6RdctU9LF/F0Q15yJCn/JmRVgkEA2OOn7vOSU4MJ8Tmc+eCZjpuBPgCcZO4XprBuztA==" saltValue="qewXJVX29N9dbNzoqkCiCQ==" spinCount="100000" sheet="1" objects="1" scenarios="1" formatCells="0" formatRows="0"/>
  <dataConsolidate/>
  <conditionalFormatting sqref="D13:D200">
    <cfRule type="expression" priority="1">
      <formula>D13&lt;&gt;"Not Found"</formula>
    </cfRule>
    <cfRule type="expression" dxfId="11" priority="2">
      <formula>D13="Not Found"</formula>
    </cfRule>
  </conditionalFormatting>
  <dataValidations count="3">
    <dataValidation operator="lessThanOrEqual" allowBlank="1" showInputMessage="1" showErrorMessage="1" errorTitle="Max Length Exceed" error="Value cannot exceed 20 characters." sqref="D13:D200" xr:uid="{3EC81DE7-A9BF-475D-BB3D-9A438367F6DD}"/>
    <dataValidation type="textLength" operator="lessThanOrEqual" allowBlank="1" showInputMessage="1" showErrorMessage="1" errorTitle="Max Length Exceed" error="Value cannot exceed 20 characters." sqref="C13:C200" xr:uid="{A08677B1-FE6C-4FB2-AB14-B579FCE96CE4}">
      <formula1>20</formula1>
    </dataValidation>
    <dataValidation type="decimal" operator="lessThanOrEqual" allowBlank="1" showInputMessage="1" showErrorMessage="1" errorTitle="Maximum Exceeded" error="Value cannot exceed 999,999,999,999.99" sqref="G13:G200" xr:uid="{14D62B18-4A9B-4B15-AFF9-07D3F0382B72}">
      <formula1>999999999999.99</formula1>
    </dataValidation>
  </dataValidations>
  <pageMargins left="0.7" right="0.7" top="0.75" bottom="0.75" header="0" footer="0"/>
  <pageSetup orientation="landscape"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1"/>
  <dimension ref="A1:F201"/>
  <sheetViews>
    <sheetView showGridLines="0" zoomScaleNormal="100" workbookViewId="0">
      <pane ySplit="12" topLeftCell="A13" activePane="bottomLeft" state="frozen"/>
      <selection pane="bottomLeft" sqref="A1:XFD10"/>
    </sheetView>
  </sheetViews>
  <sheetFormatPr defaultColWidth="14.453125" defaultRowHeight="12.75" customHeight="1" x14ac:dyDescent="0.25"/>
  <cols>
    <col min="1" max="1" width="16.7265625" style="207" hidden="1" customWidth="1"/>
    <col min="2" max="2" width="6.453125" style="207" hidden="1" customWidth="1"/>
    <col min="3" max="3" width="20.7265625" style="212" customWidth="1"/>
    <col min="4" max="4" width="32.54296875" style="165" customWidth="1"/>
    <col min="5" max="5" width="18.54296875" style="165" customWidth="1"/>
    <col min="6" max="6" width="20.453125" style="165" customWidth="1"/>
    <col min="7" max="25" width="8.7265625" style="165" customWidth="1"/>
    <col min="26" max="16384" width="14.453125" style="165"/>
  </cols>
  <sheetData>
    <row r="1" spans="1:6" ht="27" hidden="1" customHeight="1" x14ac:dyDescent="0.25">
      <c r="A1" s="108"/>
      <c r="B1" s="115"/>
      <c r="C1" s="128" t="s">
        <v>739</v>
      </c>
      <c r="D1" s="115"/>
      <c r="E1" s="115" t="s">
        <v>736</v>
      </c>
      <c r="F1" s="115" t="s">
        <v>738</v>
      </c>
    </row>
    <row r="2" spans="1:6" ht="27" hidden="1" customHeight="1" x14ac:dyDescent="0.25">
      <c r="A2" s="109" t="s">
        <v>394</v>
      </c>
      <c r="B2" s="123"/>
      <c r="C2" s="128" t="s">
        <v>643</v>
      </c>
      <c r="D2" s="115" t="s">
        <v>643</v>
      </c>
      <c r="E2" s="115" t="s">
        <v>643</v>
      </c>
      <c r="F2" s="115" t="s">
        <v>643</v>
      </c>
    </row>
    <row r="3" spans="1:6" ht="27" hidden="1" customHeight="1" x14ac:dyDescent="0.25">
      <c r="A3" s="109" t="s">
        <v>163</v>
      </c>
      <c r="B3" s="123"/>
      <c r="C3" s="128" t="s">
        <v>139</v>
      </c>
      <c r="D3" s="115" t="s">
        <v>740</v>
      </c>
      <c r="E3" s="115" t="s">
        <v>735</v>
      </c>
      <c r="F3" s="115" t="s">
        <v>737</v>
      </c>
    </row>
    <row r="4" spans="1:6" ht="27" hidden="1" customHeight="1" x14ac:dyDescent="0.25">
      <c r="A4" s="109" t="s">
        <v>162</v>
      </c>
      <c r="B4" s="123"/>
      <c r="C4" s="129" t="s">
        <v>149</v>
      </c>
      <c r="D4" s="130" t="s">
        <v>149</v>
      </c>
      <c r="E4" s="122" t="s">
        <v>149</v>
      </c>
      <c r="F4" s="122" t="s">
        <v>149</v>
      </c>
    </row>
    <row r="5" spans="1:6" ht="27" hidden="1" customHeight="1" x14ac:dyDescent="0.25">
      <c r="A5" s="109" t="s">
        <v>395</v>
      </c>
      <c r="B5" s="123"/>
      <c r="C5" s="131" t="s">
        <v>650</v>
      </c>
      <c r="D5" s="115" t="s">
        <v>651</v>
      </c>
      <c r="E5" s="115" t="s">
        <v>652</v>
      </c>
      <c r="F5" s="115" t="s">
        <v>653</v>
      </c>
    </row>
    <row r="6" spans="1:6" ht="27" hidden="1" customHeight="1" x14ac:dyDescent="0.25">
      <c r="A6" s="109" t="s">
        <v>166</v>
      </c>
      <c r="B6" s="123"/>
      <c r="C6" s="129" t="s">
        <v>134</v>
      </c>
      <c r="D6" s="132" t="s">
        <v>273</v>
      </c>
      <c r="E6" s="122" t="s">
        <v>134</v>
      </c>
      <c r="F6" s="122" t="s">
        <v>134</v>
      </c>
    </row>
    <row r="7" spans="1:6" ht="27" hidden="1" customHeight="1" x14ac:dyDescent="0.25">
      <c r="A7" s="109" t="s">
        <v>167</v>
      </c>
      <c r="B7" s="123"/>
      <c r="C7" s="129" t="s">
        <v>169</v>
      </c>
      <c r="D7" s="130" t="s">
        <v>171</v>
      </c>
      <c r="E7" s="122" t="s">
        <v>173</v>
      </c>
      <c r="F7" s="122" t="s">
        <v>173</v>
      </c>
    </row>
    <row r="8" spans="1:6" ht="27" hidden="1" customHeight="1" x14ac:dyDescent="0.25">
      <c r="A8" s="109" t="s">
        <v>168</v>
      </c>
      <c r="B8" s="123"/>
      <c r="C8" s="129">
        <v>20</v>
      </c>
      <c r="D8" s="133" t="s">
        <v>134</v>
      </c>
      <c r="E8" s="122" t="s">
        <v>274</v>
      </c>
      <c r="F8" s="122" t="s">
        <v>274</v>
      </c>
    </row>
    <row r="9" spans="1:6" ht="27" hidden="1" customHeight="1" x14ac:dyDescent="0.25">
      <c r="A9" s="109" t="s">
        <v>396</v>
      </c>
      <c r="B9" s="123"/>
      <c r="C9" s="131"/>
      <c r="D9" s="122"/>
      <c r="E9" s="122"/>
      <c r="F9" s="122"/>
    </row>
    <row r="10" spans="1:6" ht="35.15" hidden="1" customHeight="1" x14ac:dyDescent="0.25">
      <c r="A10" s="86" t="s">
        <v>752</v>
      </c>
      <c r="B10" s="91"/>
      <c r="C10" s="124" t="s">
        <v>801</v>
      </c>
      <c r="D10" s="126" t="s">
        <v>804</v>
      </c>
      <c r="E10" s="126" t="s">
        <v>802</v>
      </c>
      <c r="F10" s="126" t="s">
        <v>803</v>
      </c>
    </row>
    <row r="11" spans="1:6" ht="14" x14ac:dyDescent="0.25">
      <c r="A11" s="102"/>
      <c r="B11" s="102"/>
      <c r="C11" s="82">
        <f>Cover!$C$2</f>
        <v>0</v>
      </c>
      <c r="D11" s="101"/>
      <c r="E11" s="101"/>
      <c r="F11" s="101"/>
    </row>
    <row r="12" spans="1:6" ht="26" x14ac:dyDescent="0.3">
      <c r="A12" s="54" t="s">
        <v>164</v>
      </c>
      <c r="B12" s="54"/>
      <c r="C12" s="233" t="s">
        <v>5</v>
      </c>
      <c r="D12" s="234" t="s">
        <v>331</v>
      </c>
      <c r="E12" s="234" t="s">
        <v>62</v>
      </c>
      <c r="F12" s="234" t="s">
        <v>67</v>
      </c>
    </row>
    <row r="13" spans="1:6" ht="12.75" customHeight="1" x14ac:dyDescent="0.25">
      <c r="A13" s="226" t="s">
        <v>165</v>
      </c>
      <c r="B13" s="226"/>
      <c r="C13" s="224"/>
      <c r="D13" s="225"/>
      <c r="E13" s="254"/>
      <c r="F13" s="254"/>
    </row>
    <row r="14" spans="1:6" ht="12.75" customHeight="1" x14ac:dyDescent="0.25">
      <c r="A14" s="288"/>
      <c r="B14" s="288"/>
      <c r="C14" s="224"/>
      <c r="D14" s="225"/>
      <c r="E14" s="254"/>
      <c r="F14" s="254"/>
    </row>
    <row r="15" spans="1:6" ht="12.75" customHeight="1" x14ac:dyDescent="0.25">
      <c r="A15" s="288"/>
      <c r="B15" s="288"/>
      <c r="C15" s="224"/>
      <c r="D15" s="225"/>
      <c r="E15" s="254"/>
      <c r="F15" s="254"/>
    </row>
    <row r="16" spans="1:6" ht="12.75" customHeight="1" x14ac:dyDescent="0.25">
      <c r="A16" s="288"/>
      <c r="B16" s="288"/>
      <c r="C16" s="224"/>
      <c r="D16" s="225"/>
      <c r="E16" s="254"/>
      <c r="F16" s="254"/>
    </row>
    <row r="17" spans="1:6" ht="12.75" customHeight="1" x14ac:dyDescent="0.25">
      <c r="A17" s="288"/>
      <c r="B17" s="288"/>
      <c r="C17" s="224"/>
      <c r="D17" s="225"/>
      <c r="E17" s="254"/>
      <c r="F17" s="254"/>
    </row>
    <row r="18" spans="1:6" ht="12.75" customHeight="1" x14ac:dyDescent="0.25">
      <c r="A18" s="288"/>
      <c r="B18" s="288"/>
      <c r="C18" s="224"/>
      <c r="D18" s="225"/>
      <c r="E18" s="254"/>
      <c r="F18" s="254"/>
    </row>
    <row r="19" spans="1:6" ht="12.75" customHeight="1" x14ac:dyDescent="0.25">
      <c r="A19" s="288"/>
      <c r="B19" s="288"/>
      <c r="C19" s="224"/>
      <c r="D19" s="225"/>
      <c r="E19" s="254"/>
      <c r="F19" s="254"/>
    </row>
    <row r="20" spans="1:6" ht="12.75" customHeight="1" x14ac:dyDescent="0.25">
      <c r="A20" s="288"/>
      <c r="B20" s="288"/>
      <c r="C20" s="284"/>
      <c r="D20" s="225"/>
      <c r="E20" s="254"/>
      <c r="F20" s="254"/>
    </row>
    <row r="21" spans="1:6" ht="12.75" customHeight="1" x14ac:dyDescent="0.25">
      <c r="A21" s="288"/>
      <c r="B21" s="288"/>
      <c r="C21" s="284"/>
      <c r="D21" s="225"/>
      <c r="E21" s="254"/>
      <c r="F21" s="254"/>
    </row>
    <row r="22" spans="1:6" ht="12.75" customHeight="1" x14ac:dyDescent="0.25">
      <c r="A22" s="288"/>
      <c r="B22" s="288"/>
      <c r="C22" s="284"/>
      <c r="D22" s="225"/>
      <c r="E22" s="254"/>
      <c r="F22" s="254"/>
    </row>
    <row r="23" spans="1:6" ht="12.75" customHeight="1" x14ac:dyDescent="0.25">
      <c r="A23" s="288"/>
      <c r="B23" s="288"/>
      <c r="C23" s="284"/>
      <c r="D23" s="225"/>
      <c r="E23" s="254"/>
      <c r="F23" s="254"/>
    </row>
    <row r="24" spans="1:6" ht="12.75" customHeight="1" x14ac:dyDescent="0.25">
      <c r="A24" s="288"/>
      <c r="B24" s="288"/>
      <c r="C24" s="284"/>
      <c r="D24" s="225"/>
      <c r="E24" s="254"/>
      <c r="F24" s="254"/>
    </row>
    <row r="25" spans="1:6" ht="12.75" customHeight="1" x14ac:dyDescent="0.25">
      <c r="A25" s="288"/>
      <c r="B25" s="288"/>
      <c r="C25" s="284"/>
      <c r="D25" s="225"/>
      <c r="E25" s="254"/>
      <c r="F25" s="254"/>
    </row>
    <row r="26" spans="1:6" ht="12.75" customHeight="1" x14ac:dyDescent="0.25">
      <c r="A26" s="288"/>
      <c r="B26" s="288"/>
      <c r="C26" s="284"/>
      <c r="D26" s="225"/>
      <c r="E26" s="254"/>
      <c r="F26" s="254"/>
    </row>
    <row r="27" spans="1:6" ht="12.75" customHeight="1" x14ac:dyDescent="0.25">
      <c r="A27" s="288"/>
      <c r="B27" s="288"/>
      <c r="C27" s="284"/>
      <c r="D27" s="225"/>
      <c r="E27" s="254"/>
      <c r="F27" s="254"/>
    </row>
    <row r="28" spans="1:6" ht="12.75" customHeight="1" x14ac:dyDescent="0.25">
      <c r="A28" s="288"/>
      <c r="B28" s="288"/>
      <c r="C28" s="284"/>
      <c r="D28" s="225"/>
      <c r="E28" s="254"/>
      <c r="F28" s="254"/>
    </row>
    <row r="29" spans="1:6" ht="12.75" customHeight="1" x14ac:dyDescent="0.25">
      <c r="A29" s="288"/>
      <c r="B29" s="288"/>
      <c r="C29" s="284"/>
      <c r="D29" s="225"/>
      <c r="E29" s="254"/>
      <c r="F29" s="254"/>
    </row>
    <row r="30" spans="1:6" ht="12.75" customHeight="1" x14ac:dyDescent="0.25">
      <c r="A30" s="288"/>
      <c r="B30" s="288"/>
      <c r="C30" s="284"/>
      <c r="D30" s="225"/>
      <c r="E30" s="254"/>
      <c r="F30" s="254"/>
    </row>
    <row r="31" spans="1:6" ht="12.75" customHeight="1" x14ac:dyDescent="0.25">
      <c r="A31" s="288"/>
      <c r="B31" s="288"/>
      <c r="C31" s="284"/>
      <c r="D31" s="225"/>
      <c r="E31" s="254"/>
      <c r="F31" s="254"/>
    </row>
    <row r="32" spans="1:6" ht="12.75" customHeight="1" x14ac:dyDescent="0.25">
      <c r="A32" s="288"/>
      <c r="B32" s="288"/>
      <c r="C32" s="284"/>
      <c r="D32" s="225"/>
      <c r="E32" s="254"/>
      <c r="F32" s="254"/>
    </row>
    <row r="33" spans="1:6" ht="12.75" customHeight="1" x14ac:dyDescent="0.25">
      <c r="A33" s="288"/>
      <c r="B33" s="288"/>
      <c r="C33" s="284"/>
      <c r="D33" s="225"/>
      <c r="E33" s="254"/>
      <c r="F33" s="254"/>
    </row>
    <row r="34" spans="1:6" ht="12.75" customHeight="1" x14ac:dyDescent="0.25">
      <c r="A34" s="288"/>
      <c r="B34" s="288"/>
      <c r="C34" s="284"/>
      <c r="D34" s="225"/>
      <c r="E34" s="254"/>
      <c r="F34" s="254"/>
    </row>
    <row r="35" spans="1:6" ht="12.75" customHeight="1" x14ac:dyDescent="0.25">
      <c r="A35" s="288"/>
      <c r="B35" s="288"/>
      <c r="C35" s="284"/>
      <c r="D35" s="225"/>
      <c r="E35" s="254"/>
      <c r="F35" s="254"/>
    </row>
    <row r="36" spans="1:6" ht="12.75" customHeight="1" x14ac:dyDescent="0.25">
      <c r="A36" s="288"/>
      <c r="B36" s="288"/>
      <c r="C36" s="284"/>
      <c r="D36" s="225"/>
      <c r="E36" s="254"/>
      <c r="F36" s="254"/>
    </row>
    <row r="37" spans="1:6" ht="12.75" customHeight="1" x14ac:dyDescent="0.25">
      <c r="A37" s="288"/>
      <c r="B37" s="288"/>
      <c r="C37" s="284"/>
      <c r="D37" s="225"/>
      <c r="E37" s="254"/>
      <c r="F37" s="254"/>
    </row>
    <row r="38" spans="1:6" ht="12.75" customHeight="1" x14ac:dyDescent="0.25">
      <c r="A38" s="288"/>
      <c r="B38" s="288"/>
      <c r="C38" s="284"/>
      <c r="D38" s="225"/>
      <c r="E38" s="254"/>
      <c r="F38" s="254"/>
    </row>
    <row r="39" spans="1:6" ht="12.75" customHeight="1" x14ac:dyDescent="0.25">
      <c r="A39" s="288"/>
      <c r="B39" s="288"/>
      <c r="C39" s="284"/>
      <c r="D39" s="225"/>
      <c r="E39" s="254"/>
      <c r="F39" s="254"/>
    </row>
    <row r="40" spans="1:6" ht="12.75" customHeight="1" x14ac:dyDescent="0.25">
      <c r="A40" s="288"/>
      <c r="B40" s="288"/>
      <c r="C40" s="284"/>
      <c r="D40" s="225"/>
      <c r="E40" s="254"/>
      <c r="F40" s="254"/>
    </row>
    <row r="41" spans="1:6" ht="12.75" customHeight="1" x14ac:dyDescent="0.25">
      <c r="A41" s="288"/>
      <c r="B41" s="288"/>
      <c r="C41" s="284"/>
      <c r="D41" s="225"/>
      <c r="E41" s="254"/>
      <c r="F41" s="254"/>
    </row>
    <row r="42" spans="1:6" ht="12.75" customHeight="1" x14ac:dyDescent="0.25">
      <c r="A42" s="288"/>
      <c r="B42" s="288"/>
      <c r="C42" s="284"/>
      <c r="D42" s="225"/>
      <c r="E42" s="254"/>
      <c r="F42" s="254"/>
    </row>
    <row r="43" spans="1:6" ht="12.75" customHeight="1" x14ac:dyDescent="0.25">
      <c r="A43" s="288"/>
      <c r="B43" s="288"/>
      <c r="C43" s="284"/>
      <c r="D43" s="225"/>
      <c r="E43" s="254"/>
      <c r="F43" s="254"/>
    </row>
    <row r="44" spans="1:6" ht="12.75" customHeight="1" x14ac:dyDescent="0.25">
      <c r="A44" s="288"/>
      <c r="B44" s="288"/>
      <c r="C44" s="284"/>
      <c r="D44" s="225"/>
      <c r="E44" s="254"/>
      <c r="F44" s="254"/>
    </row>
    <row r="45" spans="1:6" ht="12.75" customHeight="1" x14ac:dyDescent="0.25">
      <c r="A45" s="288"/>
      <c r="B45" s="288"/>
      <c r="C45" s="284"/>
      <c r="D45" s="225"/>
      <c r="E45" s="254"/>
      <c r="F45" s="254"/>
    </row>
    <row r="46" spans="1:6" ht="12.75" customHeight="1" x14ac:dyDescent="0.25">
      <c r="A46" s="288"/>
      <c r="B46" s="288"/>
      <c r="C46" s="284"/>
      <c r="D46" s="225"/>
      <c r="E46" s="254"/>
      <c r="F46" s="254"/>
    </row>
    <row r="47" spans="1:6" ht="12.75" customHeight="1" x14ac:dyDescent="0.25">
      <c r="A47" s="288"/>
      <c r="B47" s="288"/>
      <c r="C47" s="284"/>
      <c r="D47" s="225"/>
      <c r="E47" s="254"/>
      <c r="F47" s="254"/>
    </row>
    <row r="48" spans="1:6" ht="12.75" customHeight="1" x14ac:dyDescent="0.25">
      <c r="A48" s="288"/>
      <c r="B48" s="288"/>
      <c r="C48" s="284"/>
      <c r="D48" s="225"/>
      <c r="E48" s="254"/>
      <c r="F48" s="254"/>
    </row>
    <row r="49" spans="1:6" ht="12.75" customHeight="1" x14ac:dyDescent="0.25">
      <c r="A49" s="288"/>
      <c r="B49" s="288"/>
      <c r="C49" s="284"/>
      <c r="D49" s="225"/>
      <c r="E49" s="254"/>
      <c r="F49" s="254"/>
    </row>
    <row r="50" spans="1:6" ht="12.75" customHeight="1" x14ac:dyDescent="0.25">
      <c r="A50" s="288"/>
      <c r="B50" s="288"/>
      <c r="C50" s="284"/>
      <c r="D50" s="225"/>
      <c r="E50" s="254"/>
      <c r="F50" s="254"/>
    </row>
    <row r="51" spans="1:6" ht="12.75" customHeight="1" x14ac:dyDescent="0.25">
      <c r="A51" s="288"/>
      <c r="B51" s="288"/>
      <c r="C51" s="284"/>
      <c r="D51" s="225"/>
      <c r="E51" s="254"/>
      <c r="F51" s="254"/>
    </row>
    <row r="52" spans="1:6" ht="12.75" customHeight="1" x14ac:dyDescent="0.25">
      <c r="A52" s="288"/>
      <c r="B52" s="288"/>
      <c r="C52" s="284"/>
      <c r="D52" s="225"/>
      <c r="E52" s="254"/>
      <c r="F52" s="254"/>
    </row>
    <row r="53" spans="1:6" ht="12.75" customHeight="1" x14ac:dyDescent="0.25">
      <c r="A53" s="288"/>
      <c r="B53" s="288"/>
      <c r="C53" s="284"/>
      <c r="D53" s="225"/>
      <c r="E53" s="254"/>
      <c r="F53" s="254"/>
    </row>
    <row r="54" spans="1:6" ht="12.75" customHeight="1" x14ac:dyDescent="0.25">
      <c r="A54" s="288"/>
      <c r="B54" s="288"/>
      <c r="C54" s="284"/>
      <c r="D54" s="225"/>
      <c r="E54" s="254"/>
      <c r="F54" s="254"/>
    </row>
    <row r="55" spans="1:6" ht="12.75" customHeight="1" x14ac:dyDescent="0.25">
      <c r="A55" s="288"/>
      <c r="B55" s="288"/>
      <c r="C55" s="284"/>
      <c r="D55" s="225"/>
      <c r="E55" s="254"/>
      <c r="F55" s="254"/>
    </row>
    <row r="56" spans="1:6" ht="12.75" customHeight="1" x14ac:dyDescent="0.25">
      <c r="A56" s="288"/>
      <c r="B56" s="288"/>
      <c r="C56" s="284"/>
      <c r="D56" s="225"/>
      <c r="E56" s="254"/>
      <c r="F56" s="254"/>
    </row>
    <row r="57" spans="1:6" ht="12.75" customHeight="1" x14ac:dyDescent="0.25">
      <c r="A57" s="288"/>
      <c r="B57" s="288"/>
      <c r="C57" s="284"/>
      <c r="D57" s="225"/>
      <c r="E57" s="254"/>
      <c r="F57" s="254"/>
    </row>
    <row r="58" spans="1:6" ht="12.75" customHeight="1" x14ac:dyDescent="0.25">
      <c r="A58" s="288"/>
      <c r="B58" s="288"/>
      <c r="C58" s="284"/>
      <c r="D58" s="225"/>
      <c r="E58" s="254"/>
      <c r="F58" s="254"/>
    </row>
    <row r="59" spans="1:6" ht="12.75" customHeight="1" x14ac:dyDescent="0.25">
      <c r="A59" s="288"/>
      <c r="B59" s="288"/>
      <c r="C59" s="284"/>
      <c r="D59" s="225"/>
      <c r="E59" s="254"/>
      <c r="F59" s="254"/>
    </row>
    <row r="60" spans="1:6" ht="12.75" customHeight="1" x14ac:dyDescent="0.25">
      <c r="A60" s="288"/>
      <c r="B60" s="288"/>
      <c r="C60" s="284"/>
      <c r="D60" s="225"/>
      <c r="E60" s="254"/>
      <c r="F60" s="254"/>
    </row>
    <row r="61" spans="1:6" ht="12.75" customHeight="1" x14ac:dyDescent="0.25">
      <c r="A61" s="288"/>
      <c r="B61" s="288"/>
      <c r="C61" s="284"/>
      <c r="D61" s="225"/>
      <c r="E61" s="254"/>
      <c r="F61" s="254"/>
    </row>
    <row r="62" spans="1:6" ht="12.75" customHeight="1" x14ac:dyDescent="0.25">
      <c r="A62" s="288"/>
      <c r="B62" s="288"/>
      <c r="C62" s="284"/>
      <c r="D62" s="225"/>
      <c r="E62" s="254"/>
      <c r="F62" s="254"/>
    </row>
    <row r="63" spans="1:6" ht="12.75" customHeight="1" x14ac:dyDescent="0.25">
      <c r="A63" s="288"/>
      <c r="B63" s="288"/>
      <c r="C63" s="284"/>
      <c r="D63" s="225"/>
      <c r="E63" s="254"/>
      <c r="F63" s="254"/>
    </row>
    <row r="64" spans="1:6" ht="12.75" customHeight="1" x14ac:dyDescent="0.25">
      <c r="A64" s="288"/>
      <c r="B64" s="288"/>
      <c r="C64" s="284"/>
      <c r="D64" s="225"/>
      <c r="E64" s="254"/>
      <c r="F64" s="254"/>
    </row>
    <row r="65" spans="1:6" ht="12.75" customHeight="1" x14ac:dyDescent="0.25">
      <c r="A65" s="288"/>
      <c r="B65" s="288"/>
      <c r="C65" s="284"/>
      <c r="D65" s="225"/>
      <c r="E65" s="254"/>
      <c r="F65" s="254"/>
    </row>
    <row r="66" spans="1:6" ht="12.75" customHeight="1" x14ac:dyDescent="0.25">
      <c r="A66" s="288"/>
      <c r="B66" s="288"/>
      <c r="C66" s="284"/>
      <c r="D66" s="225"/>
      <c r="E66" s="254"/>
      <c r="F66" s="254"/>
    </row>
    <row r="67" spans="1:6" ht="12.75" customHeight="1" x14ac:dyDescent="0.25">
      <c r="A67" s="288"/>
      <c r="B67" s="288"/>
      <c r="C67" s="284"/>
      <c r="D67" s="225"/>
      <c r="E67" s="254"/>
      <c r="F67" s="254"/>
    </row>
    <row r="68" spans="1:6" ht="12.75" customHeight="1" x14ac:dyDescent="0.25">
      <c r="A68" s="288"/>
      <c r="B68" s="288"/>
      <c r="C68" s="284"/>
      <c r="D68" s="225"/>
      <c r="E68" s="254"/>
      <c r="F68" s="254"/>
    </row>
    <row r="69" spans="1:6" ht="12.75" customHeight="1" x14ac:dyDescent="0.25">
      <c r="A69" s="288"/>
      <c r="B69" s="288"/>
      <c r="C69" s="284"/>
      <c r="D69" s="225"/>
      <c r="E69" s="254"/>
      <c r="F69" s="254"/>
    </row>
    <row r="70" spans="1:6" ht="12.75" customHeight="1" x14ac:dyDescent="0.25">
      <c r="A70" s="288"/>
      <c r="B70" s="288"/>
      <c r="C70" s="284"/>
      <c r="D70" s="225"/>
      <c r="E70" s="254"/>
      <c r="F70" s="254"/>
    </row>
    <row r="71" spans="1:6" ht="12.75" customHeight="1" x14ac:dyDescent="0.25">
      <c r="A71" s="288"/>
      <c r="B71" s="288"/>
      <c r="C71" s="284"/>
      <c r="D71" s="225"/>
      <c r="E71" s="254"/>
      <c r="F71" s="254"/>
    </row>
    <row r="72" spans="1:6" ht="12.75" customHeight="1" x14ac:dyDescent="0.25">
      <c r="A72" s="288"/>
      <c r="B72" s="288"/>
      <c r="C72" s="284"/>
      <c r="D72" s="225"/>
      <c r="E72" s="254"/>
      <c r="F72" s="254"/>
    </row>
    <row r="73" spans="1:6" ht="12.75" customHeight="1" x14ac:dyDescent="0.25">
      <c r="A73" s="288"/>
      <c r="B73" s="288"/>
      <c r="C73" s="284"/>
      <c r="D73" s="225"/>
      <c r="E73" s="254"/>
      <c r="F73" s="254"/>
    </row>
    <row r="74" spans="1:6" ht="12.75" customHeight="1" x14ac:dyDescent="0.25">
      <c r="A74" s="288"/>
      <c r="B74" s="288"/>
      <c r="C74" s="284"/>
      <c r="D74" s="225"/>
      <c r="E74" s="254"/>
      <c r="F74" s="254"/>
    </row>
    <row r="75" spans="1:6" ht="12.75" customHeight="1" x14ac:dyDescent="0.25">
      <c r="A75" s="288"/>
      <c r="B75" s="288"/>
      <c r="C75" s="284"/>
      <c r="D75" s="225"/>
      <c r="E75" s="254"/>
      <c r="F75" s="254"/>
    </row>
    <row r="76" spans="1:6" ht="12.75" customHeight="1" x14ac:dyDescent="0.25">
      <c r="A76" s="288"/>
      <c r="B76" s="288"/>
      <c r="C76" s="284"/>
      <c r="D76" s="225"/>
      <c r="E76" s="254"/>
      <c r="F76" s="254"/>
    </row>
    <row r="77" spans="1:6" ht="12.75" customHeight="1" x14ac:dyDescent="0.25">
      <c r="A77" s="288"/>
      <c r="B77" s="288"/>
      <c r="C77" s="284"/>
      <c r="D77" s="225"/>
      <c r="E77" s="254"/>
      <c r="F77" s="254"/>
    </row>
    <row r="78" spans="1:6" ht="12.75" customHeight="1" x14ac:dyDescent="0.25">
      <c r="A78" s="288"/>
      <c r="B78" s="288"/>
      <c r="C78" s="284"/>
      <c r="D78" s="225"/>
      <c r="E78" s="254"/>
      <c r="F78" s="254"/>
    </row>
    <row r="79" spans="1:6" ht="12.75" customHeight="1" x14ac:dyDescent="0.25">
      <c r="A79" s="288"/>
      <c r="B79" s="288"/>
      <c r="C79" s="284"/>
      <c r="D79" s="225"/>
      <c r="E79" s="254"/>
      <c r="F79" s="254"/>
    </row>
    <row r="80" spans="1:6" ht="12.75" customHeight="1" x14ac:dyDescent="0.25">
      <c r="A80" s="288"/>
      <c r="B80" s="288"/>
      <c r="C80" s="284"/>
      <c r="D80" s="225"/>
      <c r="E80" s="254"/>
      <c r="F80" s="254"/>
    </row>
    <row r="81" spans="1:6" ht="12.75" customHeight="1" x14ac:dyDescent="0.25">
      <c r="A81" s="288"/>
      <c r="B81" s="288"/>
      <c r="C81" s="284"/>
      <c r="D81" s="225"/>
      <c r="E81" s="254"/>
      <c r="F81" s="254"/>
    </row>
    <row r="82" spans="1:6" ht="12.75" customHeight="1" x14ac:dyDescent="0.25">
      <c r="A82" s="288"/>
      <c r="B82" s="288"/>
      <c r="C82" s="284"/>
      <c r="D82" s="225"/>
      <c r="E82" s="254"/>
      <c r="F82" s="254"/>
    </row>
    <row r="83" spans="1:6" ht="12.75" customHeight="1" x14ac:dyDescent="0.25">
      <c r="A83" s="288"/>
      <c r="B83" s="288"/>
      <c r="C83" s="284"/>
      <c r="D83" s="225"/>
      <c r="E83" s="254"/>
      <c r="F83" s="254"/>
    </row>
    <row r="84" spans="1:6" ht="12.75" customHeight="1" x14ac:dyDescent="0.25">
      <c r="A84" s="288"/>
      <c r="B84" s="288"/>
      <c r="C84" s="284"/>
      <c r="D84" s="225"/>
      <c r="E84" s="254"/>
      <c r="F84" s="254"/>
    </row>
    <row r="85" spans="1:6" ht="12.75" customHeight="1" x14ac:dyDescent="0.25">
      <c r="A85" s="288"/>
      <c r="B85" s="288"/>
      <c r="C85" s="284"/>
      <c r="D85" s="225"/>
      <c r="E85" s="254"/>
      <c r="F85" s="254"/>
    </row>
    <row r="86" spans="1:6" ht="12.75" customHeight="1" x14ac:dyDescent="0.25">
      <c r="A86" s="288"/>
      <c r="B86" s="288"/>
      <c r="C86" s="284"/>
      <c r="D86" s="225"/>
      <c r="E86" s="254"/>
      <c r="F86" s="254"/>
    </row>
    <row r="87" spans="1:6" ht="12.75" customHeight="1" x14ac:dyDescent="0.25">
      <c r="A87" s="288"/>
      <c r="B87" s="288"/>
      <c r="C87" s="284"/>
      <c r="D87" s="225"/>
      <c r="E87" s="254"/>
      <c r="F87" s="254"/>
    </row>
    <row r="88" spans="1:6" ht="12.75" customHeight="1" x14ac:dyDescent="0.25">
      <c r="A88" s="288"/>
      <c r="B88" s="288"/>
      <c r="C88" s="284"/>
      <c r="D88" s="225"/>
      <c r="E88" s="254"/>
      <c r="F88" s="254"/>
    </row>
    <row r="89" spans="1:6" ht="12.75" customHeight="1" x14ac:dyDescent="0.25">
      <c r="A89" s="288"/>
      <c r="B89" s="288"/>
      <c r="C89" s="284"/>
      <c r="D89" s="225"/>
      <c r="E89" s="254"/>
      <c r="F89" s="254"/>
    </row>
    <row r="90" spans="1:6" ht="12.75" customHeight="1" x14ac:dyDescent="0.25">
      <c r="A90" s="288"/>
      <c r="B90" s="288"/>
      <c r="C90" s="284"/>
      <c r="D90" s="225"/>
      <c r="E90" s="254"/>
      <c r="F90" s="254"/>
    </row>
    <row r="91" spans="1:6" ht="12.75" customHeight="1" x14ac:dyDescent="0.25">
      <c r="A91" s="288"/>
      <c r="B91" s="288"/>
      <c r="C91" s="284"/>
      <c r="D91" s="225"/>
      <c r="E91" s="254"/>
      <c r="F91" s="254"/>
    </row>
    <row r="92" spans="1:6" ht="12.75" customHeight="1" x14ac:dyDescent="0.25">
      <c r="A92" s="288"/>
      <c r="B92" s="288"/>
      <c r="C92" s="284"/>
      <c r="D92" s="225"/>
      <c r="E92" s="254"/>
      <c r="F92" s="254"/>
    </row>
    <row r="93" spans="1:6" ht="12.75" customHeight="1" x14ac:dyDescent="0.25">
      <c r="A93" s="288"/>
      <c r="B93" s="288"/>
      <c r="C93" s="284"/>
      <c r="D93" s="225"/>
      <c r="E93" s="254"/>
      <c r="F93" s="254"/>
    </row>
    <row r="94" spans="1:6" ht="12.75" customHeight="1" x14ac:dyDescent="0.25">
      <c r="A94" s="288"/>
      <c r="B94" s="288"/>
      <c r="C94" s="284"/>
      <c r="D94" s="225"/>
      <c r="E94" s="254"/>
      <c r="F94" s="254"/>
    </row>
    <row r="95" spans="1:6" ht="12.75" customHeight="1" x14ac:dyDescent="0.25">
      <c r="A95" s="288"/>
      <c r="B95" s="288"/>
      <c r="C95" s="284"/>
      <c r="D95" s="225"/>
      <c r="E95" s="254"/>
      <c r="F95" s="254"/>
    </row>
    <row r="96" spans="1:6" ht="12.75" customHeight="1" x14ac:dyDescent="0.25">
      <c r="A96" s="288"/>
      <c r="B96" s="288"/>
      <c r="C96" s="284"/>
      <c r="D96" s="225"/>
      <c r="E96" s="254"/>
      <c r="F96" s="254"/>
    </row>
    <row r="97" spans="1:6" ht="12.75" customHeight="1" x14ac:dyDescent="0.25">
      <c r="A97" s="288"/>
      <c r="B97" s="288"/>
      <c r="C97" s="284"/>
      <c r="D97" s="225"/>
      <c r="E97" s="254"/>
      <c r="F97" s="254"/>
    </row>
    <row r="98" spans="1:6" ht="12.75" customHeight="1" x14ac:dyDescent="0.25">
      <c r="A98" s="288"/>
      <c r="B98" s="288"/>
      <c r="C98" s="284"/>
      <c r="D98" s="225"/>
      <c r="E98" s="254"/>
      <c r="F98" s="254"/>
    </row>
    <row r="99" spans="1:6" ht="12.75" customHeight="1" x14ac:dyDescent="0.25">
      <c r="A99" s="288"/>
      <c r="B99" s="288"/>
      <c r="C99" s="284"/>
      <c r="D99" s="225"/>
      <c r="E99" s="254"/>
      <c r="F99" s="254"/>
    </row>
    <row r="100" spans="1:6" ht="12.75" customHeight="1" x14ac:dyDescent="0.25">
      <c r="A100" s="288"/>
      <c r="B100" s="288"/>
      <c r="C100" s="284"/>
      <c r="D100" s="225"/>
      <c r="E100" s="254"/>
      <c r="F100" s="254"/>
    </row>
    <row r="101" spans="1:6" ht="12.75" customHeight="1" x14ac:dyDescent="0.25">
      <c r="A101" s="288"/>
      <c r="B101" s="288"/>
      <c r="C101" s="284"/>
      <c r="D101" s="225"/>
      <c r="E101" s="254"/>
      <c r="F101" s="254"/>
    </row>
    <row r="102" spans="1:6" ht="12.75" customHeight="1" x14ac:dyDescent="0.25">
      <c r="A102" s="288"/>
      <c r="B102" s="288"/>
      <c r="C102" s="284"/>
      <c r="D102" s="225"/>
      <c r="E102" s="254"/>
      <c r="F102" s="254"/>
    </row>
    <row r="103" spans="1:6" ht="12.75" customHeight="1" x14ac:dyDescent="0.25">
      <c r="A103" s="288"/>
      <c r="B103" s="288"/>
      <c r="C103" s="284"/>
      <c r="D103" s="225"/>
      <c r="E103" s="254"/>
      <c r="F103" s="254"/>
    </row>
    <row r="104" spans="1:6" ht="12.75" customHeight="1" x14ac:dyDescent="0.25">
      <c r="A104" s="288"/>
      <c r="B104" s="288"/>
      <c r="C104" s="284"/>
      <c r="D104" s="225"/>
      <c r="E104" s="254"/>
      <c r="F104" s="254"/>
    </row>
    <row r="105" spans="1:6" ht="12.75" customHeight="1" x14ac:dyDescent="0.25">
      <c r="A105" s="288"/>
      <c r="B105" s="288"/>
      <c r="C105" s="284"/>
      <c r="D105" s="225"/>
      <c r="E105" s="254"/>
      <c r="F105" s="254"/>
    </row>
    <row r="106" spans="1:6" ht="12.75" customHeight="1" x14ac:dyDescent="0.25">
      <c r="A106" s="288"/>
      <c r="B106" s="288"/>
      <c r="C106" s="284"/>
      <c r="D106" s="225"/>
      <c r="E106" s="254"/>
      <c r="F106" s="254"/>
    </row>
    <row r="107" spans="1:6" ht="12.75" customHeight="1" x14ac:dyDescent="0.25">
      <c r="A107" s="288"/>
      <c r="B107" s="288"/>
      <c r="C107" s="284"/>
      <c r="D107" s="225"/>
      <c r="E107" s="254"/>
      <c r="F107" s="254"/>
    </row>
    <row r="108" spans="1:6" ht="12.75" customHeight="1" x14ac:dyDescent="0.25">
      <c r="A108" s="288"/>
      <c r="B108" s="288"/>
      <c r="C108" s="284"/>
      <c r="D108" s="225"/>
      <c r="E108" s="254"/>
      <c r="F108" s="254"/>
    </row>
    <row r="109" spans="1:6" ht="12.75" customHeight="1" x14ac:dyDescent="0.25">
      <c r="A109" s="288"/>
      <c r="B109" s="288"/>
      <c r="C109" s="284"/>
      <c r="D109" s="225"/>
      <c r="E109" s="254"/>
      <c r="F109" s="254"/>
    </row>
    <row r="110" spans="1:6" ht="12.75" customHeight="1" x14ac:dyDescent="0.25">
      <c r="A110" s="288"/>
      <c r="B110" s="288"/>
      <c r="C110" s="284"/>
      <c r="D110" s="225"/>
      <c r="E110" s="254"/>
      <c r="F110" s="254"/>
    </row>
    <row r="111" spans="1:6" ht="12.75" customHeight="1" x14ac:dyDescent="0.25">
      <c r="A111" s="288"/>
      <c r="B111" s="288"/>
      <c r="C111" s="284"/>
      <c r="D111" s="225"/>
      <c r="E111" s="254"/>
      <c r="F111" s="254"/>
    </row>
    <row r="112" spans="1:6" ht="12.75" customHeight="1" x14ac:dyDescent="0.25">
      <c r="A112" s="288"/>
      <c r="B112" s="288"/>
      <c r="C112" s="284"/>
      <c r="D112" s="225"/>
      <c r="E112" s="254"/>
      <c r="F112" s="254"/>
    </row>
    <row r="113" spans="1:6" ht="12.75" customHeight="1" x14ac:dyDescent="0.25">
      <c r="A113" s="288"/>
      <c r="B113" s="288"/>
      <c r="C113" s="284"/>
      <c r="D113" s="225"/>
      <c r="E113" s="254"/>
      <c r="F113" s="254"/>
    </row>
    <row r="114" spans="1:6" ht="12.75" customHeight="1" x14ac:dyDescent="0.25">
      <c r="A114" s="288"/>
      <c r="B114" s="288"/>
      <c r="C114" s="284"/>
      <c r="D114" s="225"/>
      <c r="E114" s="254"/>
      <c r="F114" s="254"/>
    </row>
    <row r="115" spans="1:6" ht="12.75" customHeight="1" x14ac:dyDescent="0.25">
      <c r="A115" s="288"/>
      <c r="B115" s="288"/>
      <c r="C115" s="284"/>
      <c r="D115" s="225"/>
      <c r="E115" s="254"/>
      <c r="F115" s="254"/>
    </row>
    <row r="116" spans="1:6" ht="12.75" customHeight="1" x14ac:dyDescent="0.25">
      <c r="A116" s="288"/>
      <c r="B116" s="288"/>
      <c r="C116" s="284"/>
      <c r="D116" s="225"/>
      <c r="E116" s="254"/>
      <c r="F116" s="254"/>
    </row>
    <row r="117" spans="1:6" ht="12.75" customHeight="1" x14ac:dyDescent="0.25">
      <c r="A117" s="288"/>
      <c r="B117" s="288"/>
      <c r="C117" s="284"/>
      <c r="D117" s="225"/>
      <c r="E117" s="254"/>
      <c r="F117" s="254"/>
    </row>
    <row r="118" spans="1:6" ht="12.75" customHeight="1" x14ac:dyDescent="0.25">
      <c r="A118" s="288"/>
      <c r="B118" s="288"/>
      <c r="C118" s="284"/>
      <c r="D118" s="225"/>
      <c r="E118" s="254"/>
      <c r="F118" s="254"/>
    </row>
    <row r="119" spans="1:6" ht="12.75" customHeight="1" x14ac:dyDescent="0.25">
      <c r="A119" s="288"/>
      <c r="B119" s="288"/>
      <c r="C119" s="284"/>
      <c r="D119" s="225"/>
      <c r="E119" s="254"/>
      <c r="F119" s="254"/>
    </row>
    <row r="120" spans="1:6" ht="12.75" customHeight="1" x14ac:dyDescent="0.25">
      <c r="A120" s="288"/>
      <c r="B120" s="288"/>
      <c r="C120" s="284"/>
      <c r="D120" s="225"/>
      <c r="E120" s="254"/>
      <c r="F120" s="254"/>
    </row>
    <row r="121" spans="1:6" ht="12.75" customHeight="1" x14ac:dyDescent="0.25">
      <c r="A121" s="288"/>
      <c r="B121" s="288"/>
      <c r="C121" s="284"/>
      <c r="D121" s="225"/>
      <c r="E121" s="254"/>
      <c r="F121" s="254"/>
    </row>
    <row r="122" spans="1:6" ht="12.75" customHeight="1" x14ac:dyDescent="0.25">
      <c r="A122" s="288"/>
      <c r="B122" s="288"/>
      <c r="C122" s="284"/>
      <c r="D122" s="225"/>
      <c r="E122" s="254"/>
      <c r="F122" s="254"/>
    </row>
    <row r="123" spans="1:6" ht="12.75" customHeight="1" x14ac:dyDescent="0.25">
      <c r="A123" s="288"/>
      <c r="B123" s="288"/>
      <c r="C123" s="284"/>
      <c r="D123" s="225"/>
      <c r="E123" s="254"/>
      <c r="F123" s="254"/>
    </row>
    <row r="124" spans="1:6" ht="12.75" customHeight="1" x14ac:dyDescent="0.25">
      <c r="A124" s="288"/>
      <c r="B124" s="288"/>
      <c r="C124" s="284"/>
      <c r="D124" s="225"/>
      <c r="E124" s="254"/>
      <c r="F124" s="254"/>
    </row>
    <row r="125" spans="1:6" ht="12.75" customHeight="1" x14ac:dyDescent="0.25">
      <c r="A125" s="288"/>
      <c r="B125" s="288"/>
      <c r="C125" s="284"/>
      <c r="D125" s="225"/>
      <c r="E125" s="254"/>
      <c r="F125" s="254"/>
    </row>
    <row r="126" spans="1:6" ht="12.75" customHeight="1" x14ac:dyDescent="0.25">
      <c r="A126" s="288"/>
      <c r="B126" s="288"/>
      <c r="C126" s="284"/>
      <c r="D126" s="225"/>
      <c r="E126" s="254"/>
      <c r="F126" s="254"/>
    </row>
    <row r="127" spans="1:6" ht="12.75" customHeight="1" x14ac:dyDescent="0.25">
      <c r="A127" s="288"/>
      <c r="B127" s="288"/>
      <c r="C127" s="284"/>
      <c r="D127" s="225"/>
      <c r="E127" s="254"/>
      <c r="F127" s="254"/>
    </row>
    <row r="128" spans="1:6" ht="12.75" customHeight="1" x14ac:dyDescent="0.25">
      <c r="A128" s="288"/>
      <c r="B128" s="288"/>
      <c r="C128" s="284"/>
      <c r="D128" s="225"/>
      <c r="E128" s="254"/>
      <c r="F128" s="254"/>
    </row>
    <row r="129" spans="1:6" ht="12.75" customHeight="1" x14ac:dyDescent="0.25">
      <c r="A129" s="288"/>
      <c r="B129" s="288"/>
      <c r="C129" s="284"/>
      <c r="D129" s="225"/>
      <c r="E129" s="254"/>
      <c r="F129" s="254"/>
    </row>
    <row r="130" spans="1:6" ht="12.75" customHeight="1" x14ac:dyDescent="0.25">
      <c r="A130" s="288"/>
      <c r="B130" s="288"/>
      <c r="C130" s="284"/>
      <c r="D130" s="225"/>
      <c r="E130" s="254"/>
      <c r="F130" s="254"/>
    </row>
    <row r="131" spans="1:6" ht="12.75" customHeight="1" x14ac:dyDescent="0.25">
      <c r="A131" s="288"/>
      <c r="B131" s="288"/>
      <c r="C131" s="284"/>
      <c r="D131" s="225"/>
      <c r="E131" s="254"/>
      <c r="F131" s="254"/>
    </row>
    <row r="132" spans="1:6" ht="12.75" customHeight="1" x14ac:dyDescent="0.25">
      <c r="A132" s="288"/>
      <c r="B132" s="288"/>
      <c r="C132" s="284"/>
      <c r="D132" s="225"/>
      <c r="E132" s="254"/>
      <c r="F132" s="254"/>
    </row>
    <row r="133" spans="1:6" ht="12.75" customHeight="1" x14ac:dyDescent="0.25">
      <c r="A133" s="288"/>
      <c r="B133" s="288"/>
      <c r="C133" s="284"/>
      <c r="D133" s="225"/>
      <c r="E133" s="254"/>
      <c r="F133" s="254"/>
    </row>
    <row r="134" spans="1:6" ht="12.75" customHeight="1" x14ac:dyDescent="0.25">
      <c r="A134" s="288"/>
      <c r="B134" s="288"/>
      <c r="C134" s="284"/>
      <c r="D134" s="225"/>
      <c r="E134" s="254"/>
      <c r="F134" s="254"/>
    </row>
    <row r="135" spans="1:6" ht="12.75" customHeight="1" x14ac:dyDescent="0.25">
      <c r="A135" s="288"/>
      <c r="B135" s="288"/>
      <c r="C135" s="284"/>
      <c r="D135" s="225"/>
      <c r="E135" s="254"/>
      <c r="F135" s="254"/>
    </row>
    <row r="136" spans="1:6" ht="12.75" customHeight="1" x14ac:dyDescent="0.25">
      <c r="A136" s="288"/>
      <c r="B136" s="288"/>
      <c r="C136" s="284"/>
      <c r="D136" s="225"/>
      <c r="E136" s="254"/>
      <c r="F136" s="254"/>
    </row>
    <row r="137" spans="1:6" ht="12.75" customHeight="1" x14ac:dyDescent="0.25">
      <c r="A137" s="288"/>
      <c r="B137" s="288"/>
      <c r="C137" s="284"/>
      <c r="D137" s="225"/>
      <c r="E137" s="254"/>
      <c r="F137" s="254"/>
    </row>
    <row r="138" spans="1:6" ht="12.75" customHeight="1" x14ac:dyDescent="0.25">
      <c r="A138" s="288"/>
      <c r="B138" s="288"/>
      <c r="C138" s="284"/>
      <c r="D138" s="225"/>
      <c r="E138" s="254"/>
      <c r="F138" s="254"/>
    </row>
    <row r="139" spans="1:6" ht="12.75" customHeight="1" x14ac:dyDescent="0.25">
      <c r="A139" s="288"/>
      <c r="B139" s="288"/>
      <c r="C139" s="284"/>
      <c r="D139" s="225"/>
      <c r="E139" s="254"/>
      <c r="F139" s="254"/>
    </row>
    <row r="140" spans="1:6" ht="12.75" customHeight="1" x14ac:dyDescent="0.25">
      <c r="A140" s="288"/>
      <c r="B140" s="288"/>
      <c r="C140" s="284"/>
      <c r="D140" s="225"/>
      <c r="E140" s="254"/>
      <c r="F140" s="254"/>
    </row>
    <row r="141" spans="1:6" ht="12.75" customHeight="1" x14ac:dyDescent="0.25">
      <c r="A141" s="288"/>
      <c r="B141" s="288"/>
      <c r="C141" s="284"/>
      <c r="D141" s="225"/>
      <c r="E141" s="254"/>
      <c r="F141" s="254"/>
    </row>
    <row r="142" spans="1:6" ht="12.75" customHeight="1" x14ac:dyDescent="0.25">
      <c r="A142" s="288"/>
      <c r="B142" s="288"/>
      <c r="C142" s="284"/>
      <c r="D142" s="225"/>
      <c r="E142" s="254"/>
      <c r="F142" s="254"/>
    </row>
    <row r="143" spans="1:6" ht="12.75" customHeight="1" x14ac:dyDescent="0.25">
      <c r="A143" s="288"/>
      <c r="B143" s="288"/>
      <c r="C143" s="284"/>
      <c r="D143" s="225"/>
      <c r="E143" s="254"/>
      <c r="F143" s="254"/>
    </row>
    <row r="144" spans="1:6" ht="12.75" customHeight="1" x14ac:dyDescent="0.25">
      <c r="A144" s="288"/>
      <c r="B144" s="288"/>
      <c r="C144" s="284"/>
      <c r="D144" s="225"/>
      <c r="E144" s="254"/>
      <c r="F144" s="254"/>
    </row>
    <row r="145" spans="1:6" ht="12.75" customHeight="1" x14ac:dyDescent="0.25">
      <c r="A145" s="288"/>
      <c r="B145" s="288"/>
      <c r="C145" s="284"/>
      <c r="D145" s="225"/>
      <c r="E145" s="254"/>
      <c r="F145" s="254"/>
    </row>
    <row r="146" spans="1:6" ht="12.75" customHeight="1" x14ac:dyDescent="0.25">
      <c r="A146" s="288"/>
      <c r="B146" s="288"/>
      <c r="C146" s="284"/>
      <c r="D146" s="225"/>
      <c r="E146" s="254"/>
      <c r="F146" s="254"/>
    </row>
    <row r="147" spans="1:6" ht="12.75" customHeight="1" x14ac:dyDescent="0.25">
      <c r="A147" s="288"/>
      <c r="B147" s="288"/>
      <c r="C147" s="284"/>
      <c r="D147" s="225"/>
      <c r="E147" s="254"/>
      <c r="F147" s="254"/>
    </row>
    <row r="148" spans="1:6" ht="12.75" customHeight="1" x14ac:dyDescent="0.25">
      <c r="A148" s="288"/>
      <c r="B148" s="288"/>
      <c r="C148" s="284"/>
      <c r="D148" s="225"/>
      <c r="E148" s="254"/>
      <c r="F148" s="254"/>
    </row>
    <row r="149" spans="1:6" ht="12.75" customHeight="1" x14ac:dyDescent="0.25">
      <c r="A149" s="288"/>
      <c r="B149" s="288"/>
      <c r="C149" s="284"/>
      <c r="D149" s="225"/>
      <c r="E149" s="254"/>
      <c r="F149" s="254"/>
    </row>
    <row r="150" spans="1:6" ht="12.75" customHeight="1" x14ac:dyDescent="0.25">
      <c r="A150" s="288"/>
      <c r="B150" s="288"/>
      <c r="C150" s="284"/>
      <c r="D150" s="225"/>
      <c r="E150" s="254"/>
      <c r="F150" s="254"/>
    </row>
    <row r="151" spans="1:6" ht="12.75" customHeight="1" x14ac:dyDescent="0.25">
      <c r="A151" s="288"/>
      <c r="B151" s="288"/>
      <c r="C151" s="284"/>
      <c r="D151" s="225"/>
      <c r="E151" s="254"/>
      <c r="F151" s="254"/>
    </row>
    <row r="152" spans="1:6" ht="12.75" customHeight="1" x14ac:dyDescent="0.25">
      <c r="A152" s="288"/>
      <c r="B152" s="288"/>
      <c r="C152" s="284"/>
      <c r="D152" s="225"/>
      <c r="E152" s="254"/>
      <c r="F152" s="254"/>
    </row>
    <row r="153" spans="1:6" ht="12.75" customHeight="1" x14ac:dyDescent="0.25">
      <c r="A153" s="288"/>
      <c r="B153" s="288"/>
      <c r="C153" s="284"/>
      <c r="D153" s="225"/>
      <c r="E153" s="254"/>
      <c r="F153" s="254"/>
    </row>
    <row r="154" spans="1:6" ht="12.75" customHeight="1" x14ac:dyDescent="0.25">
      <c r="A154" s="288"/>
      <c r="B154" s="288"/>
      <c r="C154" s="284"/>
      <c r="D154" s="225"/>
      <c r="E154" s="254"/>
      <c r="F154" s="254"/>
    </row>
    <row r="155" spans="1:6" ht="12.75" customHeight="1" x14ac:dyDescent="0.25">
      <c r="A155" s="288"/>
      <c r="B155" s="288"/>
      <c r="C155" s="284"/>
      <c r="D155" s="225"/>
      <c r="E155" s="254"/>
      <c r="F155" s="254"/>
    </row>
    <row r="156" spans="1:6" ht="12.75" customHeight="1" x14ac:dyDescent="0.25">
      <c r="A156" s="288"/>
      <c r="B156" s="288"/>
      <c r="C156" s="284"/>
      <c r="D156" s="225"/>
      <c r="E156" s="254"/>
      <c r="F156" s="254"/>
    </row>
    <row r="157" spans="1:6" ht="12.75" customHeight="1" x14ac:dyDescent="0.25">
      <c r="A157" s="288"/>
      <c r="B157" s="288"/>
      <c r="C157" s="284"/>
      <c r="D157" s="225"/>
      <c r="E157" s="254"/>
      <c r="F157" s="254"/>
    </row>
    <row r="158" spans="1:6" ht="12.75" customHeight="1" x14ac:dyDescent="0.25">
      <c r="A158" s="288"/>
      <c r="B158" s="288"/>
      <c r="C158" s="284"/>
      <c r="D158" s="225"/>
      <c r="E158" s="254"/>
      <c r="F158" s="254"/>
    </row>
    <row r="159" spans="1:6" ht="12.75" customHeight="1" x14ac:dyDescent="0.25">
      <c r="A159" s="288"/>
      <c r="B159" s="288"/>
      <c r="C159" s="284"/>
      <c r="D159" s="225"/>
      <c r="E159" s="254"/>
      <c r="F159" s="254"/>
    </row>
    <row r="160" spans="1:6" ht="12.75" customHeight="1" x14ac:dyDescent="0.25">
      <c r="A160" s="288"/>
      <c r="B160" s="288"/>
      <c r="C160" s="284"/>
      <c r="D160" s="225"/>
      <c r="E160" s="254"/>
      <c r="F160" s="254"/>
    </row>
    <row r="161" spans="1:6" ht="12.75" customHeight="1" x14ac:dyDescent="0.25">
      <c r="A161" s="288"/>
      <c r="B161" s="288"/>
      <c r="C161" s="284"/>
      <c r="D161" s="225"/>
      <c r="E161" s="254"/>
      <c r="F161" s="254"/>
    </row>
    <row r="162" spans="1:6" ht="12.75" customHeight="1" x14ac:dyDescent="0.25">
      <c r="A162" s="288"/>
      <c r="B162" s="288"/>
      <c r="C162" s="284"/>
      <c r="D162" s="225"/>
      <c r="E162" s="254"/>
      <c r="F162" s="254"/>
    </row>
    <row r="163" spans="1:6" ht="12.75" customHeight="1" x14ac:dyDescent="0.25">
      <c r="A163" s="288"/>
      <c r="B163" s="288"/>
      <c r="C163" s="284"/>
      <c r="D163" s="225"/>
      <c r="E163" s="254"/>
      <c r="F163" s="254"/>
    </row>
    <row r="164" spans="1:6" ht="12.75" customHeight="1" x14ac:dyDescent="0.25">
      <c r="A164" s="288"/>
      <c r="B164" s="288"/>
      <c r="C164" s="284"/>
      <c r="D164" s="225"/>
      <c r="E164" s="254"/>
      <c r="F164" s="254"/>
    </row>
    <row r="165" spans="1:6" ht="12.75" customHeight="1" x14ac:dyDescent="0.25">
      <c r="A165" s="288"/>
      <c r="B165" s="288"/>
      <c r="C165" s="284"/>
      <c r="D165" s="225"/>
      <c r="E165" s="254"/>
      <c r="F165" s="254"/>
    </row>
    <row r="166" spans="1:6" ht="12.75" customHeight="1" x14ac:dyDescent="0.25">
      <c r="A166" s="288"/>
      <c r="B166" s="288"/>
      <c r="C166" s="284"/>
      <c r="D166" s="225"/>
      <c r="E166" s="254"/>
      <c r="F166" s="254"/>
    </row>
    <row r="167" spans="1:6" ht="12.75" customHeight="1" x14ac:dyDescent="0.25">
      <c r="A167" s="288"/>
      <c r="B167" s="288"/>
      <c r="C167" s="284"/>
      <c r="D167" s="225"/>
      <c r="E167" s="254"/>
      <c r="F167" s="254"/>
    </row>
    <row r="168" spans="1:6" ht="12.75" customHeight="1" x14ac:dyDescent="0.25">
      <c r="A168" s="288"/>
      <c r="B168" s="288"/>
      <c r="C168" s="284"/>
      <c r="D168" s="225"/>
      <c r="E168" s="254"/>
      <c r="F168" s="254"/>
    </row>
    <row r="169" spans="1:6" ht="12.75" customHeight="1" x14ac:dyDescent="0.25">
      <c r="A169" s="288"/>
      <c r="B169" s="288"/>
      <c r="C169" s="284"/>
      <c r="D169" s="225"/>
      <c r="E169" s="254"/>
      <c r="F169" s="254"/>
    </row>
    <row r="170" spans="1:6" ht="12.75" customHeight="1" x14ac:dyDescent="0.25">
      <c r="A170" s="288"/>
      <c r="B170" s="288"/>
      <c r="C170" s="284"/>
      <c r="D170" s="225"/>
      <c r="E170" s="254"/>
      <c r="F170" s="254"/>
    </row>
    <row r="171" spans="1:6" ht="12.75" customHeight="1" x14ac:dyDescent="0.25">
      <c r="A171" s="288"/>
      <c r="B171" s="288"/>
      <c r="C171" s="284"/>
      <c r="D171" s="225"/>
      <c r="E171" s="254"/>
      <c r="F171" s="254"/>
    </row>
    <row r="172" spans="1:6" ht="12.75" customHeight="1" x14ac:dyDescent="0.25">
      <c r="A172" s="288"/>
      <c r="B172" s="288"/>
      <c r="C172" s="284"/>
      <c r="D172" s="225"/>
      <c r="E172" s="254"/>
      <c r="F172" s="254"/>
    </row>
    <row r="173" spans="1:6" ht="12.75" customHeight="1" x14ac:dyDescent="0.25">
      <c r="A173" s="288"/>
      <c r="B173" s="288"/>
      <c r="C173" s="284"/>
      <c r="D173" s="225"/>
      <c r="E173" s="254"/>
      <c r="F173" s="254"/>
    </row>
    <row r="174" spans="1:6" ht="12.75" customHeight="1" x14ac:dyDescent="0.25">
      <c r="A174" s="288"/>
      <c r="B174" s="288"/>
      <c r="C174" s="284"/>
      <c r="D174" s="225"/>
      <c r="E174" s="254"/>
      <c r="F174" s="254"/>
    </row>
    <row r="175" spans="1:6" ht="12.75" customHeight="1" x14ac:dyDescent="0.25">
      <c r="A175" s="288"/>
      <c r="B175" s="288"/>
      <c r="C175" s="284"/>
      <c r="D175" s="225"/>
      <c r="E175" s="254"/>
      <c r="F175" s="254"/>
    </row>
    <row r="176" spans="1:6" ht="12.75" customHeight="1" x14ac:dyDescent="0.25">
      <c r="A176" s="288"/>
      <c r="B176" s="288"/>
      <c r="C176" s="284"/>
      <c r="D176" s="225"/>
      <c r="E176" s="254"/>
      <c r="F176" s="254"/>
    </row>
    <row r="177" spans="1:6" ht="12.75" customHeight="1" x14ac:dyDescent="0.25">
      <c r="A177" s="288"/>
      <c r="B177" s="288"/>
      <c r="C177" s="284"/>
      <c r="D177" s="225"/>
      <c r="E177" s="254"/>
      <c r="F177" s="254"/>
    </row>
    <row r="178" spans="1:6" ht="12.75" customHeight="1" x14ac:dyDescent="0.25">
      <c r="A178" s="288"/>
      <c r="B178" s="288"/>
      <c r="C178" s="284"/>
      <c r="D178" s="225"/>
      <c r="E178" s="254"/>
      <c r="F178" s="254"/>
    </row>
    <row r="179" spans="1:6" ht="12.75" customHeight="1" x14ac:dyDescent="0.25">
      <c r="A179" s="288"/>
      <c r="B179" s="288"/>
      <c r="C179" s="284"/>
      <c r="D179" s="225"/>
      <c r="E179" s="254"/>
      <c r="F179" s="254"/>
    </row>
    <row r="180" spans="1:6" ht="12.75" customHeight="1" x14ac:dyDescent="0.25">
      <c r="A180" s="288"/>
      <c r="B180" s="288"/>
      <c r="C180" s="284"/>
      <c r="D180" s="225"/>
      <c r="E180" s="254"/>
      <c r="F180" s="254"/>
    </row>
    <row r="181" spans="1:6" ht="12.75" customHeight="1" x14ac:dyDescent="0.25">
      <c r="A181" s="288"/>
      <c r="B181" s="288"/>
      <c r="C181" s="284"/>
      <c r="D181" s="225"/>
      <c r="E181" s="254"/>
      <c r="F181" s="254"/>
    </row>
    <row r="182" spans="1:6" ht="12.75" customHeight="1" x14ac:dyDescent="0.25">
      <c r="A182" s="288"/>
      <c r="B182" s="288"/>
      <c r="C182" s="284"/>
      <c r="D182" s="225"/>
      <c r="E182" s="254"/>
      <c r="F182" s="254"/>
    </row>
    <row r="183" spans="1:6" ht="12.75" customHeight="1" x14ac:dyDescent="0.25">
      <c r="A183" s="288"/>
      <c r="B183" s="288"/>
      <c r="C183" s="284"/>
      <c r="D183" s="225"/>
      <c r="E183" s="254"/>
      <c r="F183" s="254"/>
    </row>
    <row r="184" spans="1:6" ht="12.75" customHeight="1" x14ac:dyDescent="0.25">
      <c r="A184" s="288"/>
      <c r="B184" s="288"/>
      <c r="C184" s="284"/>
      <c r="D184" s="225"/>
      <c r="E184" s="254"/>
      <c r="F184" s="254"/>
    </row>
    <row r="185" spans="1:6" ht="12.75" customHeight="1" x14ac:dyDescent="0.25">
      <c r="A185" s="288"/>
      <c r="B185" s="288"/>
      <c r="C185" s="284"/>
      <c r="D185" s="225"/>
      <c r="E185" s="254"/>
      <c r="F185" s="254"/>
    </row>
    <row r="186" spans="1:6" ht="12.75" customHeight="1" x14ac:dyDescent="0.25">
      <c r="A186" s="288"/>
      <c r="B186" s="288"/>
      <c r="C186" s="284"/>
      <c r="D186" s="225"/>
      <c r="E186" s="254"/>
      <c r="F186" s="254"/>
    </row>
    <row r="187" spans="1:6" ht="12.75" customHeight="1" x14ac:dyDescent="0.25">
      <c r="A187" s="288"/>
      <c r="B187" s="288"/>
      <c r="C187" s="284"/>
      <c r="D187" s="225"/>
      <c r="E187" s="254"/>
      <c r="F187" s="254"/>
    </row>
    <row r="188" spans="1:6" ht="12.75" customHeight="1" x14ac:dyDescent="0.25">
      <c r="A188" s="288"/>
      <c r="B188" s="288"/>
      <c r="C188" s="284"/>
      <c r="D188" s="225"/>
      <c r="E188" s="254"/>
      <c r="F188" s="254"/>
    </row>
    <row r="189" spans="1:6" ht="12.75" customHeight="1" x14ac:dyDescent="0.25">
      <c r="A189" s="288"/>
      <c r="B189" s="288"/>
      <c r="C189" s="284"/>
      <c r="D189" s="225"/>
      <c r="E189" s="254"/>
      <c r="F189" s="254"/>
    </row>
    <row r="190" spans="1:6" ht="12.75" customHeight="1" x14ac:dyDescent="0.25">
      <c r="A190" s="288"/>
      <c r="B190" s="288"/>
      <c r="C190" s="284"/>
      <c r="D190" s="225"/>
      <c r="E190" s="254"/>
      <c r="F190" s="254"/>
    </row>
    <row r="191" spans="1:6" ht="12.75" customHeight="1" x14ac:dyDescent="0.25">
      <c r="A191" s="288"/>
      <c r="B191" s="288"/>
      <c r="C191" s="284"/>
      <c r="D191" s="225"/>
      <c r="E191" s="254"/>
      <c r="F191" s="254"/>
    </row>
    <row r="192" spans="1:6" ht="12.75" customHeight="1" x14ac:dyDescent="0.25">
      <c r="A192" s="288"/>
      <c r="B192" s="288"/>
      <c r="C192" s="284"/>
      <c r="D192" s="225"/>
      <c r="E192" s="254"/>
      <c r="F192" s="254"/>
    </row>
    <row r="193" spans="1:6" ht="12.75" customHeight="1" x14ac:dyDescent="0.25">
      <c r="A193" s="288"/>
      <c r="B193" s="288"/>
      <c r="C193" s="284"/>
      <c r="D193" s="225"/>
      <c r="E193" s="254"/>
      <c r="F193" s="254"/>
    </row>
    <row r="194" spans="1:6" ht="12.75" customHeight="1" x14ac:dyDescent="0.25">
      <c r="A194" s="288"/>
      <c r="B194" s="288"/>
      <c r="C194" s="284"/>
      <c r="D194" s="225"/>
      <c r="E194" s="254"/>
      <c r="F194" s="254"/>
    </row>
    <row r="195" spans="1:6" ht="12.75" customHeight="1" x14ac:dyDescent="0.25">
      <c r="A195" s="288"/>
      <c r="B195" s="288"/>
      <c r="C195" s="284"/>
      <c r="D195" s="225"/>
      <c r="E195" s="254"/>
      <c r="F195" s="254"/>
    </row>
    <row r="196" spans="1:6" ht="12.75" customHeight="1" x14ac:dyDescent="0.25">
      <c r="A196" s="288"/>
      <c r="B196" s="288"/>
      <c r="C196" s="284"/>
      <c r="D196" s="225"/>
      <c r="E196" s="254"/>
      <c r="F196" s="254"/>
    </row>
    <row r="197" spans="1:6" ht="12.75" customHeight="1" x14ac:dyDescent="0.25">
      <c r="A197" s="288"/>
      <c r="B197" s="288"/>
      <c r="C197" s="284"/>
      <c r="D197" s="225"/>
      <c r="E197" s="254"/>
      <c r="F197" s="254"/>
    </row>
    <row r="198" spans="1:6" ht="12.75" customHeight="1" x14ac:dyDescent="0.25">
      <c r="A198" s="288"/>
      <c r="B198" s="288"/>
      <c r="C198" s="284"/>
      <c r="D198" s="225"/>
      <c r="E198" s="254"/>
      <c r="F198" s="254"/>
    </row>
    <row r="199" spans="1:6" ht="12.75" customHeight="1" x14ac:dyDescent="0.25">
      <c r="A199" s="288"/>
      <c r="B199" s="288"/>
      <c r="C199" s="284"/>
      <c r="D199" s="225"/>
      <c r="E199" s="254"/>
      <c r="F199" s="254"/>
    </row>
    <row r="200" spans="1:6" ht="12.75" customHeight="1" x14ac:dyDescent="0.25">
      <c r="A200" s="288"/>
      <c r="B200" s="288"/>
      <c r="C200" s="284"/>
      <c r="D200" s="225"/>
      <c r="E200" s="254"/>
      <c r="F200" s="254"/>
    </row>
    <row r="201" spans="1:6" ht="12.75" customHeight="1" x14ac:dyDescent="0.25">
      <c r="C201" s="211"/>
      <c r="D201" s="203"/>
      <c r="E201" s="208"/>
      <c r="F201" s="208"/>
    </row>
  </sheetData>
  <sheetProtection algorithmName="SHA-512" hashValue="pdcLRQJsm1pDJOdLO64aUo4qlEygFNB9xrKW4gjNvdOPSsxaVfpbRD546ugv1g1wBIFWf0H5yp4I5G0P1UpsSA==" saltValue="7r4BcKyQMLA1wIhO+Rq0Vw==" spinCount="100000" sheet="1" objects="1" scenarios="1" formatCells="0" formatRows="0"/>
  <dataConsolidate/>
  <conditionalFormatting sqref="C4:D4 C6:D8">
    <cfRule type="containsBlanks" dxfId="10" priority="2">
      <formula>LEN(TRIM(C4))=0</formula>
    </cfRule>
  </conditionalFormatting>
  <dataValidations count="6">
    <dataValidation type="textLength" operator="lessThanOrEqual" allowBlank="1" showInputMessage="1" showErrorMessage="1" errorTitle="Max Length Exceed" error="Value cannot exceed 20 characters." sqref="C201" xr:uid="{55BFF400-6F56-4F7B-8164-C1C83DEB95A5}">
      <formula1>20</formula1>
    </dataValidation>
    <dataValidation type="decimal" operator="lessThanOrEqual" allowBlank="1" showInputMessage="1" showErrorMessage="1" errorTitle="Maximum Exceeded" error="Value cannot exceed 999,999,999,999.99" sqref="E201 F201" xr:uid="{980DF9C4-2F87-43E9-AF00-FE690DCB4B89}">
      <formula1>999999999999.99</formula1>
    </dataValidation>
    <dataValidation type="list" allowBlank="1" showInputMessage="1" showErrorMessage="1" sqref="D13:D200" xr:uid="{B4E2FA89-CAF6-44C1-8A79-1471F3680FED}">
      <formula1>FundingType</formula1>
    </dataValidation>
    <dataValidation type="textLength" operator="lessThanOrEqual" allowBlank="1" showInputMessage="1" showErrorMessage="1" errorTitle="Max Length Exceed" error="Value cannot exceed 20 characters." sqref="C13:C200" xr:uid="{ACD03982-7AE0-4010-8621-BB79B3C32D84}">
      <formula1>20</formula1>
    </dataValidation>
    <dataValidation type="decimal" operator="lessThanOrEqual" allowBlank="1" showInputMessage="1" showErrorMessage="1" errorTitle="Maximum Exceeded" error="Value cannot exceed 999,999,999,999.99" sqref="E13:E200" xr:uid="{9D3760D6-2824-43A8-8D5F-0CF7DA18B131}">
      <formula1>999999999999.99</formula1>
    </dataValidation>
    <dataValidation type="decimal" operator="lessThanOrEqual" allowBlank="1" showInputMessage="1" showErrorMessage="1" errorTitle="Maximum Exceeded" error="Value cannot exceed 999,999,999,999.99" sqref="F13:F200" xr:uid="{EC0BD4DB-0AA0-49B0-8E7C-DC8825AA5829}">
      <formula1>999999999999.99</formula1>
    </dataValidation>
  </dataValidations>
  <pageMargins left="0.7" right="0.7" top="0.75" bottom="0.75" header="0" footer="0"/>
  <pageSetup orientation="landscape"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F58AA2-6B22-4F6B-B0C6-650FF4FF2E73}">
  <sheetPr codeName="Sheet12">
    <outlinePr summaryBelow="0" summaryRight="0"/>
  </sheetPr>
  <dimension ref="A1:N25"/>
  <sheetViews>
    <sheetView workbookViewId="0">
      <selection activeCell="D3" sqref="D3"/>
    </sheetView>
  </sheetViews>
  <sheetFormatPr defaultColWidth="14.453125" defaultRowHeight="15" customHeight="1" x14ac:dyDescent="0.25"/>
  <cols>
    <col min="1" max="1" width="30.7265625" style="2" customWidth="1"/>
    <col min="2" max="2" width="20.54296875" style="2" customWidth="1"/>
    <col min="3" max="3" width="3.54296875" style="2" customWidth="1"/>
    <col min="4" max="6" width="20.54296875" style="2" customWidth="1"/>
    <col min="7" max="7" width="3.54296875" style="2" customWidth="1"/>
    <col min="8" max="10" width="20.54296875" style="2" customWidth="1"/>
    <col min="11" max="11" width="3.54296875" style="2" customWidth="1"/>
    <col min="12" max="14" width="20.54296875" style="2" customWidth="1"/>
    <col min="15" max="16384" width="14.453125" style="2"/>
  </cols>
  <sheetData>
    <row r="1" spans="1:14" ht="15" customHeight="1" x14ac:dyDescent="0.3">
      <c r="A1" s="1" t="s">
        <v>68</v>
      </c>
    </row>
    <row r="2" spans="1:14" ht="15" customHeight="1" x14ac:dyDescent="0.3">
      <c r="A2" s="3" t="s">
        <v>4</v>
      </c>
      <c r="B2" s="4" t="e">
        <f>Cover!#REF!</f>
        <v>#REF!</v>
      </c>
    </row>
    <row r="3" spans="1:14" ht="15" customHeight="1" x14ac:dyDescent="0.3">
      <c r="A3" s="3" t="s">
        <v>5</v>
      </c>
      <c r="B3" s="5" t="str">
        <f>Cover!A2</f>
        <v/>
      </c>
    </row>
    <row r="4" spans="1:14" ht="15" customHeight="1" x14ac:dyDescent="0.3">
      <c r="A4" s="3" t="s">
        <v>7</v>
      </c>
      <c r="B4" s="4"/>
    </row>
    <row r="5" spans="1:14" ht="15" customHeight="1" x14ac:dyDescent="0.3">
      <c r="A5" s="3" t="s">
        <v>6</v>
      </c>
      <c r="B5" s="6" t="e">
        <f>Cover!#REF!</f>
        <v>#REF!</v>
      </c>
    </row>
    <row r="7" spans="1:14" ht="32.15" customHeight="1" x14ac:dyDescent="0.3">
      <c r="A7" s="7" t="s">
        <v>69</v>
      </c>
      <c r="B7" s="8" t="s">
        <v>70</v>
      </c>
      <c r="C7" s="37"/>
      <c r="D7" s="7" t="s">
        <v>71</v>
      </c>
      <c r="E7" s="8" t="s">
        <v>72</v>
      </c>
      <c r="F7" s="8" t="s">
        <v>73</v>
      </c>
      <c r="G7" s="37"/>
      <c r="H7" s="7" t="s">
        <v>74</v>
      </c>
      <c r="I7" s="8" t="s">
        <v>75</v>
      </c>
      <c r="J7" s="8" t="s">
        <v>76</v>
      </c>
      <c r="K7" s="37"/>
      <c r="L7" s="28" t="s">
        <v>77</v>
      </c>
      <c r="M7" s="28" t="s">
        <v>78</v>
      </c>
      <c r="N7" s="7" t="s">
        <v>79</v>
      </c>
    </row>
    <row r="8" spans="1:14" ht="15" customHeight="1" x14ac:dyDescent="0.3">
      <c r="A8" s="9" t="s">
        <v>80</v>
      </c>
      <c r="B8" s="16">
        <f>SUM('Awards &gt; 50000'!K13:K200)</f>
        <v>0</v>
      </c>
      <c r="C8" s="38"/>
      <c r="D8" s="35"/>
      <c r="E8" s="35"/>
      <c r="F8" s="35"/>
      <c r="G8" s="38"/>
      <c r="H8" s="16">
        <v>0</v>
      </c>
      <c r="I8" s="16" t="e">
        <f>SUM('Awards &gt; 50000'!#REF!)</f>
        <v>#REF!</v>
      </c>
      <c r="J8" s="16" t="e">
        <f>H8+I8</f>
        <v>#REF!</v>
      </c>
      <c r="K8" s="44"/>
      <c r="L8" s="16"/>
      <c r="M8" s="16"/>
      <c r="N8" s="16" t="e">
        <f>B8-J8</f>
        <v>#REF!</v>
      </c>
    </row>
    <row r="9" spans="1:14" ht="15" customHeight="1" x14ac:dyDescent="0.3">
      <c r="A9" s="9" t="s">
        <v>81</v>
      </c>
      <c r="B9" s="16" t="e">
        <f>SUM(#REF!)</f>
        <v>#REF!</v>
      </c>
      <c r="C9" s="38"/>
      <c r="D9" s="35"/>
      <c r="E9" s="35"/>
      <c r="F9" s="35"/>
      <c r="G9" s="38"/>
      <c r="H9" s="16">
        <v>0</v>
      </c>
      <c r="I9" s="16" t="e">
        <f>SUM(#REF!)</f>
        <v>#REF!</v>
      </c>
      <c r="J9" s="16" t="e">
        <f t="shared" ref="J9:J18" si="0">H9+I9</f>
        <v>#REF!</v>
      </c>
      <c r="K9" s="44"/>
      <c r="L9" s="16"/>
      <c r="M9" s="16"/>
      <c r="N9" s="16" t="e">
        <f t="shared" ref="N9:N12" si="1">B9-J9</f>
        <v>#REF!</v>
      </c>
    </row>
    <row r="10" spans="1:14" ht="15" customHeight="1" x14ac:dyDescent="0.3">
      <c r="A10" s="9" t="s">
        <v>82</v>
      </c>
      <c r="B10" s="16" t="e">
        <f>SUM(#REF!)</f>
        <v>#REF!</v>
      </c>
      <c r="C10" s="38"/>
      <c r="D10" s="35"/>
      <c r="E10" s="35"/>
      <c r="F10" s="35"/>
      <c r="G10" s="38"/>
      <c r="H10" s="16">
        <v>0</v>
      </c>
      <c r="I10" s="16" t="e">
        <f>SUM(#REF!)</f>
        <v>#REF!</v>
      </c>
      <c r="J10" s="16" t="e">
        <f t="shared" si="0"/>
        <v>#REF!</v>
      </c>
      <c r="K10" s="44"/>
      <c r="L10" s="16"/>
      <c r="M10" s="16"/>
      <c r="N10" s="16" t="e">
        <f t="shared" si="1"/>
        <v>#REF!</v>
      </c>
    </row>
    <row r="11" spans="1:14" ht="15" customHeight="1" x14ac:dyDescent="0.3">
      <c r="A11" s="9" t="s">
        <v>83</v>
      </c>
      <c r="B11" s="16" t="e">
        <f>SUM(#REF!)</f>
        <v>#REF!</v>
      </c>
      <c r="C11" s="38"/>
      <c r="D11" s="35"/>
      <c r="E11" s="35"/>
      <c r="F11" s="35"/>
      <c r="G11" s="38"/>
      <c r="H11" s="16">
        <v>0</v>
      </c>
      <c r="I11" s="16" t="e">
        <f>SUM(#REF!)</f>
        <v>#REF!</v>
      </c>
      <c r="J11" s="16" t="e">
        <f t="shared" si="0"/>
        <v>#REF!</v>
      </c>
      <c r="K11" s="44"/>
      <c r="L11" s="16"/>
      <c r="M11" s="16"/>
      <c r="N11" s="16" t="e">
        <f t="shared" si="1"/>
        <v>#REF!</v>
      </c>
    </row>
    <row r="12" spans="1:14" ht="15" customHeight="1" thickBot="1" x14ac:dyDescent="0.35">
      <c r="A12" s="13" t="s">
        <v>84</v>
      </c>
      <c r="B12" s="17" t="e">
        <f>SUM(#REF!)</f>
        <v>#REF!</v>
      </c>
      <c r="C12" s="39"/>
      <c r="D12" s="36"/>
      <c r="E12" s="36"/>
      <c r="F12" s="36"/>
      <c r="G12" s="39"/>
      <c r="H12" s="17">
        <v>0</v>
      </c>
      <c r="I12" s="17" t="e">
        <f>SUM(#REF!)</f>
        <v>#REF!</v>
      </c>
      <c r="J12" s="17" t="e">
        <f t="shared" si="0"/>
        <v>#REF!</v>
      </c>
      <c r="K12" s="45"/>
      <c r="L12" s="17"/>
      <c r="M12" s="17"/>
      <c r="N12" s="17" t="e">
        <f t="shared" si="1"/>
        <v>#REF!</v>
      </c>
    </row>
    <row r="13" spans="1:14" ht="15" customHeight="1" thickTop="1" x14ac:dyDescent="0.3">
      <c r="A13" s="22" t="s">
        <v>85</v>
      </c>
      <c r="B13" s="31"/>
      <c r="C13" s="40"/>
      <c r="D13" s="23">
        <v>0</v>
      </c>
      <c r="E13" s="23">
        <f>'Aggregate Awards &lt; 50000'!E13</f>
        <v>0</v>
      </c>
      <c r="F13" s="23">
        <f>D13+E13</f>
        <v>0</v>
      </c>
      <c r="G13" s="40"/>
      <c r="H13" s="23">
        <v>0</v>
      </c>
      <c r="I13" s="23">
        <f>'Aggregate Awards &lt; 50000'!F13</f>
        <v>0</v>
      </c>
      <c r="J13" s="23">
        <f t="shared" si="0"/>
        <v>0</v>
      </c>
      <c r="K13" s="46"/>
      <c r="L13" s="24"/>
      <c r="M13" s="23"/>
      <c r="N13" s="23">
        <f>F13-J13</f>
        <v>0</v>
      </c>
    </row>
    <row r="14" spans="1:14" ht="15" customHeight="1" x14ac:dyDescent="0.3">
      <c r="A14" s="9" t="s">
        <v>86</v>
      </c>
      <c r="B14" s="32"/>
      <c r="C14" s="38"/>
      <c r="D14" s="16">
        <v>0</v>
      </c>
      <c r="E14" s="16" t="e">
        <f>'Aggregate Awards &lt; 50000'!#REF!</f>
        <v>#REF!</v>
      </c>
      <c r="F14" s="16" t="e">
        <f t="shared" ref="F14:F18" si="2">D14+E14</f>
        <v>#REF!</v>
      </c>
      <c r="G14" s="38"/>
      <c r="H14" s="16">
        <v>0</v>
      </c>
      <c r="I14" s="16" t="e">
        <f>'Aggregate Awards &lt; 50000'!#REF!</f>
        <v>#REF!</v>
      </c>
      <c r="J14" s="16" t="e">
        <f t="shared" si="0"/>
        <v>#REF!</v>
      </c>
      <c r="K14" s="44"/>
      <c r="L14" s="18"/>
      <c r="M14" s="16"/>
      <c r="N14" s="16" t="e">
        <f t="shared" ref="N14:N18" si="3">F14-J14</f>
        <v>#REF!</v>
      </c>
    </row>
    <row r="15" spans="1:14" ht="15" customHeight="1" x14ac:dyDescent="0.3">
      <c r="A15" s="9" t="s">
        <v>87</v>
      </c>
      <c r="B15" s="32"/>
      <c r="C15" s="38"/>
      <c r="D15" s="16">
        <v>0</v>
      </c>
      <c r="E15" s="16" t="e">
        <f>'Aggregate Awards &lt; 50000'!#REF!</f>
        <v>#REF!</v>
      </c>
      <c r="F15" s="16" t="e">
        <f t="shared" si="2"/>
        <v>#REF!</v>
      </c>
      <c r="G15" s="38"/>
      <c r="H15" s="16">
        <v>0</v>
      </c>
      <c r="I15" s="16" t="e">
        <f>'Aggregate Awards &lt; 50000'!#REF!</f>
        <v>#REF!</v>
      </c>
      <c r="J15" s="16" t="e">
        <f t="shared" si="0"/>
        <v>#REF!</v>
      </c>
      <c r="K15" s="44"/>
      <c r="L15" s="18"/>
      <c r="M15" s="16"/>
      <c r="N15" s="16" t="e">
        <f t="shared" si="3"/>
        <v>#REF!</v>
      </c>
    </row>
    <row r="16" spans="1:14" ht="15" customHeight="1" x14ac:dyDescent="0.3">
      <c r="A16" s="9" t="s">
        <v>88</v>
      </c>
      <c r="B16" s="32"/>
      <c r="C16" s="38"/>
      <c r="D16" s="16">
        <v>0</v>
      </c>
      <c r="E16" s="16" t="e">
        <f>'Aggregate Awards &lt; 50000'!#REF!</f>
        <v>#REF!</v>
      </c>
      <c r="F16" s="16" t="e">
        <f t="shared" si="2"/>
        <v>#REF!</v>
      </c>
      <c r="G16" s="38"/>
      <c r="H16" s="16">
        <v>0</v>
      </c>
      <c r="I16" s="16" t="e">
        <f>'Aggregate Awards &lt; 50000'!#REF!</f>
        <v>#REF!</v>
      </c>
      <c r="J16" s="16" t="e">
        <f t="shared" si="0"/>
        <v>#REF!</v>
      </c>
      <c r="K16" s="44"/>
      <c r="L16" s="18"/>
      <c r="M16" s="16"/>
      <c r="N16" s="16" t="e">
        <f t="shared" si="3"/>
        <v>#REF!</v>
      </c>
    </row>
    <row r="17" spans="1:14" ht="15" customHeight="1" thickBot="1" x14ac:dyDescent="0.35">
      <c r="A17" s="25" t="s">
        <v>89</v>
      </c>
      <c r="B17" s="33"/>
      <c r="C17" s="41"/>
      <c r="D17" s="26">
        <v>0</v>
      </c>
      <c r="E17" s="26" t="e">
        <f>'Aggregate Awards &lt; 50000'!#REF!</f>
        <v>#REF!</v>
      </c>
      <c r="F17" s="26" t="e">
        <f t="shared" si="2"/>
        <v>#REF!</v>
      </c>
      <c r="G17" s="41"/>
      <c r="H17" s="26">
        <v>0</v>
      </c>
      <c r="I17" s="26" t="e">
        <f>'Aggregate Awards &lt; 50000'!#REF!</f>
        <v>#REF!</v>
      </c>
      <c r="J17" s="26" t="e">
        <f t="shared" si="0"/>
        <v>#REF!</v>
      </c>
      <c r="K17" s="47"/>
      <c r="L17" s="27"/>
      <c r="M17" s="26"/>
      <c r="N17" s="26" t="e">
        <f t="shared" si="3"/>
        <v>#REF!</v>
      </c>
    </row>
    <row r="18" spans="1:14" ht="15" customHeight="1" thickTop="1" x14ac:dyDescent="0.3">
      <c r="A18" s="14" t="s">
        <v>90</v>
      </c>
      <c r="B18" s="34"/>
      <c r="C18" s="42"/>
      <c r="D18" s="19">
        <v>0</v>
      </c>
      <c r="E18" s="30" t="e">
        <f>'Aggregate Awards &lt; 50000'!#REF!</f>
        <v>#REF!</v>
      </c>
      <c r="F18" s="19" t="e">
        <f t="shared" si="2"/>
        <v>#REF!</v>
      </c>
      <c r="G18" s="42"/>
      <c r="H18" s="19">
        <v>0</v>
      </c>
      <c r="I18" s="30" t="e">
        <f>#REF!</f>
        <v>#REF!</v>
      </c>
      <c r="J18" s="19" t="e">
        <f t="shared" si="0"/>
        <v>#REF!</v>
      </c>
      <c r="K18" s="48"/>
      <c r="L18" s="19"/>
      <c r="M18" s="19"/>
      <c r="N18" s="19" t="e">
        <f t="shared" si="3"/>
        <v>#REF!</v>
      </c>
    </row>
    <row r="19" spans="1:14" ht="18" customHeight="1" x14ac:dyDescent="0.35">
      <c r="A19" s="10" t="s">
        <v>91</v>
      </c>
      <c r="B19" s="20" t="e">
        <f>SUM(B8:B18)</f>
        <v>#REF!</v>
      </c>
      <c r="C19" s="43"/>
      <c r="D19" s="20">
        <f t="shared" ref="D19:F19" si="4">SUM(D8:D18)</f>
        <v>0</v>
      </c>
      <c r="E19" s="20" t="e">
        <f t="shared" si="4"/>
        <v>#REF!</v>
      </c>
      <c r="F19" s="20" t="e">
        <f t="shared" si="4"/>
        <v>#REF!</v>
      </c>
      <c r="G19" s="43"/>
      <c r="H19" s="20">
        <f>SUM(H8:H18)</f>
        <v>0</v>
      </c>
      <c r="I19" s="20" t="e">
        <f t="shared" ref="I19:J19" si="5">SUM(I8:I18)</f>
        <v>#REF!</v>
      </c>
      <c r="J19" s="20" t="e">
        <f t="shared" si="5"/>
        <v>#REF!</v>
      </c>
      <c r="K19" s="43"/>
      <c r="L19" s="18"/>
      <c r="M19" s="18"/>
      <c r="N19" s="18" t="e">
        <f>SUM(N8:N18)</f>
        <v>#REF!</v>
      </c>
    </row>
    <row r="20" spans="1:14" ht="15" customHeight="1" x14ac:dyDescent="0.35">
      <c r="K20" s="11"/>
      <c r="L20" s="12"/>
      <c r="M20" s="12"/>
    </row>
    <row r="21" spans="1:14" ht="15" customHeight="1" x14ac:dyDescent="0.35">
      <c r="B21" s="15"/>
      <c r="K21" s="11"/>
      <c r="L21" s="11" t="s">
        <v>92</v>
      </c>
      <c r="M21" s="12"/>
    </row>
    <row r="22" spans="1:14" ht="15" customHeight="1" x14ac:dyDescent="0.35">
      <c r="B22" s="15"/>
      <c r="H22" s="29" t="s">
        <v>130</v>
      </c>
      <c r="K22" s="11"/>
      <c r="L22" s="11" t="s">
        <v>93</v>
      </c>
      <c r="M22" s="12"/>
    </row>
    <row r="23" spans="1:14" ht="15" customHeight="1" x14ac:dyDescent="0.35">
      <c r="I23" s="2" t="s">
        <v>135</v>
      </c>
      <c r="K23" s="11"/>
      <c r="L23" s="12"/>
      <c r="M23" s="12"/>
    </row>
    <row r="25" spans="1:14" ht="15" customHeight="1" x14ac:dyDescent="0.3">
      <c r="B25" s="21"/>
    </row>
  </sheetData>
  <protectedRanges>
    <protectedRange sqref="B4" name="Project Name"/>
  </protectedRanges>
  <conditionalFormatting sqref="L8:L19">
    <cfRule type="cellIs" dxfId="9" priority="11" operator="lessThan">
      <formula>0</formula>
    </cfRule>
  </conditionalFormatting>
  <conditionalFormatting sqref="N8:N19">
    <cfRule type="cellIs" dxfId="8" priority="10" operator="lessThan">
      <formula>0</formula>
    </cfRule>
  </conditionalFormatting>
  <conditionalFormatting sqref="F8">
    <cfRule type="cellIs" dxfId="7" priority="8" operator="notEqual">
      <formula>$B$8</formula>
    </cfRule>
  </conditionalFormatting>
  <conditionalFormatting sqref="F9">
    <cfRule type="cellIs" dxfId="6" priority="7" operator="notEqual">
      <formula>$B$9</formula>
    </cfRule>
  </conditionalFormatting>
  <conditionalFormatting sqref="F10">
    <cfRule type="cellIs" dxfId="5" priority="6" operator="notEqual">
      <formula>$B$10</formula>
    </cfRule>
  </conditionalFormatting>
  <conditionalFormatting sqref="F11">
    <cfRule type="cellIs" dxfId="4" priority="5" operator="notEqual">
      <formula>$B$11</formula>
    </cfRule>
  </conditionalFormatting>
  <conditionalFormatting sqref="F12">
    <cfRule type="cellIs" dxfId="3" priority="4" operator="notEqual">
      <formula>$B$12</formula>
    </cfRule>
  </conditionalFormatting>
  <conditionalFormatting sqref="B4">
    <cfRule type="containsBlanks" dxfId="2" priority="13">
      <formula>LEN(TRIM(B4))=0</formula>
    </cfRule>
  </conditionalFormatting>
  <conditionalFormatting sqref="F8:F19 D19:E19">
    <cfRule type="cellIs" dxfId="1" priority="2" operator="lessThan">
      <formula>0</formula>
    </cfRule>
  </conditionalFormatting>
  <conditionalFormatting sqref="J8:J19">
    <cfRule type="cellIs" dxfId="0" priority="1" operator="lessThan">
      <formula>0</formula>
    </cfRule>
  </conditionalFormatting>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03EBF0-B18D-FC40-9C8A-3EB4D7D2F8C5}">
  <sheetPr codeName="Sheet131">
    <outlinePr summaryBelow="0" summaryRight="0"/>
  </sheetPr>
  <dimension ref="A1:X100"/>
  <sheetViews>
    <sheetView topLeftCell="K1" zoomScaleNormal="100" workbookViewId="0">
      <selection activeCell="B3" sqref="B3"/>
    </sheetView>
  </sheetViews>
  <sheetFormatPr defaultColWidth="14.453125" defaultRowHeight="15" customHeight="1" x14ac:dyDescent="0.2"/>
  <cols>
    <col min="1" max="1" width="18.26953125" style="84" customWidth="1"/>
    <col min="2" max="2" width="14.453125" style="160"/>
    <col min="3" max="4" width="32.453125" style="84" bestFit="1" customWidth="1"/>
    <col min="5" max="6" width="14.453125" style="84"/>
    <col min="7" max="7" width="21.54296875" style="84" bestFit="1" customWidth="1"/>
    <col min="8" max="8" width="15.26953125" style="84" bestFit="1" customWidth="1"/>
    <col min="9" max="9" width="50.1796875" style="84" bestFit="1" customWidth="1"/>
    <col min="10" max="10" width="27.6328125" style="84" bestFit="1" customWidth="1"/>
    <col min="11" max="11" width="83.7265625" style="84" bestFit="1" customWidth="1"/>
    <col min="12" max="12" width="40.453125" style="84" customWidth="1"/>
    <col min="13" max="13" width="59.90625" style="84" bestFit="1" customWidth="1"/>
    <col min="14" max="14" width="66.81640625" style="84" bestFit="1" customWidth="1"/>
    <col min="15" max="16384" width="14.453125" style="84"/>
  </cols>
  <sheetData>
    <row r="1" spans="1:24" ht="15" customHeight="1" x14ac:dyDescent="0.3">
      <c r="A1" s="290" t="s">
        <v>94</v>
      </c>
      <c r="B1" s="291" t="s">
        <v>95</v>
      </c>
      <c r="C1" s="290" t="s">
        <v>95</v>
      </c>
      <c r="D1" s="290" t="s">
        <v>95</v>
      </c>
      <c r="E1" s="290" t="s">
        <v>96</v>
      </c>
      <c r="F1" s="290" t="s">
        <v>96</v>
      </c>
      <c r="G1" s="290" t="s">
        <v>96</v>
      </c>
      <c r="H1" s="290" t="s">
        <v>96</v>
      </c>
      <c r="I1" s="290" t="s">
        <v>312</v>
      </c>
      <c r="J1" s="290" t="s">
        <v>97</v>
      </c>
      <c r="K1" s="290" t="s">
        <v>96</v>
      </c>
      <c r="L1" s="290" t="s">
        <v>374</v>
      </c>
      <c r="M1" s="290" t="s">
        <v>558</v>
      </c>
      <c r="N1" s="290" t="s">
        <v>96</v>
      </c>
      <c r="O1" s="290" t="s">
        <v>669</v>
      </c>
      <c r="P1" s="290" t="s">
        <v>312</v>
      </c>
      <c r="Q1" s="83"/>
      <c r="R1" s="83"/>
      <c r="S1" s="83"/>
      <c r="T1" s="83"/>
      <c r="U1" s="83"/>
      <c r="V1" s="83"/>
      <c r="W1" s="83"/>
      <c r="X1" s="83"/>
    </row>
    <row r="2" spans="1:24" ht="15" customHeight="1" x14ac:dyDescent="0.3">
      <c r="A2" s="292" t="s">
        <v>98</v>
      </c>
      <c r="B2" s="293" t="s">
        <v>4</v>
      </c>
      <c r="C2" s="292" t="s">
        <v>344</v>
      </c>
      <c r="D2" s="292" t="s">
        <v>129</v>
      </c>
      <c r="E2" s="294" t="s">
        <v>14</v>
      </c>
      <c r="F2" s="294" t="s">
        <v>99</v>
      </c>
      <c r="G2" s="294" t="s">
        <v>338</v>
      </c>
      <c r="H2" s="294" t="s">
        <v>343</v>
      </c>
      <c r="I2" s="294" t="s">
        <v>313</v>
      </c>
      <c r="J2" s="294" t="s">
        <v>66</v>
      </c>
      <c r="K2" s="294" t="s">
        <v>198</v>
      </c>
      <c r="L2" s="289" t="s">
        <v>280</v>
      </c>
      <c r="M2" s="289" t="s">
        <v>559</v>
      </c>
      <c r="N2" s="292" t="s">
        <v>569</v>
      </c>
      <c r="O2" s="292" t="s">
        <v>669</v>
      </c>
      <c r="P2" s="292" t="s">
        <v>835</v>
      </c>
      <c r="Q2" s="83"/>
      <c r="R2" s="83"/>
      <c r="S2" s="83"/>
      <c r="T2" s="83"/>
      <c r="U2" s="83"/>
      <c r="V2" s="83"/>
      <c r="W2" s="83"/>
      <c r="X2" s="83"/>
    </row>
    <row r="3" spans="1:24" ht="15" customHeight="1" x14ac:dyDescent="0.3">
      <c r="A3" s="290" t="s">
        <v>100</v>
      </c>
      <c r="B3" s="295" t="s">
        <v>293</v>
      </c>
      <c r="C3" s="296" t="s">
        <v>440</v>
      </c>
      <c r="D3" s="296" t="s">
        <v>440</v>
      </c>
      <c r="E3" s="297" t="s">
        <v>53</v>
      </c>
      <c r="F3" s="297" t="s">
        <v>17</v>
      </c>
      <c r="G3" s="297" t="s">
        <v>101</v>
      </c>
      <c r="H3" s="297" t="s">
        <v>102</v>
      </c>
      <c r="I3" s="297" t="s">
        <v>314</v>
      </c>
      <c r="J3" s="297" t="s">
        <v>333</v>
      </c>
      <c r="K3" s="297" t="s">
        <v>953</v>
      </c>
      <c r="L3" s="297" t="s">
        <v>375</v>
      </c>
      <c r="M3" s="298" t="s">
        <v>530</v>
      </c>
      <c r="N3" s="298" t="s">
        <v>575</v>
      </c>
      <c r="O3" s="299" t="s">
        <v>397</v>
      </c>
      <c r="P3" s="298" t="s">
        <v>836</v>
      </c>
    </row>
    <row r="4" spans="1:24" ht="15" customHeight="1" x14ac:dyDescent="0.25">
      <c r="A4" s="298"/>
      <c r="B4" s="300" t="s">
        <v>294</v>
      </c>
      <c r="C4" s="297"/>
      <c r="D4" s="52"/>
      <c r="E4" s="297" t="s">
        <v>103</v>
      </c>
      <c r="F4" s="297" t="s">
        <v>104</v>
      </c>
      <c r="G4" s="297" t="s">
        <v>340</v>
      </c>
      <c r="H4" s="297" t="s">
        <v>105</v>
      </c>
      <c r="I4" s="297" t="s">
        <v>315</v>
      </c>
      <c r="J4" s="297" t="s">
        <v>334</v>
      </c>
      <c r="K4" s="297" t="s">
        <v>954</v>
      </c>
      <c r="L4" s="297" t="s">
        <v>376</v>
      </c>
      <c r="M4" s="298" t="s">
        <v>531</v>
      </c>
      <c r="N4" s="298" t="s">
        <v>576</v>
      </c>
      <c r="O4" s="299" t="s">
        <v>978</v>
      </c>
      <c r="P4" s="298" t="s">
        <v>837</v>
      </c>
    </row>
    <row r="5" spans="1:24" ht="15" customHeight="1" x14ac:dyDescent="0.25">
      <c r="A5" s="298"/>
      <c r="B5" s="300" t="s">
        <v>295</v>
      </c>
      <c r="C5" s="297"/>
      <c r="D5" s="51"/>
      <c r="E5" s="297" t="s">
        <v>107</v>
      </c>
      <c r="F5" s="297" t="s">
        <v>108</v>
      </c>
      <c r="G5" s="297" t="s">
        <v>106</v>
      </c>
      <c r="H5" s="297"/>
      <c r="I5" s="297" t="s">
        <v>316</v>
      </c>
      <c r="J5" s="297" t="s">
        <v>335</v>
      </c>
      <c r="K5" s="297" t="s">
        <v>955</v>
      </c>
      <c r="L5" s="297" t="s">
        <v>377</v>
      </c>
      <c r="M5" s="298" t="s">
        <v>532</v>
      </c>
      <c r="N5" s="298" t="s">
        <v>871</v>
      </c>
      <c r="O5" s="299" t="s">
        <v>979</v>
      </c>
      <c r="P5" s="298" t="s">
        <v>838</v>
      </c>
    </row>
    <row r="6" spans="1:24" ht="15" customHeight="1" x14ac:dyDescent="0.25">
      <c r="A6" s="298"/>
      <c r="B6" s="300" t="s">
        <v>296</v>
      </c>
      <c r="C6" s="297"/>
      <c r="D6" s="51"/>
      <c r="E6" s="297" t="s">
        <v>50</v>
      </c>
      <c r="F6" s="298"/>
      <c r="G6" s="297" t="s">
        <v>341</v>
      </c>
      <c r="H6" s="298"/>
      <c r="I6" s="297" t="s">
        <v>317</v>
      </c>
      <c r="J6" s="297" t="s">
        <v>336</v>
      </c>
      <c r="K6" s="297" t="s">
        <v>956</v>
      </c>
      <c r="L6" s="297" t="s">
        <v>378</v>
      </c>
      <c r="M6" s="298" t="s">
        <v>533</v>
      </c>
      <c r="N6" s="298" t="s">
        <v>577</v>
      </c>
      <c r="O6" s="298"/>
      <c r="P6" s="298" t="s">
        <v>113</v>
      </c>
    </row>
    <row r="7" spans="1:24" ht="15" customHeight="1" x14ac:dyDescent="0.25">
      <c r="A7" s="298"/>
      <c r="B7" s="300" t="s">
        <v>297</v>
      </c>
      <c r="C7" s="297"/>
      <c r="D7" s="51"/>
      <c r="E7" s="297" t="s">
        <v>39</v>
      </c>
      <c r="F7" s="298"/>
      <c r="G7" s="298" t="s">
        <v>873</v>
      </c>
      <c r="H7" s="298"/>
      <c r="I7" s="297" t="s">
        <v>318</v>
      </c>
      <c r="J7" s="297" t="s">
        <v>337</v>
      </c>
      <c r="K7" s="297" t="s">
        <v>957</v>
      </c>
      <c r="L7" s="297"/>
      <c r="M7" s="298" t="s">
        <v>534</v>
      </c>
      <c r="N7" s="298" t="s">
        <v>994</v>
      </c>
      <c r="O7" s="298"/>
      <c r="P7" s="298"/>
    </row>
    <row r="8" spans="1:24" ht="15" customHeight="1" x14ac:dyDescent="0.25">
      <c r="A8" s="298"/>
      <c r="B8" s="300" t="s">
        <v>298</v>
      </c>
      <c r="C8" s="297"/>
      <c r="D8" s="51"/>
      <c r="E8" s="297" t="s">
        <v>26</v>
      </c>
      <c r="F8" s="297"/>
      <c r="G8" s="297"/>
      <c r="H8" s="297"/>
      <c r="I8" s="297" t="s">
        <v>319</v>
      </c>
      <c r="J8" s="297" t="s">
        <v>332</v>
      </c>
      <c r="K8" s="297" t="s">
        <v>958</v>
      </c>
      <c r="L8" s="297"/>
      <c r="M8" s="298" t="s">
        <v>535</v>
      </c>
      <c r="N8" s="298" t="s">
        <v>993</v>
      </c>
      <c r="O8" s="298"/>
      <c r="P8" s="298"/>
    </row>
    <row r="9" spans="1:24" ht="15" customHeight="1" x14ac:dyDescent="0.25">
      <c r="A9" s="298"/>
      <c r="B9" s="300" t="s">
        <v>299</v>
      </c>
      <c r="C9" s="297"/>
      <c r="D9" s="51"/>
      <c r="E9" s="297" t="s">
        <v>35</v>
      </c>
      <c r="F9" s="298"/>
      <c r="G9" s="298"/>
      <c r="H9" s="298"/>
      <c r="I9" s="297" t="s">
        <v>320</v>
      </c>
      <c r="J9" s="298"/>
      <c r="K9" s="297" t="s">
        <v>959</v>
      </c>
      <c r="L9" s="297"/>
      <c r="M9" s="298" t="s">
        <v>536</v>
      </c>
      <c r="N9" s="298" t="s">
        <v>578</v>
      </c>
      <c r="O9" s="298"/>
      <c r="P9" s="298"/>
    </row>
    <row r="10" spans="1:24" ht="15" customHeight="1" x14ac:dyDescent="0.25">
      <c r="A10" s="298"/>
      <c r="B10" s="300" t="s">
        <v>300</v>
      </c>
      <c r="C10" s="297"/>
      <c r="D10" s="51"/>
      <c r="E10" s="297" t="s">
        <v>21</v>
      </c>
      <c r="F10" s="298"/>
      <c r="G10" s="298"/>
      <c r="H10" s="298"/>
      <c r="I10" s="297" t="s">
        <v>321</v>
      </c>
      <c r="J10" s="298"/>
      <c r="K10" s="297" t="s">
        <v>960</v>
      </c>
      <c r="L10" s="297"/>
      <c r="M10" s="298" t="s">
        <v>537</v>
      </c>
      <c r="N10" s="298" t="s">
        <v>579</v>
      </c>
      <c r="O10" s="298"/>
      <c r="P10" s="298"/>
    </row>
    <row r="11" spans="1:24" ht="15" customHeight="1" x14ac:dyDescent="0.25">
      <c r="A11" s="298"/>
      <c r="B11" s="300" t="s">
        <v>301</v>
      </c>
      <c r="C11" s="297"/>
      <c r="D11" s="51"/>
      <c r="E11" s="297" t="s">
        <v>109</v>
      </c>
      <c r="F11" s="298"/>
      <c r="G11" s="298"/>
      <c r="H11" s="298"/>
      <c r="I11" s="297" t="s">
        <v>322</v>
      </c>
      <c r="J11" s="298"/>
      <c r="K11" s="297" t="s">
        <v>961</v>
      </c>
      <c r="L11" s="297"/>
      <c r="M11" s="298" t="s">
        <v>538</v>
      </c>
      <c r="N11" s="298" t="s">
        <v>580</v>
      </c>
      <c r="O11" s="298"/>
      <c r="P11" s="298"/>
    </row>
    <row r="12" spans="1:24" ht="15" customHeight="1" x14ac:dyDescent="0.25">
      <c r="A12" s="298"/>
      <c r="B12" s="300" t="s">
        <v>302</v>
      </c>
      <c r="C12" s="297"/>
      <c r="D12" s="51"/>
      <c r="E12" s="297" t="s">
        <v>36</v>
      </c>
      <c r="F12" s="298"/>
      <c r="G12" s="298"/>
      <c r="H12" s="298"/>
      <c r="I12" s="297" t="s">
        <v>323</v>
      </c>
      <c r="J12" s="298"/>
      <c r="K12" s="297" t="s">
        <v>962</v>
      </c>
      <c r="L12" s="297"/>
      <c r="M12" s="298" t="s">
        <v>539</v>
      </c>
      <c r="N12" s="298" t="s">
        <v>581</v>
      </c>
      <c r="O12" s="298"/>
      <c r="P12" s="298"/>
    </row>
    <row r="13" spans="1:24" ht="15" customHeight="1" x14ac:dyDescent="0.25">
      <c r="A13" s="298"/>
      <c r="B13" s="300" t="s">
        <v>303</v>
      </c>
      <c r="C13" s="297"/>
      <c r="D13" s="51"/>
      <c r="E13" s="297" t="s">
        <v>110</v>
      </c>
      <c r="F13" s="298"/>
      <c r="G13" s="298"/>
      <c r="H13" s="298"/>
      <c r="I13" s="297" t="s">
        <v>324</v>
      </c>
      <c r="J13" s="298"/>
      <c r="K13" s="297" t="s">
        <v>963</v>
      </c>
      <c r="L13" s="297"/>
      <c r="M13" s="298" t="s">
        <v>540</v>
      </c>
      <c r="N13" s="298" t="s">
        <v>582</v>
      </c>
      <c r="O13" s="298"/>
      <c r="P13" s="298"/>
    </row>
    <row r="14" spans="1:24" ht="15" customHeight="1" x14ac:dyDescent="0.25">
      <c r="A14" s="298"/>
      <c r="B14" s="300" t="s">
        <v>304</v>
      </c>
      <c r="C14" s="297"/>
      <c r="D14" s="51"/>
      <c r="E14" s="297" t="s">
        <v>22</v>
      </c>
      <c r="F14" s="298"/>
      <c r="G14" s="298"/>
      <c r="H14" s="298"/>
      <c r="I14" s="297" t="s">
        <v>325</v>
      </c>
      <c r="J14" s="298"/>
      <c r="K14" s="297" t="s">
        <v>964</v>
      </c>
      <c r="L14" s="297"/>
      <c r="M14" s="298" t="s">
        <v>541</v>
      </c>
      <c r="N14" s="298" t="s">
        <v>583</v>
      </c>
      <c r="O14" s="298"/>
      <c r="P14" s="298"/>
    </row>
    <row r="15" spans="1:24" ht="15" customHeight="1" x14ac:dyDescent="0.25">
      <c r="A15" s="298"/>
      <c r="B15" s="300" t="s">
        <v>305</v>
      </c>
      <c r="C15" s="297"/>
      <c r="D15" s="51"/>
      <c r="E15" s="297" t="s">
        <v>8</v>
      </c>
      <c r="F15" s="298"/>
      <c r="G15" s="298"/>
      <c r="H15" s="298"/>
      <c r="I15" s="297" t="s">
        <v>326</v>
      </c>
      <c r="J15" s="298"/>
      <c r="K15" s="297" t="s">
        <v>965</v>
      </c>
      <c r="L15" s="297"/>
      <c r="M15" s="298" t="s">
        <v>542</v>
      </c>
      <c r="N15" s="298" t="s">
        <v>584</v>
      </c>
      <c r="O15" s="298"/>
      <c r="P15" s="298"/>
    </row>
    <row r="16" spans="1:24" ht="15" customHeight="1" x14ac:dyDescent="0.25">
      <c r="A16" s="298"/>
      <c r="B16" s="300" t="s">
        <v>306</v>
      </c>
      <c r="C16" s="297"/>
      <c r="D16" s="51"/>
      <c r="E16" s="297" t="s">
        <v>111</v>
      </c>
      <c r="F16" s="298"/>
      <c r="G16" s="298"/>
      <c r="H16" s="298"/>
      <c r="I16" s="297"/>
      <c r="J16" s="298"/>
      <c r="K16" s="297" t="s">
        <v>966</v>
      </c>
      <c r="L16" s="297"/>
      <c r="M16" s="298" t="s">
        <v>543</v>
      </c>
      <c r="N16" s="298" t="s">
        <v>585</v>
      </c>
      <c r="O16" s="298"/>
      <c r="P16" s="298"/>
    </row>
    <row r="17" spans="1:16" ht="15" customHeight="1" x14ac:dyDescent="0.25">
      <c r="A17" s="298"/>
      <c r="B17" s="300" t="s">
        <v>307</v>
      </c>
      <c r="C17" s="297"/>
      <c r="D17" s="51"/>
      <c r="E17" s="297" t="s">
        <v>112</v>
      </c>
      <c r="F17" s="298"/>
      <c r="G17" s="298"/>
      <c r="H17" s="298"/>
      <c r="I17" s="297"/>
      <c r="J17" s="298"/>
      <c r="K17" s="297" t="s">
        <v>967</v>
      </c>
      <c r="L17" s="297"/>
      <c r="M17" s="298" t="s">
        <v>544</v>
      </c>
      <c r="N17" s="298" t="s">
        <v>586</v>
      </c>
      <c r="O17" s="298"/>
      <c r="P17" s="298"/>
    </row>
    <row r="18" spans="1:16" ht="15" customHeight="1" x14ac:dyDescent="0.25">
      <c r="A18" s="298"/>
      <c r="B18" s="300" t="s">
        <v>308</v>
      </c>
      <c r="C18" s="297"/>
      <c r="D18" s="51"/>
      <c r="E18" s="297" t="s">
        <v>32</v>
      </c>
      <c r="F18" s="298"/>
      <c r="G18" s="298"/>
      <c r="H18" s="298"/>
      <c r="I18" s="297"/>
      <c r="J18" s="298"/>
      <c r="K18" s="297" t="s">
        <v>968</v>
      </c>
      <c r="L18" s="297"/>
      <c r="M18" s="298" t="s">
        <v>545</v>
      </c>
      <c r="N18" s="298" t="s">
        <v>992</v>
      </c>
      <c r="O18" s="298"/>
      <c r="P18" s="298"/>
    </row>
    <row r="19" spans="1:16" ht="15" customHeight="1" x14ac:dyDescent="0.25">
      <c r="A19" s="298"/>
      <c r="B19" s="300" t="s">
        <v>309</v>
      </c>
      <c r="C19" s="297"/>
      <c r="D19" s="51"/>
      <c r="E19" s="297" t="s">
        <v>20</v>
      </c>
      <c r="F19" s="298"/>
      <c r="G19" s="298"/>
      <c r="H19" s="298"/>
      <c r="I19" s="297"/>
      <c r="J19" s="298"/>
      <c r="K19" s="297" t="s">
        <v>969</v>
      </c>
      <c r="L19" s="297"/>
      <c r="M19" s="298" t="s">
        <v>546</v>
      </c>
      <c r="N19" s="298" t="s">
        <v>587</v>
      </c>
      <c r="O19" s="298"/>
      <c r="P19" s="298"/>
    </row>
    <row r="20" spans="1:16" ht="15" customHeight="1" x14ac:dyDescent="0.25">
      <c r="A20" s="298"/>
      <c r="B20" s="300" t="s">
        <v>310</v>
      </c>
      <c r="C20" s="297"/>
      <c r="D20" s="51"/>
      <c r="E20" s="297" t="s">
        <v>45</v>
      </c>
      <c r="F20" s="298"/>
      <c r="G20" s="298"/>
      <c r="H20" s="298"/>
      <c r="I20" s="297"/>
      <c r="J20" s="298"/>
      <c r="K20" s="297" t="s">
        <v>970</v>
      </c>
      <c r="L20" s="297"/>
      <c r="M20" s="298" t="s">
        <v>547</v>
      </c>
      <c r="N20" s="298" t="s">
        <v>588</v>
      </c>
      <c r="O20" s="298"/>
      <c r="P20" s="298"/>
    </row>
    <row r="21" spans="1:16" ht="15" customHeight="1" x14ac:dyDescent="0.25">
      <c r="A21" s="298"/>
      <c r="B21" s="300" t="s">
        <v>311</v>
      </c>
      <c r="C21" s="297"/>
      <c r="D21" s="51"/>
      <c r="E21" s="297" t="s">
        <v>47</v>
      </c>
      <c r="F21" s="298"/>
      <c r="G21" s="298"/>
      <c r="H21" s="298"/>
      <c r="I21" s="297"/>
      <c r="J21" s="298"/>
      <c r="K21" s="297" t="s">
        <v>971</v>
      </c>
      <c r="L21" s="297"/>
      <c r="M21" s="298" t="s">
        <v>548</v>
      </c>
      <c r="N21" s="298" t="s">
        <v>589</v>
      </c>
      <c r="O21" s="298"/>
      <c r="P21" s="298"/>
    </row>
    <row r="22" spans="1:16" ht="15" customHeight="1" x14ac:dyDescent="0.25">
      <c r="A22" s="298"/>
      <c r="B22" s="301"/>
      <c r="C22" s="298"/>
      <c r="D22" s="51"/>
      <c r="E22" s="297" t="s">
        <v>114</v>
      </c>
      <c r="F22" s="298"/>
      <c r="G22" s="298"/>
      <c r="H22" s="298"/>
      <c r="I22" s="298"/>
      <c r="J22" s="298"/>
      <c r="K22" s="297" t="s">
        <v>972</v>
      </c>
      <c r="L22" s="297"/>
      <c r="M22" s="298" t="s">
        <v>549</v>
      </c>
      <c r="N22" s="298" t="s">
        <v>590</v>
      </c>
      <c r="O22" s="298"/>
      <c r="P22" s="298"/>
    </row>
    <row r="23" spans="1:16" ht="15" customHeight="1" x14ac:dyDescent="0.25">
      <c r="A23" s="298"/>
      <c r="B23" s="295"/>
      <c r="C23" s="296"/>
      <c r="D23" s="51"/>
      <c r="E23" s="297" t="s">
        <v>29</v>
      </c>
      <c r="F23" s="298"/>
      <c r="G23" s="298"/>
      <c r="H23" s="298"/>
      <c r="I23" s="298"/>
      <c r="J23" s="298"/>
      <c r="K23" s="297" t="s">
        <v>973</v>
      </c>
      <c r="L23" s="297"/>
      <c r="M23" s="298" t="s">
        <v>550</v>
      </c>
      <c r="N23" s="298" t="s">
        <v>591</v>
      </c>
      <c r="O23" s="298"/>
      <c r="P23" s="298"/>
    </row>
    <row r="24" spans="1:16" ht="15" customHeight="1" x14ac:dyDescent="0.25">
      <c r="A24" s="298"/>
      <c r="B24" s="295"/>
      <c r="C24" s="296"/>
      <c r="D24" s="51"/>
      <c r="E24" s="297" t="s">
        <v>115</v>
      </c>
      <c r="F24" s="298"/>
      <c r="G24" s="298"/>
      <c r="H24" s="298"/>
      <c r="I24" s="298"/>
      <c r="J24" s="298"/>
      <c r="K24" s="297" t="s">
        <v>974</v>
      </c>
      <c r="L24" s="297"/>
      <c r="M24" s="298" t="s">
        <v>551</v>
      </c>
      <c r="N24" s="298" t="s">
        <v>592</v>
      </c>
      <c r="O24" s="298"/>
      <c r="P24" s="298"/>
    </row>
    <row r="25" spans="1:16" ht="15" customHeight="1" x14ac:dyDescent="0.25">
      <c r="A25" s="298"/>
      <c r="B25" s="295"/>
      <c r="C25" s="296"/>
      <c r="D25" s="51"/>
      <c r="E25" s="297" t="s">
        <v>46</v>
      </c>
      <c r="F25" s="298"/>
      <c r="G25" s="298"/>
      <c r="H25" s="298"/>
      <c r="I25" s="298"/>
      <c r="J25" s="298"/>
      <c r="K25" s="297" t="s">
        <v>975</v>
      </c>
      <c r="L25" s="297"/>
      <c r="M25" s="298" t="s">
        <v>552</v>
      </c>
      <c r="N25" s="298" t="s">
        <v>593</v>
      </c>
      <c r="O25" s="298"/>
      <c r="P25" s="298"/>
    </row>
    <row r="26" spans="1:16" ht="15" customHeight="1" x14ac:dyDescent="0.25">
      <c r="A26" s="298"/>
      <c r="B26" s="295"/>
      <c r="C26" s="296"/>
      <c r="D26" s="51"/>
      <c r="E26" s="297" t="s">
        <v>116</v>
      </c>
      <c r="F26" s="298"/>
      <c r="G26" s="298"/>
      <c r="H26" s="298"/>
      <c r="I26" s="298"/>
      <c r="J26" s="298"/>
      <c r="K26" s="297" t="s">
        <v>976</v>
      </c>
      <c r="L26" s="297"/>
      <c r="M26" s="298" t="s">
        <v>553</v>
      </c>
      <c r="N26" s="298" t="s">
        <v>594</v>
      </c>
      <c r="O26" s="298"/>
      <c r="P26" s="298"/>
    </row>
    <row r="27" spans="1:16" ht="15" customHeight="1" x14ac:dyDescent="0.25">
      <c r="A27" s="298"/>
      <c r="B27" s="295"/>
      <c r="C27" s="296"/>
      <c r="D27" s="51"/>
      <c r="E27" s="297" t="s">
        <v>33</v>
      </c>
      <c r="F27" s="298"/>
      <c r="G27" s="298"/>
      <c r="H27" s="298"/>
      <c r="I27" s="298"/>
      <c r="J27" s="298"/>
      <c r="K27" s="297" t="s">
        <v>977</v>
      </c>
      <c r="L27" s="297"/>
      <c r="M27" s="298" t="s">
        <v>554</v>
      </c>
      <c r="N27" s="298" t="s">
        <v>595</v>
      </c>
      <c r="O27" s="298"/>
      <c r="P27" s="298"/>
    </row>
    <row r="28" spans="1:16" ht="15" customHeight="1" x14ac:dyDescent="0.25">
      <c r="A28" s="298"/>
      <c r="B28" s="301"/>
      <c r="C28" s="298"/>
      <c r="D28" s="51"/>
      <c r="E28" s="297" t="s">
        <v>18</v>
      </c>
      <c r="F28" s="298"/>
      <c r="G28" s="298"/>
      <c r="H28" s="298"/>
      <c r="I28" s="298"/>
      <c r="J28" s="298"/>
      <c r="K28" s="297" t="s">
        <v>113</v>
      </c>
      <c r="L28" s="298"/>
      <c r="M28" s="298" t="s">
        <v>555</v>
      </c>
      <c r="N28" s="298" t="s">
        <v>596</v>
      </c>
      <c r="O28" s="298"/>
      <c r="P28" s="298"/>
    </row>
    <row r="29" spans="1:16" ht="15" customHeight="1" x14ac:dyDescent="0.25">
      <c r="A29" s="298"/>
      <c r="B29" s="301"/>
      <c r="C29" s="298"/>
      <c r="D29" s="51"/>
      <c r="E29" s="297" t="s">
        <v>24</v>
      </c>
      <c r="F29" s="298"/>
      <c r="G29" s="298"/>
      <c r="H29" s="298"/>
      <c r="I29" s="298"/>
      <c r="J29" s="298"/>
      <c r="K29" s="298"/>
      <c r="L29" s="298"/>
      <c r="M29" s="298" t="s">
        <v>556</v>
      </c>
      <c r="N29" s="298"/>
      <c r="O29" s="298"/>
      <c r="P29" s="298"/>
    </row>
    <row r="30" spans="1:16" ht="15" customHeight="1" x14ac:dyDescent="0.25">
      <c r="A30" s="298"/>
      <c r="B30" s="301"/>
      <c r="C30" s="298"/>
      <c r="D30" s="51"/>
      <c r="E30" s="297" t="s">
        <v>41</v>
      </c>
      <c r="F30" s="298"/>
      <c r="G30" s="298"/>
      <c r="H30" s="298"/>
      <c r="I30" s="298"/>
      <c r="J30" s="298"/>
      <c r="K30" s="298"/>
      <c r="L30" s="298"/>
      <c r="M30" s="298" t="s">
        <v>557</v>
      </c>
      <c r="N30" s="298"/>
      <c r="O30" s="298"/>
      <c r="P30" s="298"/>
    </row>
    <row r="31" spans="1:16" ht="15" customHeight="1" x14ac:dyDescent="0.25">
      <c r="A31" s="298"/>
      <c r="B31" s="301"/>
      <c r="C31" s="298"/>
      <c r="D31" s="51"/>
      <c r="E31" s="297" t="s">
        <v>44</v>
      </c>
      <c r="F31" s="298"/>
      <c r="G31" s="298"/>
      <c r="H31" s="298"/>
      <c r="I31" s="298"/>
      <c r="J31" s="298"/>
      <c r="K31" s="298"/>
      <c r="L31" s="298"/>
      <c r="M31" s="298"/>
      <c r="N31" s="298"/>
      <c r="O31" s="298"/>
      <c r="P31" s="298"/>
    </row>
    <row r="32" spans="1:16" ht="15" customHeight="1" x14ac:dyDescent="0.25">
      <c r="A32" s="298"/>
      <c r="B32" s="301"/>
      <c r="C32" s="298"/>
      <c r="D32" s="51"/>
      <c r="E32" s="297" t="s">
        <v>42</v>
      </c>
      <c r="F32" s="298"/>
      <c r="G32" s="298"/>
      <c r="H32" s="298"/>
      <c r="I32" s="298"/>
      <c r="J32" s="298"/>
      <c r="K32" s="298"/>
      <c r="L32" s="298"/>
      <c r="M32" s="298"/>
      <c r="N32" s="298"/>
      <c r="O32" s="298"/>
      <c r="P32" s="298"/>
    </row>
    <row r="33" spans="1:16" ht="15" customHeight="1" x14ac:dyDescent="0.25">
      <c r="A33" s="298"/>
      <c r="B33" s="301"/>
      <c r="C33" s="298"/>
      <c r="D33" s="51"/>
      <c r="E33" s="297" t="s">
        <v>49</v>
      </c>
      <c r="F33" s="298"/>
      <c r="G33" s="298"/>
      <c r="H33" s="298"/>
      <c r="I33" s="298"/>
      <c r="J33" s="298"/>
      <c r="K33" s="298"/>
      <c r="L33" s="298"/>
      <c r="M33" s="298"/>
      <c r="N33" s="298"/>
      <c r="O33" s="298"/>
      <c r="P33" s="298"/>
    </row>
    <row r="34" spans="1:16" ht="15" customHeight="1" x14ac:dyDescent="0.25">
      <c r="A34" s="298"/>
      <c r="B34" s="301"/>
      <c r="C34" s="298"/>
      <c r="D34" s="51"/>
      <c r="E34" s="297" t="s">
        <v>52</v>
      </c>
      <c r="F34" s="298"/>
      <c r="G34" s="298"/>
      <c r="H34" s="298"/>
      <c r="I34" s="298"/>
      <c r="J34" s="298"/>
      <c r="K34" s="298"/>
      <c r="L34" s="298"/>
      <c r="M34" s="298"/>
      <c r="N34" s="298"/>
      <c r="O34" s="298"/>
      <c r="P34" s="298"/>
    </row>
    <row r="35" spans="1:16" ht="15" customHeight="1" x14ac:dyDescent="0.25">
      <c r="A35" s="298"/>
      <c r="B35" s="301"/>
      <c r="C35" s="298"/>
      <c r="D35" s="51"/>
      <c r="E35" s="297" t="s">
        <v>48</v>
      </c>
      <c r="F35" s="298"/>
      <c r="G35" s="298"/>
      <c r="H35" s="298"/>
      <c r="I35" s="298"/>
      <c r="J35" s="298"/>
      <c r="K35" s="298"/>
      <c r="L35" s="298"/>
      <c r="M35" s="298"/>
      <c r="N35" s="298"/>
      <c r="O35" s="298"/>
      <c r="P35" s="298"/>
    </row>
    <row r="36" spans="1:16" ht="15" customHeight="1" x14ac:dyDescent="0.25">
      <c r="A36" s="298"/>
      <c r="B36" s="301"/>
      <c r="C36" s="298"/>
      <c r="D36" s="51"/>
      <c r="E36" s="297" t="s">
        <v>43</v>
      </c>
      <c r="F36" s="298"/>
      <c r="G36" s="298"/>
      <c r="H36" s="298"/>
      <c r="I36" s="298"/>
      <c r="J36" s="298"/>
      <c r="K36" s="298"/>
      <c r="L36" s="298"/>
      <c r="M36" s="298"/>
      <c r="N36" s="298"/>
      <c r="O36" s="298"/>
      <c r="P36" s="298"/>
    </row>
    <row r="37" spans="1:16" ht="12.5" x14ac:dyDescent="0.25">
      <c r="A37" s="298"/>
      <c r="B37" s="301"/>
      <c r="C37" s="298"/>
      <c r="D37" s="51"/>
      <c r="E37" s="297" t="s">
        <v>19</v>
      </c>
      <c r="F37" s="298"/>
      <c r="G37" s="298"/>
      <c r="H37" s="298"/>
      <c r="I37" s="298"/>
      <c r="J37" s="298"/>
      <c r="K37" s="298"/>
      <c r="L37" s="298"/>
      <c r="M37" s="298"/>
      <c r="N37" s="298"/>
      <c r="O37" s="298"/>
      <c r="P37" s="298"/>
    </row>
    <row r="38" spans="1:16" ht="12.5" x14ac:dyDescent="0.25">
      <c r="A38" s="298"/>
      <c r="B38" s="301"/>
      <c r="C38" s="298"/>
      <c r="D38" s="51"/>
      <c r="E38" s="297" t="s">
        <v>117</v>
      </c>
      <c r="F38" s="298"/>
      <c r="G38" s="298"/>
      <c r="H38" s="298"/>
      <c r="I38" s="298"/>
      <c r="J38" s="298"/>
      <c r="K38" s="298"/>
      <c r="L38" s="298"/>
      <c r="M38" s="298"/>
      <c r="N38" s="298"/>
      <c r="O38" s="298"/>
      <c r="P38" s="298"/>
    </row>
    <row r="39" spans="1:16" ht="12.5" x14ac:dyDescent="0.25">
      <c r="A39" s="298"/>
      <c r="B39" s="301"/>
      <c r="C39" s="298"/>
      <c r="D39" s="51"/>
      <c r="E39" s="297" t="s">
        <v>23</v>
      </c>
      <c r="F39" s="298"/>
      <c r="G39" s="298"/>
      <c r="H39" s="298"/>
      <c r="I39" s="298"/>
      <c r="J39" s="298"/>
      <c r="K39" s="298"/>
      <c r="L39" s="298"/>
      <c r="M39" s="298"/>
      <c r="N39" s="298"/>
      <c r="O39" s="298"/>
      <c r="P39" s="298"/>
    </row>
    <row r="40" spans="1:16" ht="12.5" x14ac:dyDescent="0.25">
      <c r="A40" s="298"/>
      <c r="B40" s="301"/>
      <c r="C40" s="298"/>
      <c r="D40" s="51"/>
      <c r="E40" s="297" t="s">
        <v>31</v>
      </c>
      <c r="F40" s="298"/>
      <c r="G40" s="298"/>
      <c r="H40" s="298"/>
      <c r="I40" s="298"/>
      <c r="J40" s="298"/>
      <c r="K40" s="298"/>
      <c r="L40" s="298"/>
      <c r="M40" s="298"/>
      <c r="N40" s="298"/>
      <c r="O40" s="298"/>
      <c r="P40" s="298"/>
    </row>
    <row r="41" spans="1:16" ht="12.5" x14ac:dyDescent="0.25">
      <c r="A41" s="298"/>
      <c r="B41" s="301"/>
      <c r="C41" s="298"/>
      <c r="D41" s="51"/>
      <c r="E41" s="297" t="s">
        <v>118</v>
      </c>
      <c r="F41" s="298"/>
      <c r="G41" s="298"/>
      <c r="H41" s="298"/>
      <c r="I41" s="298"/>
      <c r="J41" s="298"/>
      <c r="K41" s="298"/>
      <c r="L41" s="298"/>
      <c r="M41" s="298"/>
      <c r="N41" s="298"/>
      <c r="O41" s="298"/>
      <c r="P41" s="298"/>
    </row>
    <row r="42" spans="1:16" ht="12.5" x14ac:dyDescent="0.25">
      <c r="A42" s="298"/>
      <c r="B42" s="301"/>
      <c r="C42" s="298"/>
      <c r="D42" s="51"/>
      <c r="E42" s="297" t="s">
        <v>119</v>
      </c>
      <c r="F42" s="298"/>
      <c r="G42" s="298"/>
      <c r="H42" s="298"/>
      <c r="I42" s="298"/>
      <c r="J42" s="298"/>
      <c r="K42" s="298"/>
      <c r="L42" s="298"/>
      <c r="M42" s="298"/>
      <c r="N42" s="298"/>
      <c r="O42" s="298"/>
      <c r="P42" s="298"/>
    </row>
    <row r="43" spans="1:16" ht="12.5" x14ac:dyDescent="0.25">
      <c r="A43" s="298"/>
      <c r="B43" s="301"/>
      <c r="C43" s="298"/>
      <c r="D43" s="51"/>
      <c r="E43" s="297" t="s">
        <v>40</v>
      </c>
      <c r="F43" s="298"/>
      <c r="G43" s="298"/>
      <c r="H43" s="298"/>
      <c r="I43" s="298"/>
      <c r="J43" s="298"/>
      <c r="K43" s="298"/>
      <c r="L43" s="298"/>
      <c r="M43" s="298"/>
      <c r="N43" s="298"/>
      <c r="O43" s="298"/>
      <c r="P43" s="298"/>
    </row>
    <row r="44" spans="1:16" ht="12.5" x14ac:dyDescent="0.25">
      <c r="A44" s="298"/>
      <c r="B44" s="301"/>
      <c r="C44" s="298"/>
      <c r="D44" s="51"/>
      <c r="E44" s="297" t="s">
        <v>120</v>
      </c>
      <c r="F44" s="298"/>
      <c r="G44" s="298"/>
      <c r="H44" s="298"/>
      <c r="I44" s="298"/>
      <c r="J44" s="298"/>
      <c r="K44" s="298"/>
      <c r="L44" s="298"/>
      <c r="M44" s="298"/>
      <c r="N44" s="298"/>
      <c r="O44" s="298"/>
      <c r="P44" s="298"/>
    </row>
    <row r="45" spans="1:16" ht="12.5" x14ac:dyDescent="0.25">
      <c r="A45" s="298"/>
      <c r="B45" s="301"/>
      <c r="C45" s="298"/>
      <c r="D45" s="51"/>
      <c r="E45" s="297" t="s">
        <v>121</v>
      </c>
      <c r="F45" s="298"/>
      <c r="G45" s="298"/>
      <c r="H45" s="298"/>
      <c r="I45" s="298"/>
      <c r="J45" s="298"/>
      <c r="K45" s="298"/>
      <c r="L45" s="298"/>
      <c r="M45" s="298"/>
      <c r="N45" s="298"/>
      <c r="O45" s="298"/>
      <c r="P45" s="298"/>
    </row>
    <row r="46" spans="1:16" ht="12.5" x14ac:dyDescent="0.25">
      <c r="A46" s="298"/>
      <c r="B46" s="301"/>
      <c r="C46" s="298"/>
      <c r="D46" s="51"/>
      <c r="E46" s="297" t="s">
        <v>122</v>
      </c>
      <c r="F46" s="298"/>
      <c r="G46" s="298"/>
      <c r="H46" s="298"/>
      <c r="I46" s="298"/>
      <c r="J46" s="298"/>
      <c r="K46" s="298"/>
      <c r="L46" s="298"/>
      <c r="M46" s="298"/>
      <c r="N46" s="298"/>
      <c r="O46" s="298"/>
      <c r="P46" s="298"/>
    </row>
    <row r="47" spans="1:16" ht="12.5" x14ac:dyDescent="0.25">
      <c r="A47" s="298"/>
      <c r="B47" s="301"/>
      <c r="C47" s="298"/>
      <c r="D47" s="51"/>
      <c r="E47" s="297" t="s">
        <v>30</v>
      </c>
      <c r="F47" s="298"/>
      <c r="G47" s="298"/>
      <c r="H47" s="298"/>
      <c r="I47" s="298"/>
      <c r="J47" s="298"/>
      <c r="K47" s="298"/>
      <c r="L47" s="298"/>
      <c r="M47" s="298"/>
      <c r="N47" s="298"/>
      <c r="O47" s="298"/>
      <c r="P47" s="298"/>
    </row>
    <row r="48" spans="1:16" ht="12.5" x14ac:dyDescent="0.25">
      <c r="A48" s="298"/>
      <c r="B48" s="301"/>
      <c r="C48" s="298"/>
      <c r="D48" s="51"/>
      <c r="E48" s="297" t="s">
        <v>123</v>
      </c>
      <c r="F48" s="298"/>
      <c r="G48" s="298"/>
      <c r="H48" s="298"/>
      <c r="I48" s="298"/>
      <c r="J48" s="298"/>
      <c r="K48" s="298"/>
      <c r="L48" s="298"/>
      <c r="M48" s="298"/>
      <c r="N48" s="298"/>
      <c r="O48" s="298"/>
      <c r="P48" s="298"/>
    </row>
    <row r="49" spans="1:16" ht="12.5" x14ac:dyDescent="0.25">
      <c r="A49" s="298"/>
      <c r="B49" s="301"/>
      <c r="C49" s="298"/>
      <c r="D49" s="51"/>
      <c r="E49" s="297" t="s">
        <v>16</v>
      </c>
      <c r="F49" s="298"/>
      <c r="G49" s="298"/>
      <c r="H49" s="298"/>
      <c r="I49" s="298"/>
      <c r="J49" s="298"/>
      <c r="K49" s="298"/>
      <c r="L49" s="298"/>
      <c r="M49" s="298"/>
      <c r="N49" s="298"/>
      <c r="O49" s="298"/>
      <c r="P49" s="298"/>
    </row>
    <row r="50" spans="1:16" ht="12.5" x14ac:dyDescent="0.25">
      <c r="A50" s="298"/>
      <c r="B50" s="301"/>
      <c r="C50" s="298"/>
      <c r="D50" s="51"/>
      <c r="E50" s="297" t="s">
        <v>51</v>
      </c>
      <c r="F50" s="298"/>
      <c r="G50" s="298"/>
      <c r="H50" s="298"/>
      <c r="I50" s="298"/>
      <c r="J50" s="298"/>
      <c r="K50" s="298"/>
      <c r="L50" s="298"/>
      <c r="M50" s="298"/>
      <c r="N50" s="298"/>
      <c r="O50" s="298"/>
      <c r="P50" s="298"/>
    </row>
    <row r="51" spans="1:16" ht="12.5" x14ac:dyDescent="0.25">
      <c r="A51" s="298"/>
      <c r="B51" s="301"/>
      <c r="C51" s="298"/>
      <c r="D51" s="51"/>
      <c r="E51" s="297" t="s">
        <v>124</v>
      </c>
      <c r="F51" s="298"/>
      <c r="G51" s="298"/>
      <c r="H51" s="298"/>
      <c r="I51" s="298"/>
      <c r="J51" s="298"/>
      <c r="K51" s="298"/>
      <c r="L51" s="298"/>
      <c r="M51" s="298"/>
      <c r="N51" s="298"/>
      <c r="O51" s="298"/>
      <c r="P51" s="298"/>
    </row>
    <row r="52" spans="1:16" ht="12.5" x14ac:dyDescent="0.25">
      <c r="A52" s="298"/>
      <c r="B52" s="301"/>
      <c r="C52" s="298"/>
      <c r="D52" s="51"/>
      <c r="E52" s="297" t="s">
        <v>25</v>
      </c>
      <c r="F52" s="298"/>
      <c r="G52" s="298"/>
      <c r="H52" s="298"/>
      <c r="I52" s="298"/>
      <c r="J52" s="298"/>
      <c r="K52" s="298"/>
      <c r="L52" s="298"/>
      <c r="M52" s="298"/>
      <c r="N52" s="298"/>
      <c r="O52" s="298"/>
      <c r="P52" s="298"/>
    </row>
    <row r="53" spans="1:16" ht="12.5" x14ac:dyDescent="0.25">
      <c r="A53" s="298"/>
      <c r="B53" s="301"/>
      <c r="C53" s="298"/>
      <c r="D53" s="51"/>
      <c r="E53" s="297" t="s">
        <v>27</v>
      </c>
      <c r="F53" s="298"/>
      <c r="G53" s="298"/>
      <c r="H53" s="298"/>
      <c r="I53" s="298"/>
      <c r="J53" s="298"/>
      <c r="K53" s="298"/>
      <c r="L53" s="298"/>
      <c r="M53" s="298"/>
      <c r="N53" s="298"/>
      <c r="O53" s="298"/>
      <c r="P53" s="298"/>
    </row>
    <row r="54" spans="1:16" ht="12.5" x14ac:dyDescent="0.25">
      <c r="A54" s="298"/>
      <c r="B54" s="301"/>
      <c r="C54" s="298"/>
      <c r="D54" s="51"/>
      <c r="E54" s="297" t="s">
        <v>34</v>
      </c>
      <c r="F54" s="298"/>
      <c r="G54" s="298"/>
      <c r="H54" s="298"/>
      <c r="I54" s="298"/>
      <c r="J54" s="298"/>
      <c r="K54" s="298"/>
      <c r="L54" s="298"/>
      <c r="M54" s="298"/>
      <c r="N54" s="298"/>
      <c r="O54" s="298"/>
      <c r="P54" s="298"/>
    </row>
    <row r="55" spans="1:16" ht="12.5" x14ac:dyDescent="0.25">
      <c r="A55" s="298"/>
      <c r="B55" s="301"/>
      <c r="C55" s="298"/>
      <c r="D55" s="51"/>
      <c r="E55" s="297" t="s">
        <v>125</v>
      </c>
      <c r="F55" s="298"/>
      <c r="G55" s="298"/>
      <c r="H55" s="298"/>
      <c r="I55" s="298"/>
      <c r="J55" s="298"/>
      <c r="K55" s="298"/>
      <c r="L55" s="298"/>
      <c r="M55" s="298"/>
      <c r="N55" s="298"/>
      <c r="O55" s="298"/>
      <c r="P55" s="298"/>
    </row>
    <row r="56" spans="1:16" ht="12.5" x14ac:dyDescent="0.25">
      <c r="A56" s="298"/>
      <c r="B56" s="301"/>
      <c r="C56" s="298"/>
      <c r="D56" s="51"/>
      <c r="E56" s="297" t="s">
        <v>28</v>
      </c>
      <c r="F56" s="298"/>
      <c r="G56" s="298"/>
      <c r="H56" s="298"/>
      <c r="I56" s="298"/>
      <c r="J56" s="298"/>
      <c r="K56" s="298"/>
      <c r="L56" s="298"/>
      <c r="M56" s="298"/>
      <c r="N56" s="298"/>
      <c r="O56" s="298"/>
      <c r="P56" s="298"/>
    </row>
    <row r="57" spans="1:16" ht="12.5" x14ac:dyDescent="0.25">
      <c r="A57" s="298"/>
      <c r="B57" s="301"/>
      <c r="C57" s="298"/>
      <c r="D57" s="51"/>
      <c r="E57" s="297" t="s">
        <v>126</v>
      </c>
      <c r="F57" s="298"/>
      <c r="G57" s="298"/>
      <c r="H57" s="298"/>
      <c r="I57" s="298"/>
      <c r="J57" s="298"/>
      <c r="K57" s="298"/>
      <c r="L57" s="298"/>
      <c r="M57" s="298"/>
      <c r="N57" s="298"/>
      <c r="O57" s="298"/>
      <c r="P57" s="298"/>
    </row>
    <row r="58" spans="1:16" ht="12.5" x14ac:dyDescent="0.25">
      <c r="A58" s="298"/>
      <c r="B58" s="301"/>
      <c r="C58" s="298"/>
      <c r="D58" s="51"/>
      <c r="E58" s="297" t="s">
        <v>37</v>
      </c>
      <c r="F58" s="298"/>
      <c r="G58" s="298"/>
      <c r="H58" s="298"/>
      <c r="I58" s="298"/>
      <c r="J58" s="298"/>
      <c r="K58" s="298"/>
      <c r="L58" s="298"/>
      <c r="M58" s="298"/>
      <c r="N58" s="298"/>
      <c r="O58" s="298"/>
      <c r="P58" s="298"/>
    </row>
    <row r="59" spans="1:16" ht="12.5" x14ac:dyDescent="0.25">
      <c r="A59" s="298"/>
      <c r="B59" s="301"/>
      <c r="C59" s="298"/>
      <c r="D59" s="51"/>
      <c r="E59" s="297" t="s">
        <v>127</v>
      </c>
      <c r="F59" s="298"/>
      <c r="G59" s="298"/>
      <c r="H59" s="298"/>
      <c r="I59" s="298"/>
      <c r="J59" s="298"/>
      <c r="K59" s="298"/>
      <c r="L59" s="298"/>
      <c r="M59" s="298"/>
      <c r="N59" s="298"/>
      <c r="O59" s="298"/>
      <c r="P59" s="298"/>
    </row>
    <row r="60" spans="1:16" ht="12.5" x14ac:dyDescent="0.25">
      <c r="A60" s="298"/>
      <c r="B60" s="301"/>
      <c r="C60" s="298"/>
      <c r="D60" s="51"/>
      <c r="E60" s="297" t="s">
        <v>38</v>
      </c>
      <c r="F60" s="298"/>
      <c r="G60" s="298"/>
      <c r="H60" s="298"/>
      <c r="I60" s="298"/>
      <c r="J60" s="298"/>
      <c r="K60" s="298"/>
      <c r="L60" s="298"/>
      <c r="M60" s="298"/>
      <c r="N60" s="298"/>
      <c r="O60" s="298"/>
      <c r="P60" s="298"/>
    </row>
    <row r="61" spans="1:16" ht="12.5" x14ac:dyDescent="0.25">
      <c r="A61" s="298"/>
      <c r="B61" s="301"/>
      <c r="C61" s="298"/>
      <c r="D61" s="51"/>
      <c r="E61" s="297" t="s">
        <v>128</v>
      </c>
      <c r="F61" s="298"/>
      <c r="G61" s="298"/>
      <c r="H61" s="298"/>
      <c r="I61" s="298"/>
      <c r="J61" s="298"/>
      <c r="K61" s="298"/>
      <c r="L61" s="298"/>
      <c r="M61" s="298"/>
      <c r="N61" s="298"/>
      <c r="O61" s="298"/>
      <c r="P61" s="298"/>
    </row>
    <row r="62" spans="1:16" ht="15" customHeight="1" x14ac:dyDescent="0.25">
      <c r="A62" s="298"/>
      <c r="B62" s="301"/>
      <c r="C62" s="298"/>
      <c r="D62" s="51"/>
      <c r="E62" s="298"/>
      <c r="F62" s="298"/>
      <c r="G62" s="298"/>
      <c r="H62" s="298"/>
      <c r="I62" s="298"/>
      <c r="J62" s="298"/>
      <c r="K62" s="298"/>
      <c r="L62" s="298"/>
      <c r="M62" s="298"/>
      <c r="N62" s="298"/>
      <c r="O62" s="298"/>
      <c r="P62" s="298"/>
    </row>
    <row r="63" spans="1:16" ht="15" customHeight="1" x14ac:dyDescent="0.25">
      <c r="A63" s="298"/>
      <c r="B63" s="301"/>
      <c r="C63" s="298"/>
      <c r="D63" s="51"/>
      <c r="E63" s="298"/>
      <c r="F63" s="298"/>
      <c r="G63" s="298"/>
      <c r="H63" s="298"/>
      <c r="I63" s="298"/>
      <c r="J63" s="298"/>
      <c r="K63" s="298"/>
      <c r="L63" s="298"/>
      <c r="M63" s="298"/>
      <c r="N63" s="298"/>
      <c r="O63" s="298"/>
      <c r="P63" s="298"/>
    </row>
    <row r="64" spans="1:16" ht="15" customHeight="1" x14ac:dyDescent="0.25">
      <c r="A64" s="298"/>
      <c r="B64" s="301"/>
      <c r="C64" s="298"/>
      <c r="D64" s="51"/>
      <c r="E64" s="298"/>
      <c r="F64" s="298"/>
      <c r="G64" s="298"/>
      <c r="H64" s="298"/>
      <c r="I64" s="298"/>
      <c r="J64" s="298"/>
      <c r="K64" s="298"/>
      <c r="L64" s="298"/>
      <c r="M64" s="298"/>
      <c r="N64" s="298"/>
      <c r="O64" s="298"/>
      <c r="P64" s="298"/>
    </row>
    <row r="65" spans="1:16" ht="15" customHeight="1" x14ac:dyDescent="0.25">
      <c r="A65" s="298"/>
      <c r="B65" s="301"/>
      <c r="C65" s="298"/>
      <c r="D65" s="51"/>
      <c r="E65" s="298"/>
      <c r="F65" s="298"/>
      <c r="G65" s="298"/>
      <c r="H65" s="298"/>
      <c r="I65" s="298"/>
      <c r="J65" s="298"/>
      <c r="K65" s="298"/>
      <c r="L65" s="298"/>
      <c r="M65" s="298"/>
      <c r="N65" s="298"/>
      <c r="O65" s="298"/>
      <c r="P65" s="298"/>
    </row>
    <row r="66" spans="1:16" ht="15" customHeight="1" x14ac:dyDescent="0.25">
      <c r="A66" s="298"/>
      <c r="B66" s="301"/>
      <c r="C66" s="298"/>
      <c r="D66" s="51"/>
      <c r="E66" s="298"/>
      <c r="F66" s="298"/>
      <c r="G66" s="298"/>
      <c r="H66" s="298"/>
      <c r="I66" s="298"/>
      <c r="J66" s="298"/>
      <c r="K66" s="298"/>
      <c r="L66" s="298"/>
      <c r="M66" s="298"/>
      <c r="N66" s="298"/>
      <c r="O66" s="298"/>
      <c r="P66" s="298"/>
    </row>
    <row r="67" spans="1:16" ht="15" customHeight="1" x14ac:dyDescent="0.25">
      <c r="A67" s="298"/>
      <c r="B67" s="301"/>
      <c r="C67" s="298"/>
      <c r="D67" s="51"/>
      <c r="E67" s="298"/>
      <c r="F67" s="298"/>
      <c r="G67" s="298"/>
      <c r="H67" s="298"/>
      <c r="I67" s="298"/>
      <c r="J67" s="298"/>
      <c r="K67" s="298"/>
      <c r="L67" s="298"/>
      <c r="M67" s="298"/>
      <c r="N67" s="298"/>
      <c r="O67" s="298"/>
      <c r="P67" s="298"/>
    </row>
    <row r="68" spans="1:16" ht="15" customHeight="1" x14ac:dyDescent="0.25">
      <c r="A68" s="298"/>
      <c r="B68" s="301"/>
      <c r="C68" s="298"/>
      <c r="D68" s="51"/>
      <c r="E68" s="298"/>
      <c r="F68" s="298"/>
      <c r="G68" s="298"/>
      <c r="H68" s="298"/>
      <c r="I68" s="298"/>
      <c r="J68" s="298"/>
      <c r="K68" s="298"/>
      <c r="L68" s="298"/>
      <c r="M68" s="298"/>
      <c r="N68" s="298"/>
      <c r="O68" s="298"/>
      <c r="P68" s="298"/>
    </row>
    <row r="69" spans="1:16" ht="15" customHeight="1" x14ac:dyDescent="0.25">
      <c r="A69" s="298"/>
      <c r="B69" s="301"/>
      <c r="C69" s="298"/>
      <c r="D69" s="298"/>
      <c r="E69" s="298"/>
      <c r="F69" s="298"/>
      <c r="G69" s="298"/>
      <c r="H69" s="298"/>
      <c r="I69" s="298"/>
      <c r="J69" s="298"/>
      <c r="K69" s="298"/>
      <c r="L69" s="298"/>
      <c r="M69" s="298"/>
      <c r="N69" s="298"/>
      <c r="O69" s="298"/>
      <c r="P69" s="298"/>
    </row>
    <row r="70" spans="1:16" ht="15" customHeight="1" x14ac:dyDescent="0.25">
      <c r="A70" s="298"/>
      <c r="B70" s="301"/>
      <c r="C70" s="298"/>
      <c r="D70" s="298"/>
      <c r="E70" s="298"/>
      <c r="F70" s="298"/>
      <c r="G70" s="298"/>
      <c r="H70" s="298"/>
      <c r="I70" s="298"/>
      <c r="J70" s="298"/>
      <c r="K70" s="298"/>
      <c r="L70" s="298"/>
      <c r="M70" s="298"/>
      <c r="N70" s="298"/>
      <c r="O70" s="298"/>
      <c r="P70" s="298"/>
    </row>
    <row r="71" spans="1:16" ht="15" customHeight="1" x14ac:dyDescent="0.25">
      <c r="A71" s="298"/>
      <c r="B71" s="301"/>
      <c r="C71" s="298"/>
      <c r="D71" s="298"/>
      <c r="E71" s="298"/>
      <c r="F71" s="298"/>
      <c r="G71" s="298"/>
      <c r="H71" s="298"/>
      <c r="I71" s="298"/>
      <c r="J71" s="298"/>
      <c r="K71" s="298"/>
      <c r="L71" s="298"/>
      <c r="M71" s="298"/>
      <c r="N71" s="298"/>
      <c r="O71" s="298"/>
      <c r="P71" s="298"/>
    </row>
    <row r="72" spans="1:16" ht="15" customHeight="1" x14ac:dyDescent="0.25">
      <c r="A72" s="298"/>
      <c r="B72" s="301"/>
      <c r="C72" s="298"/>
      <c r="D72" s="298"/>
      <c r="E72" s="298"/>
      <c r="F72" s="298"/>
      <c r="G72" s="298"/>
      <c r="H72" s="298"/>
      <c r="I72" s="298"/>
      <c r="J72" s="298"/>
      <c r="K72" s="298"/>
      <c r="L72" s="298"/>
      <c r="M72" s="298"/>
      <c r="N72" s="298"/>
      <c r="O72" s="298"/>
      <c r="P72" s="298"/>
    </row>
    <row r="73" spans="1:16" ht="15" customHeight="1" x14ac:dyDescent="0.25">
      <c r="A73" s="298"/>
      <c r="B73" s="301"/>
      <c r="C73" s="298"/>
      <c r="D73" s="298"/>
      <c r="E73" s="298"/>
      <c r="F73" s="298"/>
      <c r="G73" s="298"/>
      <c r="H73" s="298"/>
      <c r="I73" s="298"/>
      <c r="J73" s="298"/>
      <c r="K73" s="298"/>
      <c r="L73" s="298"/>
      <c r="M73" s="298"/>
      <c r="N73" s="298"/>
      <c r="O73" s="298"/>
      <c r="P73" s="298"/>
    </row>
    <row r="74" spans="1:16" ht="15" customHeight="1" x14ac:dyDescent="0.25">
      <c r="A74" s="298"/>
      <c r="B74" s="301"/>
      <c r="C74" s="298"/>
      <c r="D74" s="298"/>
      <c r="E74" s="298"/>
      <c r="F74" s="298"/>
      <c r="G74" s="298"/>
      <c r="H74" s="298"/>
      <c r="I74" s="298"/>
      <c r="J74" s="298"/>
      <c r="K74" s="298"/>
      <c r="L74" s="298"/>
      <c r="M74" s="298"/>
      <c r="N74" s="298"/>
      <c r="O74" s="298"/>
      <c r="P74" s="298"/>
    </row>
    <row r="75" spans="1:16" ht="15" customHeight="1" x14ac:dyDescent="0.25">
      <c r="A75" s="298"/>
      <c r="B75" s="301"/>
      <c r="C75" s="298"/>
      <c r="D75" s="298"/>
      <c r="E75" s="298"/>
      <c r="F75" s="298"/>
      <c r="G75" s="298"/>
      <c r="H75" s="298"/>
      <c r="I75" s="298"/>
      <c r="J75" s="298"/>
      <c r="K75" s="298"/>
      <c r="L75" s="298"/>
      <c r="M75" s="298"/>
      <c r="N75" s="298"/>
      <c r="O75" s="298"/>
      <c r="P75" s="298"/>
    </row>
    <row r="76" spans="1:16" ht="15" customHeight="1" x14ac:dyDescent="0.25">
      <c r="A76" s="298"/>
      <c r="B76" s="301"/>
      <c r="C76" s="298"/>
      <c r="D76" s="298"/>
      <c r="E76" s="298"/>
      <c r="F76" s="298"/>
      <c r="G76" s="298"/>
      <c r="H76" s="298"/>
      <c r="I76" s="298"/>
      <c r="J76" s="298"/>
      <c r="K76" s="298"/>
      <c r="L76" s="298"/>
      <c r="M76" s="298"/>
      <c r="N76" s="298"/>
      <c r="O76" s="298"/>
      <c r="P76" s="298"/>
    </row>
    <row r="77" spans="1:16" ht="15" customHeight="1" x14ac:dyDescent="0.25">
      <c r="A77" s="298"/>
      <c r="B77" s="301"/>
      <c r="C77" s="298"/>
      <c r="D77" s="298"/>
      <c r="E77" s="298"/>
      <c r="F77" s="298"/>
      <c r="G77" s="298"/>
      <c r="H77" s="298"/>
      <c r="I77" s="298"/>
      <c r="J77" s="298"/>
      <c r="K77" s="298"/>
      <c r="L77" s="298"/>
      <c r="M77" s="298"/>
      <c r="N77" s="298"/>
      <c r="O77" s="298"/>
      <c r="P77" s="298"/>
    </row>
    <row r="78" spans="1:16" ht="15" customHeight="1" x14ac:dyDescent="0.25">
      <c r="A78" s="298"/>
      <c r="B78" s="301"/>
      <c r="C78" s="298"/>
      <c r="D78" s="298"/>
      <c r="E78" s="298"/>
      <c r="F78" s="298"/>
      <c r="G78" s="298"/>
      <c r="H78" s="298"/>
      <c r="I78" s="298"/>
      <c r="J78" s="298"/>
      <c r="K78" s="298"/>
      <c r="L78" s="298"/>
      <c r="M78" s="298"/>
      <c r="N78" s="298"/>
      <c r="O78" s="298"/>
      <c r="P78" s="298"/>
    </row>
    <row r="79" spans="1:16" ht="15" customHeight="1" x14ac:dyDescent="0.25">
      <c r="A79" s="298"/>
      <c r="B79" s="301"/>
      <c r="C79" s="298"/>
      <c r="D79" s="298"/>
      <c r="E79" s="298"/>
      <c r="F79" s="298"/>
      <c r="G79" s="298"/>
      <c r="H79" s="298"/>
      <c r="I79" s="298"/>
      <c r="J79" s="298"/>
      <c r="K79" s="298"/>
      <c r="L79" s="298"/>
      <c r="M79" s="298"/>
      <c r="N79" s="298"/>
      <c r="O79" s="298"/>
      <c r="P79" s="298"/>
    </row>
    <row r="80" spans="1:16" ht="15" customHeight="1" x14ac:dyDescent="0.25">
      <c r="A80" s="298"/>
      <c r="B80" s="301"/>
      <c r="C80" s="298"/>
      <c r="D80" s="298"/>
      <c r="E80" s="298"/>
      <c r="F80" s="298"/>
      <c r="G80" s="298"/>
      <c r="H80" s="298"/>
      <c r="I80" s="298"/>
      <c r="J80" s="298"/>
      <c r="K80" s="298"/>
      <c r="L80" s="298"/>
      <c r="M80" s="298"/>
      <c r="N80" s="298"/>
      <c r="O80" s="298"/>
      <c r="P80" s="298"/>
    </row>
    <row r="81" spans="1:16" ht="15" customHeight="1" x14ac:dyDescent="0.25">
      <c r="A81" s="298"/>
      <c r="B81" s="301"/>
      <c r="C81" s="298"/>
      <c r="D81" s="298"/>
      <c r="E81" s="298"/>
      <c r="F81" s="298"/>
      <c r="G81" s="298"/>
      <c r="H81" s="298"/>
      <c r="I81" s="298"/>
      <c r="J81" s="298"/>
      <c r="K81" s="298"/>
      <c r="L81" s="298"/>
      <c r="M81" s="298"/>
      <c r="N81" s="298"/>
      <c r="O81" s="298"/>
      <c r="P81" s="298"/>
    </row>
    <row r="82" spans="1:16" ht="15" customHeight="1" x14ac:dyDescent="0.25">
      <c r="A82" s="298"/>
      <c r="B82" s="301"/>
      <c r="C82" s="298"/>
      <c r="D82" s="298"/>
      <c r="E82" s="298"/>
      <c r="F82" s="298"/>
      <c r="G82" s="298"/>
      <c r="H82" s="298"/>
      <c r="I82" s="298"/>
      <c r="J82" s="298"/>
      <c r="K82" s="298"/>
      <c r="L82" s="298"/>
      <c r="M82" s="298"/>
      <c r="N82" s="298"/>
      <c r="O82" s="298"/>
      <c r="P82" s="298"/>
    </row>
    <row r="83" spans="1:16" ht="15" customHeight="1" x14ac:dyDescent="0.25">
      <c r="A83" s="298"/>
      <c r="B83" s="301"/>
      <c r="C83" s="298"/>
      <c r="D83" s="298"/>
      <c r="E83" s="298"/>
      <c r="F83" s="298"/>
      <c r="G83" s="298"/>
      <c r="H83" s="298"/>
      <c r="I83" s="298"/>
      <c r="J83" s="298"/>
      <c r="K83" s="298"/>
      <c r="L83" s="298"/>
      <c r="M83" s="298"/>
      <c r="N83" s="298"/>
      <c r="O83" s="298"/>
      <c r="P83" s="298"/>
    </row>
    <row r="84" spans="1:16" ht="15" customHeight="1" x14ac:dyDescent="0.25">
      <c r="A84" s="298"/>
      <c r="B84" s="301"/>
      <c r="C84" s="298"/>
      <c r="D84" s="298"/>
      <c r="E84" s="298"/>
      <c r="F84" s="298"/>
      <c r="G84" s="298"/>
      <c r="H84" s="298"/>
      <c r="I84" s="298"/>
      <c r="J84" s="298"/>
      <c r="K84" s="298"/>
      <c r="L84" s="298"/>
      <c r="M84" s="298"/>
      <c r="N84" s="298"/>
      <c r="O84" s="298"/>
      <c r="P84" s="298"/>
    </row>
    <row r="85" spans="1:16" ht="15" customHeight="1" x14ac:dyDescent="0.25">
      <c r="A85" s="298"/>
      <c r="B85" s="301"/>
      <c r="C85" s="298"/>
      <c r="D85" s="298"/>
      <c r="E85" s="298"/>
      <c r="F85" s="298"/>
      <c r="G85" s="298"/>
      <c r="H85" s="298"/>
      <c r="I85" s="298"/>
      <c r="J85" s="298"/>
      <c r="K85" s="298"/>
      <c r="L85" s="298"/>
      <c r="M85" s="298"/>
      <c r="N85" s="298"/>
      <c r="O85" s="298"/>
      <c r="P85" s="298"/>
    </row>
    <row r="86" spans="1:16" ht="15" customHeight="1" x14ac:dyDescent="0.25">
      <c r="A86" s="298"/>
      <c r="B86" s="301"/>
      <c r="C86" s="298"/>
      <c r="D86" s="298"/>
      <c r="E86" s="298"/>
      <c r="F86" s="298"/>
      <c r="G86" s="298"/>
      <c r="H86" s="298"/>
      <c r="I86" s="298"/>
      <c r="J86" s="298"/>
      <c r="K86" s="298"/>
      <c r="L86" s="298"/>
      <c r="M86" s="298"/>
      <c r="N86" s="298"/>
      <c r="O86" s="298"/>
      <c r="P86" s="298"/>
    </row>
    <row r="87" spans="1:16" ht="15" customHeight="1" x14ac:dyDescent="0.25">
      <c r="A87" s="298"/>
      <c r="B87" s="301"/>
      <c r="C87" s="298"/>
      <c r="D87" s="298"/>
      <c r="E87" s="298"/>
      <c r="F87" s="298"/>
      <c r="G87" s="298"/>
      <c r="H87" s="298"/>
      <c r="I87" s="298"/>
      <c r="J87" s="298"/>
      <c r="K87" s="298"/>
      <c r="L87" s="298"/>
      <c r="M87" s="298"/>
      <c r="N87" s="298"/>
      <c r="O87" s="298"/>
      <c r="P87" s="298"/>
    </row>
    <row r="88" spans="1:16" ht="15" customHeight="1" x14ac:dyDescent="0.25">
      <c r="A88" s="298"/>
      <c r="B88" s="301"/>
      <c r="C88" s="298"/>
      <c r="D88" s="298"/>
      <c r="E88" s="298"/>
      <c r="F88" s="298"/>
      <c r="G88" s="298"/>
      <c r="H88" s="298"/>
      <c r="I88" s="298"/>
      <c r="J88" s="298"/>
      <c r="K88" s="298"/>
      <c r="L88" s="298"/>
      <c r="M88" s="298"/>
      <c r="N88" s="298"/>
      <c r="O88" s="298"/>
      <c r="P88" s="298"/>
    </row>
    <row r="89" spans="1:16" ht="15" customHeight="1" x14ac:dyDescent="0.25">
      <c r="A89" s="298"/>
      <c r="B89" s="301"/>
      <c r="C89" s="298"/>
      <c r="D89" s="298"/>
      <c r="E89" s="298"/>
      <c r="F89" s="298"/>
      <c r="G89" s="298"/>
      <c r="H89" s="298"/>
      <c r="I89" s="298"/>
      <c r="J89" s="298"/>
      <c r="K89" s="298"/>
      <c r="L89" s="298"/>
      <c r="M89" s="298"/>
      <c r="N89" s="298"/>
      <c r="O89" s="298"/>
      <c r="P89" s="298"/>
    </row>
    <row r="90" spans="1:16" ht="15" customHeight="1" x14ac:dyDescent="0.25">
      <c r="A90" s="298"/>
      <c r="B90" s="301"/>
      <c r="C90" s="298"/>
      <c r="D90" s="298"/>
      <c r="E90" s="298"/>
      <c r="F90" s="298"/>
      <c r="G90" s="298"/>
      <c r="H90" s="298"/>
      <c r="I90" s="298"/>
      <c r="J90" s="298"/>
      <c r="K90" s="298"/>
      <c r="L90" s="298"/>
      <c r="M90" s="298"/>
      <c r="N90" s="298"/>
      <c r="O90" s="298"/>
      <c r="P90" s="298"/>
    </row>
    <row r="91" spans="1:16" ht="15" customHeight="1" x14ac:dyDescent="0.25">
      <c r="A91" s="298"/>
      <c r="B91" s="301"/>
      <c r="C91" s="298"/>
      <c r="D91" s="298"/>
      <c r="E91" s="298"/>
      <c r="F91" s="298"/>
      <c r="G91" s="298"/>
      <c r="H91" s="298"/>
      <c r="I91" s="298"/>
      <c r="J91" s="298"/>
      <c r="K91" s="298"/>
      <c r="L91" s="298"/>
      <c r="M91" s="298"/>
      <c r="N91" s="298"/>
      <c r="O91" s="298"/>
      <c r="P91" s="298"/>
    </row>
    <row r="92" spans="1:16" ht="15" customHeight="1" x14ac:dyDescent="0.25">
      <c r="A92" s="298"/>
      <c r="B92" s="301"/>
      <c r="C92" s="298"/>
      <c r="D92" s="298"/>
      <c r="E92" s="298"/>
      <c r="F92" s="298"/>
      <c r="G92" s="298"/>
      <c r="H92" s="298"/>
      <c r="I92" s="298"/>
      <c r="J92" s="298"/>
      <c r="K92" s="298"/>
      <c r="L92" s="298"/>
      <c r="M92" s="298"/>
      <c r="N92" s="298"/>
      <c r="O92" s="298"/>
      <c r="P92" s="298"/>
    </row>
    <row r="93" spans="1:16" ht="15" customHeight="1" x14ac:dyDescent="0.25">
      <c r="A93" s="298"/>
      <c r="B93" s="301"/>
      <c r="C93" s="298"/>
      <c r="D93" s="298"/>
      <c r="E93" s="298"/>
      <c r="F93" s="298"/>
      <c r="G93" s="298"/>
      <c r="H93" s="298"/>
      <c r="I93" s="298"/>
      <c r="J93" s="298"/>
      <c r="K93" s="298"/>
      <c r="L93" s="298"/>
      <c r="M93" s="298"/>
      <c r="N93" s="298"/>
      <c r="O93" s="298"/>
      <c r="P93" s="298"/>
    </row>
    <row r="94" spans="1:16" ht="15" customHeight="1" x14ac:dyDescent="0.25">
      <c r="A94" s="298"/>
      <c r="B94" s="301"/>
      <c r="C94" s="298"/>
      <c r="D94" s="298"/>
      <c r="E94" s="298"/>
      <c r="F94" s="298"/>
      <c r="G94" s="298"/>
      <c r="H94" s="298"/>
      <c r="I94" s="298"/>
      <c r="J94" s="298"/>
      <c r="K94" s="298"/>
      <c r="L94" s="298"/>
      <c r="M94" s="298"/>
      <c r="N94" s="298"/>
      <c r="O94" s="298"/>
      <c r="P94" s="298"/>
    </row>
    <row r="95" spans="1:16" ht="15" customHeight="1" x14ac:dyDescent="0.25">
      <c r="A95" s="298"/>
      <c r="B95" s="301"/>
      <c r="C95" s="298"/>
      <c r="D95" s="298"/>
      <c r="E95" s="298"/>
      <c r="F95" s="298"/>
      <c r="G95" s="298"/>
      <c r="H95" s="298"/>
      <c r="I95" s="298"/>
      <c r="J95" s="298"/>
      <c r="K95" s="298"/>
      <c r="L95" s="298"/>
      <c r="M95" s="298"/>
      <c r="N95" s="298"/>
      <c r="O95" s="298"/>
      <c r="P95" s="298"/>
    </row>
    <row r="96" spans="1:16" ht="15" customHeight="1" x14ac:dyDescent="0.25">
      <c r="A96" s="298"/>
      <c r="B96" s="301"/>
      <c r="C96" s="298"/>
      <c r="D96" s="298"/>
      <c r="E96" s="298"/>
      <c r="F96" s="298"/>
      <c r="G96" s="298"/>
      <c r="H96" s="298"/>
      <c r="I96" s="298"/>
      <c r="J96" s="298"/>
      <c r="K96" s="298"/>
      <c r="L96" s="298"/>
      <c r="M96" s="298"/>
      <c r="N96" s="298"/>
      <c r="O96" s="298"/>
      <c r="P96" s="298"/>
    </row>
    <row r="97" spans="1:16" ht="15" customHeight="1" x14ac:dyDescent="0.25">
      <c r="A97" s="298"/>
      <c r="B97" s="301"/>
      <c r="C97" s="298"/>
      <c r="D97" s="298"/>
      <c r="E97" s="298"/>
      <c r="F97" s="298"/>
      <c r="G97" s="298"/>
      <c r="H97" s="298"/>
      <c r="I97" s="298"/>
      <c r="J97" s="298"/>
      <c r="K97" s="298"/>
      <c r="L97" s="298"/>
      <c r="M97" s="298"/>
      <c r="N97" s="298"/>
      <c r="O97" s="298"/>
      <c r="P97" s="298"/>
    </row>
    <row r="98" spans="1:16" ht="15" customHeight="1" x14ac:dyDescent="0.25">
      <c r="A98" s="298"/>
      <c r="B98" s="301"/>
      <c r="C98" s="298"/>
      <c r="D98" s="298"/>
      <c r="E98" s="298"/>
      <c r="F98" s="298"/>
      <c r="G98" s="298"/>
      <c r="H98" s="298"/>
      <c r="I98" s="298"/>
      <c r="J98" s="298"/>
      <c r="K98" s="298"/>
      <c r="L98" s="298"/>
      <c r="M98" s="298"/>
      <c r="N98" s="298"/>
      <c r="O98" s="298"/>
      <c r="P98" s="298"/>
    </row>
    <row r="99" spans="1:16" ht="15" customHeight="1" x14ac:dyDescent="0.25">
      <c r="A99" s="298"/>
      <c r="B99" s="301"/>
      <c r="C99" s="298"/>
      <c r="D99" s="298"/>
      <c r="E99" s="298"/>
      <c r="F99" s="298"/>
      <c r="G99" s="298"/>
      <c r="H99" s="298"/>
      <c r="I99" s="298"/>
      <c r="J99" s="298"/>
      <c r="K99" s="298"/>
      <c r="L99" s="298"/>
      <c r="M99" s="298"/>
      <c r="N99" s="298"/>
      <c r="O99" s="298"/>
      <c r="P99" s="298"/>
    </row>
    <row r="100" spans="1:16" ht="15" customHeight="1" x14ac:dyDescent="0.25">
      <c r="A100" s="298"/>
      <c r="B100" s="301"/>
      <c r="C100" s="298"/>
      <c r="D100" s="298"/>
      <c r="E100" s="298"/>
      <c r="F100" s="298"/>
      <c r="G100" s="298"/>
      <c r="H100" s="298"/>
      <c r="I100" s="298"/>
      <c r="J100" s="298"/>
      <c r="K100" s="298"/>
      <c r="L100" s="298"/>
      <c r="M100" s="298"/>
      <c r="N100" s="298"/>
      <c r="O100" s="298"/>
      <c r="P100" s="298"/>
    </row>
  </sheetData>
  <pageMargins left="0.7" right="0.7" top="0.75" bottom="0.75" header="0.3" footer="0.3"/>
  <pageSetup orientation="portrait" r:id="rId1"/>
  <drawing r:id="rId2"/>
  <legacyDrawing r:id="rId3"/>
  <controls>
    <mc:AlternateContent xmlns:mc="http://schemas.openxmlformats.org/markup-compatibility/2006">
      <mc:Choice Requires="x14">
        <control shapeId="37889" r:id="rId4" name="UpdateAgency">
          <controlPr defaultSize="0" autoLine="0" r:id="rId5">
            <anchor moveWithCells="1">
              <from>
                <xdr:col>0</xdr:col>
                <xdr:colOff>69850</xdr:colOff>
                <xdr:row>3</xdr:row>
                <xdr:rowOff>19050</xdr:rowOff>
              </from>
              <to>
                <xdr:col>0</xdr:col>
                <xdr:colOff>1212850</xdr:colOff>
                <xdr:row>4</xdr:row>
                <xdr:rowOff>139700</xdr:rowOff>
              </to>
            </anchor>
          </controlPr>
        </control>
      </mc:Choice>
      <mc:Fallback>
        <control shapeId="37889" r:id="rId4" name="UpdateAgency"/>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10321E-EB7E-4568-932A-33FE3FDD3E85}">
  <sheetPr codeName="Sheet23"/>
  <dimension ref="A1:BU83"/>
  <sheetViews>
    <sheetView workbookViewId="0">
      <pane xSplit="1" ySplit="2" topLeftCell="B3" activePane="bottomRight" state="frozen"/>
      <selection pane="topRight" activeCell="B1" sqref="B1"/>
      <selection pane="bottomLeft" activeCell="A3" sqref="A3"/>
      <selection pane="bottomRight" activeCell="B2" sqref="B2"/>
    </sheetView>
  </sheetViews>
  <sheetFormatPr defaultColWidth="8.7265625" defaultRowHeight="12.5" x14ac:dyDescent="0.25"/>
  <cols>
    <col min="1" max="1" width="75.453125" customWidth="1"/>
    <col min="2" max="2" width="32.1796875" style="62" customWidth="1"/>
    <col min="3" max="3" width="8" bestFit="1" customWidth="1"/>
    <col min="4" max="73" width="3.54296875" customWidth="1"/>
  </cols>
  <sheetData>
    <row r="1" spans="1:73" ht="51.5" customHeight="1" x14ac:dyDescent="0.3">
      <c r="A1" s="55" t="s">
        <v>398</v>
      </c>
      <c r="B1" s="85" t="s">
        <v>1042</v>
      </c>
      <c r="C1" s="56" t="s">
        <v>1041</v>
      </c>
      <c r="D1" s="55" t="s">
        <v>399</v>
      </c>
      <c r="E1" s="56"/>
      <c r="F1" s="56"/>
      <c r="G1" s="56"/>
      <c r="H1" s="56"/>
      <c r="I1" s="56"/>
      <c r="J1" s="56"/>
      <c r="K1" s="56"/>
      <c r="L1" s="56"/>
      <c r="M1" s="56"/>
      <c r="N1" s="56"/>
      <c r="O1" s="56"/>
      <c r="P1" s="56"/>
      <c r="Q1" s="56"/>
      <c r="R1" s="56"/>
      <c r="S1" s="56"/>
      <c r="T1" s="56"/>
      <c r="U1" s="56"/>
      <c r="V1" s="56"/>
      <c r="W1" s="56"/>
      <c r="X1" s="56"/>
      <c r="Y1" s="56"/>
      <c r="Z1" s="56"/>
      <c r="AA1" s="56"/>
      <c r="AB1" s="56"/>
      <c r="AC1" s="56"/>
      <c r="AD1" s="56"/>
      <c r="AE1" s="56"/>
      <c r="AF1" s="56"/>
      <c r="AG1" s="56"/>
      <c r="AH1" s="56"/>
      <c r="AI1" s="56"/>
      <c r="AJ1" s="56"/>
      <c r="AK1" s="56"/>
      <c r="AL1" s="56"/>
    </row>
    <row r="2" spans="1:73" ht="13" x14ac:dyDescent="0.3">
      <c r="A2" s="55" t="s">
        <v>400</v>
      </c>
      <c r="B2" s="57" t="s">
        <v>401</v>
      </c>
      <c r="C2" s="55" t="s">
        <v>402</v>
      </c>
      <c r="D2" s="58" t="s">
        <v>403</v>
      </c>
      <c r="E2" s="58" t="s">
        <v>404</v>
      </c>
      <c r="F2" s="58" t="s">
        <v>405</v>
      </c>
      <c r="G2" s="58" t="s">
        <v>406</v>
      </c>
      <c r="H2" s="58" t="s">
        <v>407</v>
      </c>
      <c r="I2" s="58" t="s">
        <v>408</v>
      </c>
      <c r="J2" s="58" t="s">
        <v>409</v>
      </c>
      <c r="K2" s="58" t="s">
        <v>410</v>
      </c>
      <c r="L2" s="58" t="s">
        <v>411</v>
      </c>
      <c r="M2" s="58" t="s">
        <v>412</v>
      </c>
      <c r="N2" s="58" t="s">
        <v>413</v>
      </c>
      <c r="O2" s="58" t="s">
        <v>414</v>
      </c>
      <c r="P2" s="58" t="s">
        <v>415</v>
      </c>
      <c r="Q2" s="58" t="s">
        <v>416</v>
      </c>
      <c r="R2" s="58" t="s">
        <v>417</v>
      </c>
      <c r="S2" s="58" t="s">
        <v>418</v>
      </c>
      <c r="T2" s="58" t="s">
        <v>419</v>
      </c>
      <c r="U2" s="58" t="s">
        <v>420</v>
      </c>
      <c r="V2" s="58" t="s">
        <v>421</v>
      </c>
      <c r="W2" s="58" t="s">
        <v>422</v>
      </c>
      <c r="X2" s="58" t="s">
        <v>423</v>
      </c>
      <c r="Y2" s="58" t="s">
        <v>424</v>
      </c>
      <c r="Z2" s="58" t="s">
        <v>425</v>
      </c>
      <c r="AA2" s="58" t="s">
        <v>426</v>
      </c>
      <c r="AB2" s="58" t="s">
        <v>427</v>
      </c>
      <c r="AC2" s="58" t="s">
        <v>428</v>
      </c>
      <c r="AD2" s="58" t="s">
        <v>429</v>
      </c>
      <c r="AE2" s="58" t="s">
        <v>430</v>
      </c>
      <c r="AF2" s="58" t="s">
        <v>431</v>
      </c>
      <c r="AG2" s="58" t="s">
        <v>432</v>
      </c>
      <c r="AH2" s="58" t="s">
        <v>433</v>
      </c>
      <c r="AI2" s="58" t="s">
        <v>434</v>
      </c>
      <c r="AJ2" s="58" t="s">
        <v>435</v>
      </c>
      <c r="AK2" s="58" t="s">
        <v>436</v>
      </c>
      <c r="AL2" s="58" t="s">
        <v>437</v>
      </c>
      <c r="AM2" s="58" t="s">
        <v>438</v>
      </c>
      <c r="AN2" s="58" t="s">
        <v>103</v>
      </c>
      <c r="AO2" s="58" t="s">
        <v>53</v>
      </c>
      <c r="AP2" s="58" t="s">
        <v>727</v>
      </c>
      <c r="AQ2" s="58" t="s">
        <v>728</v>
      </c>
      <c r="AR2" s="58" t="s">
        <v>729</v>
      </c>
      <c r="AS2" s="58" t="s">
        <v>730</v>
      </c>
      <c r="AT2" s="58" t="s">
        <v>731</v>
      </c>
      <c r="AU2" s="58" t="s">
        <v>39</v>
      </c>
      <c r="AV2" s="58" t="s">
        <v>107</v>
      </c>
      <c r="AW2" s="58" t="s">
        <v>732</v>
      </c>
      <c r="AX2" s="58" t="s">
        <v>733</v>
      </c>
      <c r="AY2" s="58" t="s">
        <v>824</v>
      </c>
      <c r="AZ2" s="58" t="s">
        <v>825</v>
      </c>
      <c r="BA2" s="58" t="s">
        <v>826</v>
      </c>
      <c r="BB2" s="58" t="s">
        <v>827</v>
      </c>
      <c r="BC2" s="58" t="s">
        <v>50</v>
      </c>
      <c r="BD2" s="58" t="s">
        <v>828</v>
      </c>
      <c r="BE2" s="58" t="s">
        <v>829</v>
      </c>
      <c r="BF2" s="58" t="s">
        <v>830</v>
      </c>
      <c r="BG2" s="58" t="s">
        <v>882</v>
      </c>
      <c r="BH2" s="58" t="s">
        <v>942</v>
      </c>
      <c r="BI2" s="58" t="s">
        <v>943</v>
      </c>
      <c r="BJ2" s="58" t="s">
        <v>944</v>
      </c>
      <c r="BK2" s="58" t="s">
        <v>945</v>
      </c>
      <c r="BL2" s="58" t="s">
        <v>946</v>
      </c>
      <c r="BM2" s="58" t="s">
        <v>947</v>
      </c>
      <c r="BN2" s="58" t="s">
        <v>948</v>
      </c>
      <c r="BO2" s="58" t="s">
        <v>949</v>
      </c>
      <c r="BP2" s="58" t="s">
        <v>950</v>
      </c>
      <c r="BQ2" s="58" t="s">
        <v>951</v>
      </c>
      <c r="BR2" s="58" t="s">
        <v>952</v>
      </c>
      <c r="BS2" s="58" t="s">
        <v>1019</v>
      </c>
      <c r="BT2" s="58" t="s">
        <v>1020</v>
      </c>
    </row>
    <row r="3" spans="1:73" x14ac:dyDescent="0.25">
      <c r="A3" s="52" t="s">
        <v>368</v>
      </c>
      <c r="B3" s="59" t="s">
        <v>345</v>
      </c>
      <c r="C3">
        <v>3</v>
      </c>
      <c r="D3" s="60"/>
      <c r="E3" s="61"/>
      <c r="F3" s="61" t="s">
        <v>439</v>
      </c>
      <c r="G3" s="61" t="s">
        <v>439</v>
      </c>
      <c r="H3" s="61" t="s">
        <v>439</v>
      </c>
      <c r="I3" s="61" t="s">
        <v>439</v>
      </c>
      <c r="J3" s="61" t="s">
        <v>439</v>
      </c>
      <c r="K3" s="61" t="s">
        <v>439</v>
      </c>
      <c r="L3" s="61" t="s">
        <v>439</v>
      </c>
      <c r="M3" s="61" t="s">
        <v>439</v>
      </c>
      <c r="N3" s="61" t="s">
        <v>439</v>
      </c>
      <c r="O3" s="61" t="s">
        <v>439</v>
      </c>
      <c r="P3" s="61" t="s">
        <v>439</v>
      </c>
      <c r="Q3" s="60" t="s">
        <v>439</v>
      </c>
      <c r="R3" s="60" t="s">
        <v>439</v>
      </c>
      <c r="S3" s="60" t="s">
        <v>439</v>
      </c>
      <c r="T3" s="60" t="s">
        <v>439</v>
      </c>
      <c r="U3" s="60" t="s">
        <v>439</v>
      </c>
      <c r="V3" s="60" t="s">
        <v>439</v>
      </c>
      <c r="W3" s="60" t="s">
        <v>439</v>
      </c>
      <c r="X3" s="60" t="s">
        <v>439</v>
      </c>
      <c r="Y3" s="60"/>
      <c r="Z3" s="60"/>
      <c r="AA3" s="60"/>
      <c r="AB3" s="60"/>
      <c r="AC3" s="60" t="s">
        <v>439</v>
      </c>
      <c r="AD3" s="60" t="s">
        <v>439</v>
      </c>
      <c r="AE3" s="60" t="s">
        <v>439</v>
      </c>
      <c r="AF3" s="60" t="s">
        <v>439</v>
      </c>
      <c r="AG3" s="60" t="s">
        <v>439</v>
      </c>
      <c r="AH3" s="60" t="s">
        <v>439</v>
      </c>
      <c r="AI3" s="60" t="s">
        <v>439</v>
      </c>
      <c r="AJ3" s="60" t="s">
        <v>439</v>
      </c>
      <c r="AK3" s="60" t="s">
        <v>439</v>
      </c>
      <c r="AL3" s="60" t="s">
        <v>439</v>
      </c>
      <c r="AM3" s="60" t="s">
        <v>439</v>
      </c>
      <c r="AN3" s="60" t="s">
        <v>439</v>
      </c>
      <c r="AO3" s="60" t="s">
        <v>439</v>
      </c>
      <c r="AP3" s="60" t="s">
        <v>439</v>
      </c>
      <c r="AQ3" s="60" t="s">
        <v>439</v>
      </c>
      <c r="AR3" s="60" t="s">
        <v>439</v>
      </c>
      <c r="AS3" s="60" t="s">
        <v>439</v>
      </c>
      <c r="AT3" s="60" t="s">
        <v>439</v>
      </c>
      <c r="AU3" s="60" t="s">
        <v>439</v>
      </c>
      <c r="AV3" s="60"/>
      <c r="AW3" s="60"/>
      <c r="AX3" s="60"/>
      <c r="AY3" s="61" t="s">
        <v>439</v>
      </c>
      <c r="AZ3" s="60"/>
      <c r="BA3" s="60"/>
      <c r="BB3" s="60"/>
      <c r="BC3" s="60"/>
      <c r="BD3" s="60"/>
      <c r="BE3" s="60"/>
      <c r="BF3" s="60"/>
      <c r="BG3" s="60"/>
      <c r="BH3" s="60"/>
      <c r="BI3" s="60"/>
      <c r="BJ3" s="60"/>
      <c r="BK3" s="60"/>
      <c r="BL3" s="60"/>
      <c r="BM3" s="60"/>
      <c r="BN3" s="60"/>
      <c r="BO3" s="60"/>
      <c r="BP3" s="60"/>
      <c r="BQ3" s="60"/>
      <c r="BR3" s="60"/>
      <c r="BS3" s="60"/>
      <c r="BT3" s="60"/>
      <c r="BU3" s="60"/>
    </row>
    <row r="4" spans="1:73" x14ac:dyDescent="0.25">
      <c r="A4" s="52" t="s">
        <v>369</v>
      </c>
      <c r="B4" s="59" t="s">
        <v>345</v>
      </c>
      <c r="C4">
        <v>3</v>
      </c>
      <c r="D4" s="60"/>
      <c r="E4" s="61"/>
      <c r="F4" s="61" t="s">
        <v>439</v>
      </c>
      <c r="G4" s="61" t="s">
        <v>439</v>
      </c>
      <c r="H4" s="61" t="s">
        <v>439</v>
      </c>
      <c r="I4" s="61" t="s">
        <v>439</v>
      </c>
      <c r="J4" s="61" t="s">
        <v>439</v>
      </c>
      <c r="K4" s="61" t="s">
        <v>439</v>
      </c>
      <c r="L4" s="61" t="s">
        <v>439</v>
      </c>
      <c r="M4" s="61" t="s">
        <v>439</v>
      </c>
      <c r="N4" s="61" t="s">
        <v>439</v>
      </c>
      <c r="O4" s="61" t="s">
        <v>439</v>
      </c>
      <c r="P4" s="61" t="s">
        <v>439</v>
      </c>
      <c r="Q4" s="60" t="s">
        <v>439</v>
      </c>
      <c r="R4" s="60" t="s">
        <v>439</v>
      </c>
      <c r="S4" s="60" t="s">
        <v>439</v>
      </c>
      <c r="T4" s="60" t="s">
        <v>439</v>
      </c>
      <c r="U4" s="60" t="s">
        <v>439</v>
      </c>
      <c r="V4" s="60" t="s">
        <v>439</v>
      </c>
      <c r="W4" s="60" t="s">
        <v>439</v>
      </c>
      <c r="X4" s="60" t="s">
        <v>439</v>
      </c>
      <c r="Y4" s="60"/>
      <c r="Z4" s="60"/>
      <c r="AA4" s="60"/>
      <c r="AB4" s="60"/>
      <c r="AC4" s="60" t="s">
        <v>439</v>
      </c>
      <c r="AD4" s="60" t="s">
        <v>439</v>
      </c>
      <c r="AE4" s="60" t="s">
        <v>439</v>
      </c>
      <c r="AF4" s="60" t="s">
        <v>439</v>
      </c>
      <c r="AG4" s="60" t="s">
        <v>439</v>
      </c>
      <c r="AH4" s="60" t="s">
        <v>439</v>
      </c>
      <c r="AI4" s="60" t="s">
        <v>439</v>
      </c>
      <c r="AJ4" s="60" t="s">
        <v>439</v>
      </c>
      <c r="AK4" s="60" t="s">
        <v>439</v>
      </c>
      <c r="AL4" s="60" t="s">
        <v>439</v>
      </c>
      <c r="AM4" s="60" t="s">
        <v>439</v>
      </c>
      <c r="AN4" s="60" t="s">
        <v>439</v>
      </c>
      <c r="AO4" s="60" t="s">
        <v>439</v>
      </c>
      <c r="AP4" s="60" t="s">
        <v>439</v>
      </c>
      <c r="AQ4" s="60" t="s">
        <v>439</v>
      </c>
      <c r="AR4" s="60" t="s">
        <v>439</v>
      </c>
      <c r="AS4" s="60" t="s">
        <v>439</v>
      </c>
      <c r="AT4" s="60" t="s">
        <v>439</v>
      </c>
      <c r="AU4" s="60" t="s">
        <v>439</v>
      </c>
      <c r="AV4" s="60"/>
      <c r="AW4" s="60"/>
      <c r="AX4" s="60"/>
      <c r="AY4" s="61" t="s">
        <v>439</v>
      </c>
      <c r="AZ4" s="60"/>
      <c r="BA4" s="60"/>
      <c r="BB4" s="60"/>
      <c r="BC4" s="60"/>
      <c r="BD4" s="60"/>
      <c r="BE4" s="60"/>
      <c r="BF4" s="60"/>
      <c r="BG4" s="60"/>
      <c r="BH4" s="60"/>
      <c r="BI4" s="60"/>
      <c r="BJ4" s="60"/>
      <c r="BK4" s="60"/>
      <c r="BL4" s="60"/>
      <c r="BM4" s="60"/>
      <c r="BN4" s="60"/>
      <c r="BO4" s="60"/>
      <c r="BP4" s="60"/>
      <c r="BQ4" s="60"/>
      <c r="BR4" s="60"/>
      <c r="BS4" s="60"/>
      <c r="BT4" s="60"/>
      <c r="BU4" s="60"/>
    </row>
    <row r="5" spans="1:73" x14ac:dyDescent="0.25">
      <c r="A5" s="51" t="s">
        <v>370</v>
      </c>
      <c r="B5" s="59" t="s">
        <v>345</v>
      </c>
      <c r="C5">
        <v>3</v>
      </c>
      <c r="D5" s="60"/>
      <c r="E5" s="61"/>
      <c r="F5" s="61" t="s">
        <v>439</v>
      </c>
      <c r="G5" s="61" t="s">
        <v>439</v>
      </c>
      <c r="H5" s="61" t="s">
        <v>439</v>
      </c>
      <c r="I5" s="61" t="s">
        <v>439</v>
      </c>
      <c r="J5" s="61" t="s">
        <v>439</v>
      </c>
      <c r="K5" s="61" t="s">
        <v>439</v>
      </c>
      <c r="L5" s="61" t="s">
        <v>439</v>
      </c>
      <c r="M5" s="61" t="s">
        <v>439</v>
      </c>
      <c r="N5" s="61" t="s">
        <v>439</v>
      </c>
      <c r="O5" s="61" t="s">
        <v>439</v>
      </c>
      <c r="P5" s="61" t="s">
        <v>439</v>
      </c>
      <c r="Q5" s="60" t="s">
        <v>439</v>
      </c>
      <c r="R5" s="60" t="s">
        <v>439</v>
      </c>
      <c r="S5" s="60" t="s">
        <v>439</v>
      </c>
      <c r="T5" s="60" t="s">
        <v>439</v>
      </c>
      <c r="U5" s="60" t="s">
        <v>439</v>
      </c>
      <c r="V5" s="60" t="s">
        <v>439</v>
      </c>
      <c r="W5" s="60" t="s">
        <v>439</v>
      </c>
      <c r="X5" s="60" t="s">
        <v>439</v>
      </c>
      <c r="Y5" s="60"/>
      <c r="Z5" s="60"/>
      <c r="AA5" s="60"/>
      <c r="AB5" s="60"/>
      <c r="AC5" s="60" t="s">
        <v>439</v>
      </c>
      <c r="AD5" s="60" t="s">
        <v>439</v>
      </c>
      <c r="AE5" s="60" t="s">
        <v>439</v>
      </c>
      <c r="AF5" s="60" t="s">
        <v>439</v>
      </c>
      <c r="AG5" s="60" t="s">
        <v>439</v>
      </c>
      <c r="AH5" s="60" t="s">
        <v>439</v>
      </c>
      <c r="AI5" s="60" t="s">
        <v>439</v>
      </c>
      <c r="AJ5" s="60" t="s">
        <v>439</v>
      </c>
      <c r="AK5" s="60" t="s">
        <v>439</v>
      </c>
      <c r="AL5" s="60" t="s">
        <v>439</v>
      </c>
      <c r="AM5" s="60" t="s">
        <v>439</v>
      </c>
      <c r="AN5" s="60" t="s">
        <v>439</v>
      </c>
      <c r="AO5" s="60" t="s">
        <v>439</v>
      </c>
      <c r="AP5" s="60" t="s">
        <v>439</v>
      </c>
      <c r="AQ5" s="60" t="s">
        <v>439</v>
      </c>
      <c r="AR5" s="60" t="s">
        <v>439</v>
      </c>
      <c r="AS5" s="60" t="s">
        <v>439</v>
      </c>
      <c r="AT5" s="60" t="s">
        <v>439</v>
      </c>
      <c r="AU5" s="60" t="s">
        <v>439</v>
      </c>
      <c r="AV5" s="60"/>
      <c r="AW5" s="60"/>
      <c r="AX5" s="60"/>
      <c r="AY5" s="61" t="s">
        <v>439</v>
      </c>
      <c r="AZ5" s="60"/>
      <c r="BA5" s="60"/>
      <c r="BB5" s="60"/>
      <c r="BC5" s="60"/>
      <c r="BD5" s="60"/>
      <c r="BE5" s="60"/>
      <c r="BF5" s="60"/>
      <c r="BG5" s="60"/>
      <c r="BH5" s="60"/>
      <c r="BI5" s="60"/>
      <c r="BJ5" s="60"/>
      <c r="BK5" s="60"/>
      <c r="BL5" s="60"/>
      <c r="BM5" s="60"/>
      <c r="BN5" s="60"/>
      <c r="BO5" s="60"/>
      <c r="BP5" s="60"/>
      <c r="BQ5" s="60"/>
      <c r="BR5" s="60"/>
      <c r="BS5" s="60"/>
      <c r="BT5" s="60"/>
      <c r="BU5" s="60"/>
    </row>
    <row r="6" spans="1:73" ht="28.5" customHeight="1" x14ac:dyDescent="0.25">
      <c r="A6" s="51" t="s">
        <v>983</v>
      </c>
      <c r="B6" s="59" t="s">
        <v>345</v>
      </c>
      <c r="C6">
        <v>3</v>
      </c>
      <c r="D6" s="60"/>
      <c r="E6" s="61"/>
      <c r="F6" s="61" t="s">
        <v>439</v>
      </c>
      <c r="G6" s="61" t="s">
        <v>439</v>
      </c>
      <c r="H6" s="61" t="s">
        <v>439</v>
      </c>
      <c r="I6" s="61" t="s">
        <v>439</v>
      </c>
      <c r="J6" s="61" t="s">
        <v>439</v>
      </c>
      <c r="K6" s="61" t="s">
        <v>439</v>
      </c>
      <c r="L6" s="61" t="s">
        <v>439</v>
      </c>
      <c r="M6" s="61" t="s">
        <v>439</v>
      </c>
      <c r="N6" s="61" t="s">
        <v>439</v>
      </c>
      <c r="O6" s="61" t="s">
        <v>439</v>
      </c>
      <c r="P6" s="61" t="s">
        <v>439</v>
      </c>
      <c r="Q6" s="60" t="s">
        <v>439</v>
      </c>
      <c r="R6" s="60" t="s">
        <v>439</v>
      </c>
      <c r="S6" s="60" t="s">
        <v>439</v>
      </c>
      <c r="T6" s="60" t="s">
        <v>439</v>
      </c>
      <c r="U6" s="60" t="s">
        <v>439</v>
      </c>
      <c r="V6" s="60" t="s">
        <v>439</v>
      </c>
      <c r="W6" s="60" t="s">
        <v>439</v>
      </c>
      <c r="X6" s="60" t="s">
        <v>439</v>
      </c>
      <c r="Y6" s="60" t="s">
        <v>439</v>
      </c>
      <c r="Z6" s="60" t="s">
        <v>439</v>
      </c>
      <c r="AA6" s="60"/>
      <c r="AB6" s="60"/>
      <c r="AC6" s="60" t="s">
        <v>439</v>
      </c>
      <c r="AD6" s="60" t="s">
        <v>439</v>
      </c>
      <c r="AE6" s="60" t="s">
        <v>439</v>
      </c>
      <c r="AF6" s="60" t="s">
        <v>439</v>
      </c>
      <c r="AG6" s="60" t="s">
        <v>439</v>
      </c>
      <c r="AH6" s="60" t="s">
        <v>439</v>
      </c>
      <c r="AI6" s="60" t="s">
        <v>439</v>
      </c>
      <c r="AJ6" s="60" t="s">
        <v>439</v>
      </c>
      <c r="AK6" s="60" t="s">
        <v>439</v>
      </c>
      <c r="AL6" s="60" t="s">
        <v>439</v>
      </c>
      <c r="AM6" s="60" t="s">
        <v>439</v>
      </c>
      <c r="AN6" s="60" t="s">
        <v>439</v>
      </c>
      <c r="AO6" s="60" t="s">
        <v>439</v>
      </c>
      <c r="AP6" s="60" t="s">
        <v>439</v>
      </c>
      <c r="AQ6" s="60" t="s">
        <v>439</v>
      </c>
      <c r="AR6" s="60" t="s">
        <v>439</v>
      </c>
      <c r="AS6" s="60" t="s">
        <v>439</v>
      </c>
      <c r="AT6" s="60" t="s">
        <v>439</v>
      </c>
      <c r="AU6" s="60" t="s">
        <v>439</v>
      </c>
      <c r="AV6" s="60"/>
      <c r="AW6" s="60"/>
      <c r="AX6" s="60"/>
      <c r="AY6" s="61" t="s">
        <v>439</v>
      </c>
      <c r="AZ6" s="60"/>
      <c r="BA6" s="60"/>
      <c r="BB6" s="60"/>
      <c r="BC6" s="60"/>
      <c r="BD6" s="60"/>
      <c r="BE6" s="60"/>
      <c r="BF6" s="60"/>
      <c r="BG6" s="60"/>
      <c r="BH6" s="60"/>
      <c r="BI6" s="60"/>
      <c r="BJ6" s="60"/>
      <c r="BK6" s="60"/>
      <c r="BL6" s="60"/>
      <c r="BM6" s="60"/>
      <c r="BN6" s="60"/>
      <c r="BO6" s="60"/>
      <c r="BP6" s="60"/>
      <c r="BQ6" s="60"/>
      <c r="BR6" s="60"/>
      <c r="BS6" s="60"/>
      <c r="BT6" s="60"/>
      <c r="BU6" s="60"/>
    </row>
    <row r="7" spans="1:73" x14ac:dyDescent="0.25">
      <c r="A7" s="51" t="s">
        <v>371</v>
      </c>
      <c r="B7" s="59" t="s">
        <v>345</v>
      </c>
      <c r="C7">
        <v>3</v>
      </c>
      <c r="D7" s="60"/>
      <c r="E7" s="61"/>
      <c r="F7" s="61" t="s">
        <v>439</v>
      </c>
      <c r="G7" s="61" t="s">
        <v>439</v>
      </c>
      <c r="H7" s="61" t="s">
        <v>439</v>
      </c>
      <c r="I7" s="61" t="s">
        <v>439</v>
      </c>
      <c r="J7" s="61" t="s">
        <v>439</v>
      </c>
      <c r="K7" s="61" t="s">
        <v>439</v>
      </c>
      <c r="L7" s="61" t="s">
        <v>439</v>
      </c>
      <c r="M7" s="61" t="s">
        <v>439</v>
      </c>
      <c r="N7" s="61" t="s">
        <v>439</v>
      </c>
      <c r="O7" s="61" t="s">
        <v>439</v>
      </c>
      <c r="P7" s="61" t="s">
        <v>439</v>
      </c>
      <c r="Q7" s="60" t="s">
        <v>439</v>
      </c>
      <c r="R7" s="60" t="s">
        <v>439</v>
      </c>
      <c r="S7" s="60" t="s">
        <v>439</v>
      </c>
      <c r="T7" s="60" t="s">
        <v>439</v>
      </c>
      <c r="U7" s="60" t="s">
        <v>439</v>
      </c>
      <c r="V7" s="60" t="s">
        <v>439</v>
      </c>
      <c r="W7" s="60" t="s">
        <v>439</v>
      </c>
      <c r="X7" s="60" t="s">
        <v>439</v>
      </c>
      <c r="Y7" s="60"/>
      <c r="Z7" s="60"/>
      <c r="AA7" s="60"/>
      <c r="AB7" s="60"/>
      <c r="AC7" s="60" t="s">
        <v>439</v>
      </c>
      <c r="AD7" s="60" t="s">
        <v>439</v>
      </c>
      <c r="AE7" s="60" t="s">
        <v>439</v>
      </c>
      <c r="AF7" s="60" t="s">
        <v>439</v>
      </c>
      <c r="AG7" s="60" t="s">
        <v>439</v>
      </c>
      <c r="AH7" s="60" t="s">
        <v>439</v>
      </c>
      <c r="AI7" s="60" t="s">
        <v>439</v>
      </c>
      <c r="AJ7" s="60" t="s">
        <v>439</v>
      </c>
      <c r="AK7" s="60" t="s">
        <v>439</v>
      </c>
      <c r="AL7" s="60" t="s">
        <v>439</v>
      </c>
      <c r="AM7" s="60" t="s">
        <v>439</v>
      </c>
      <c r="AN7" s="60" t="s">
        <v>439</v>
      </c>
      <c r="AO7" s="60" t="s">
        <v>439</v>
      </c>
      <c r="AP7" s="60" t="s">
        <v>439</v>
      </c>
      <c r="AQ7" s="60" t="s">
        <v>439</v>
      </c>
      <c r="AR7" s="60" t="s">
        <v>439</v>
      </c>
      <c r="AS7" s="60" t="s">
        <v>439</v>
      </c>
      <c r="AT7" s="60" t="s">
        <v>439</v>
      </c>
      <c r="AU7" s="60" t="s">
        <v>439</v>
      </c>
      <c r="AV7" s="60"/>
      <c r="AW7" s="60"/>
      <c r="AX7" s="60"/>
      <c r="AY7" s="61" t="s">
        <v>439</v>
      </c>
      <c r="AZ7" s="60"/>
      <c r="BA7" s="60"/>
      <c r="BB7" s="60"/>
      <c r="BC7" s="60"/>
      <c r="BD7" s="60"/>
      <c r="BE7" s="60"/>
      <c r="BF7" s="60"/>
      <c r="BG7" s="60"/>
      <c r="BH7" s="60"/>
      <c r="BI7" s="60"/>
      <c r="BJ7" s="60"/>
      <c r="BK7" s="60"/>
      <c r="BL7" s="60"/>
      <c r="BM7" s="60"/>
      <c r="BN7" s="60"/>
      <c r="BO7" s="60"/>
      <c r="BP7" s="60"/>
      <c r="BQ7" s="60"/>
      <c r="BR7" s="60"/>
      <c r="BS7" s="60"/>
      <c r="BT7" s="60"/>
      <c r="BU7" s="60"/>
    </row>
    <row r="8" spans="1:73" x14ac:dyDescent="0.25">
      <c r="A8" s="51" t="s">
        <v>372</v>
      </c>
      <c r="B8" s="59" t="s">
        <v>345</v>
      </c>
      <c r="C8">
        <v>3</v>
      </c>
      <c r="D8" s="60"/>
      <c r="E8" s="61"/>
      <c r="F8" s="61" t="s">
        <v>439</v>
      </c>
      <c r="G8" s="61" t="s">
        <v>439</v>
      </c>
      <c r="H8" s="61" t="s">
        <v>439</v>
      </c>
      <c r="I8" s="61" t="s">
        <v>439</v>
      </c>
      <c r="J8" s="61" t="s">
        <v>439</v>
      </c>
      <c r="K8" s="61" t="s">
        <v>439</v>
      </c>
      <c r="L8" s="61" t="s">
        <v>439</v>
      </c>
      <c r="M8" s="61" t="s">
        <v>439</v>
      </c>
      <c r="N8" s="61" t="s">
        <v>439</v>
      </c>
      <c r="O8" s="61" t="s">
        <v>439</v>
      </c>
      <c r="P8" s="61" t="s">
        <v>439</v>
      </c>
      <c r="Q8" s="60" t="s">
        <v>439</v>
      </c>
      <c r="R8" s="60" t="s">
        <v>439</v>
      </c>
      <c r="S8" s="60" t="s">
        <v>439</v>
      </c>
      <c r="T8" s="60" t="s">
        <v>439</v>
      </c>
      <c r="U8" s="60" t="s">
        <v>439</v>
      </c>
      <c r="V8" s="60" t="s">
        <v>439</v>
      </c>
      <c r="W8" s="60" t="s">
        <v>439</v>
      </c>
      <c r="X8" s="60" t="s">
        <v>439</v>
      </c>
      <c r="Y8" s="60"/>
      <c r="Z8" s="60"/>
      <c r="AA8" s="60"/>
      <c r="AB8" s="60"/>
      <c r="AC8" s="60" t="s">
        <v>439</v>
      </c>
      <c r="AD8" s="60" t="s">
        <v>439</v>
      </c>
      <c r="AE8" s="60" t="s">
        <v>439</v>
      </c>
      <c r="AF8" s="60" t="s">
        <v>439</v>
      </c>
      <c r="AG8" s="60" t="s">
        <v>439</v>
      </c>
      <c r="AH8" s="60" t="s">
        <v>439</v>
      </c>
      <c r="AI8" s="60" t="s">
        <v>439</v>
      </c>
      <c r="AJ8" s="60" t="s">
        <v>439</v>
      </c>
      <c r="AK8" s="60" t="s">
        <v>439</v>
      </c>
      <c r="AL8" s="60" t="s">
        <v>439</v>
      </c>
      <c r="AM8" s="60" t="s">
        <v>439</v>
      </c>
      <c r="AN8" s="60" t="s">
        <v>439</v>
      </c>
      <c r="AO8" s="60" t="s">
        <v>439</v>
      </c>
      <c r="AP8" s="60" t="s">
        <v>439</v>
      </c>
      <c r="AQ8" s="60" t="s">
        <v>439</v>
      </c>
      <c r="AR8" s="60" t="s">
        <v>439</v>
      </c>
      <c r="AS8" s="60" t="s">
        <v>439</v>
      </c>
      <c r="AT8" s="60" t="s">
        <v>439</v>
      </c>
      <c r="AU8" s="60" t="s">
        <v>439</v>
      </c>
      <c r="AV8" s="60"/>
      <c r="AW8" s="60"/>
      <c r="AX8" s="60"/>
      <c r="AY8" s="61" t="s">
        <v>439</v>
      </c>
      <c r="AZ8" s="60"/>
      <c r="BA8" s="60"/>
      <c r="BB8" s="60"/>
      <c r="BC8" s="60"/>
      <c r="BD8" s="60"/>
      <c r="BE8" s="60"/>
      <c r="BF8" s="60"/>
      <c r="BG8" s="60"/>
      <c r="BH8" s="60"/>
      <c r="BI8" s="60"/>
      <c r="BJ8" s="60"/>
      <c r="BK8" s="60"/>
      <c r="BL8" s="60"/>
      <c r="BM8" s="60"/>
      <c r="BN8" s="60"/>
      <c r="BO8" s="60"/>
      <c r="BP8" s="60"/>
      <c r="BQ8" s="60"/>
      <c r="BR8" s="60"/>
      <c r="BS8" s="60"/>
      <c r="BT8" s="60"/>
      <c r="BU8" s="60"/>
    </row>
    <row r="9" spans="1:73" ht="25" x14ac:dyDescent="0.25">
      <c r="A9" s="51" t="s">
        <v>984</v>
      </c>
      <c r="B9" s="59" t="s">
        <v>345</v>
      </c>
      <c r="C9">
        <v>3</v>
      </c>
      <c r="D9" s="60"/>
      <c r="E9" s="61"/>
      <c r="F9" s="61" t="s">
        <v>439</v>
      </c>
      <c r="G9" s="61" t="s">
        <v>439</v>
      </c>
      <c r="H9" s="61" t="s">
        <v>439</v>
      </c>
      <c r="I9" s="61" t="s">
        <v>439</v>
      </c>
      <c r="J9" s="61" t="s">
        <v>439</v>
      </c>
      <c r="K9" s="61" t="s">
        <v>439</v>
      </c>
      <c r="L9" s="61" t="s">
        <v>439</v>
      </c>
      <c r="M9" s="61" t="s">
        <v>439</v>
      </c>
      <c r="N9" s="61" t="s">
        <v>439</v>
      </c>
      <c r="O9" s="61" t="s">
        <v>439</v>
      </c>
      <c r="P9" s="61" t="s">
        <v>439</v>
      </c>
      <c r="Q9" s="60" t="s">
        <v>439</v>
      </c>
      <c r="R9" s="60" t="s">
        <v>439</v>
      </c>
      <c r="S9" s="60" t="s">
        <v>439</v>
      </c>
      <c r="T9" s="60" t="s">
        <v>439</v>
      </c>
      <c r="U9" s="60" t="s">
        <v>439</v>
      </c>
      <c r="V9" s="60" t="s">
        <v>439</v>
      </c>
      <c r="W9" s="60" t="s">
        <v>439</v>
      </c>
      <c r="X9" s="60" t="s">
        <v>439</v>
      </c>
      <c r="Y9" s="60"/>
      <c r="Z9" s="60"/>
      <c r="AA9" s="60"/>
      <c r="AB9" s="60"/>
      <c r="AC9" s="60" t="s">
        <v>439</v>
      </c>
      <c r="AD9" s="60" t="s">
        <v>439</v>
      </c>
      <c r="AE9" s="60" t="s">
        <v>439</v>
      </c>
      <c r="AF9" s="60" t="s">
        <v>439</v>
      </c>
      <c r="AG9" s="60" t="s">
        <v>439</v>
      </c>
      <c r="AH9" s="60" t="s">
        <v>439</v>
      </c>
      <c r="AI9" s="60" t="s">
        <v>439</v>
      </c>
      <c r="AJ9" s="60" t="s">
        <v>439</v>
      </c>
      <c r="AK9" s="60" t="s">
        <v>439</v>
      </c>
      <c r="AL9" s="60" t="s">
        <v>439</v>
      </c>
      <c r="AM9" s="60" t="s">
        <v>439</v>
      </c>
      <c r="AN9" s="60" t="s">
        <v>439</v>
      </c>
      <c r="AO9" s="60" t="s">
        <v>439</v>
      </c>
      <c r="AP9" s="60" t="s">
        <v>439</v>
      </c>
      <c r="AQ9" s="60" t="s">
        <v>439</v>
      </c>
      <c r="AR9" s="60" t="s">
        <v>439</v>
      </c>
      <c r="AS9" s="60" t="s">
        <v>439</v>
      </c>
      <c r="AT9" s="60" t="s">
        <v>439</v>
      </c>
      <c r="AU9" s="60" t="s">
        <v>439</v>
      </c>
      <c r="AV9" s="60"/>
      <c r="AW9" s="60"/>
      <c r="AX9" s="60"/>
      <c r="AY9" s="61" t="s">
        <v>439</v>
      </c>
      <c r="AZ9" s="60"/>
      <c r="BA9" s="60"/>
      <c r="BB9" s="60"/>
      <c r="BC9" s="60"/>
      <c r="BD9" s="60"/>
      <c r="BE9" s="60"/>
      <c r="BF9" s="60"/>
      <c r="BG9" s="60"/>
      <c r="BH9" s="60"/>
      <c r="BI9" s="60"/>
      <c r="BJ9" s="60"/>
      <c r="BK9" s="60"/>
      <c r="BL9" s="60"/>
      <c r="BM9" s="60"/>
      <c r="BN9" s="60"/>
      <c r="BO9" s="60"/>
      <c r="BP9" s="60"/>
      <c r="BQ9" s="60"/>
      <c r="BR9" s="60"/>
      <c r="BS9" s="60"/>
      <c r="BT9" s="60"/>
      <c r="BU9" s="60"/>
    </row>
    <row r="10" spans="1:73" x14ac:dyDescent="0.25">
      <c r="A10" s="51" t="s">
        <v>459</v>
      </c>
      <c r="B10" s="59" t="s">
        <v>345</v>
      </c>
      <c r="C10">
        <v>3</v>
      </c>
      <c r="D10" s="60"/>
      <c r="E10" s="61"/>
      <c r="F10" s="61" t="s">
        <v>439</v>
      </c>
      <c r="G10" s="61" t="s">
        <v>439</v>
      </c>
      <c r="H10" s="61" t="s">
        <v>439</v>
      </c>
      <c r="I10" s="61" t="s">
        <v>439</v>
      </c>
      <c r="J10" s="61" t="s">
        <v>439</v>
      </c>
      <c r="K10" s="61" t="s">
        <v>439</v>
      </c>
      <c r="L10" s="61" t="s">
        <v>439</v>
      </c>
      <c r="M10" s="61" t="s">
        <v>439</v>
      </c>
      <c r="N10" s="61" t="s">
        <v>439</v>
      </c>
      <c r="O10" s="61" t="s">
        <v>439</v>
      </c>
      <c r="P10" s="61" t="s">
        <v>439</v>
      </c>
      <c r="Q10" s="60" t="s">
        <v>439</v>
      </c>
      <c r="R10" s="60" t="s">
        <v>439</v>
      </c>
      <c r="S10" s="60" t="s">
        <v>439</v>
      </c>
      <c r="T10" s="60" t="s">
        <v>439</v>
      </c>
      <c r="U10" s="60" t="s">
        <v>439</v>
      </c>
      <c r="V10" s="60" t="s">
        <v>439</v>
      </c>
      <c r="W10" s="60" t="s">
        <v>439</v>
      </c>
      <c r="X10" s="60" t="s">
        <v>439</v>
      </c>
      <c r="Y10" s="60"/>
      <c r="Z10" s="60"/>
      <c r="AA10" s="60" t="s">
        <v>439</v>
      </c>
      <c r="AB10" s="60"/>
      <c r="AC10" s="60" t="s">
        <v>439</v>
      </c>
      <c r="AD10" s="60" t="s">
        <v>439</v>
      </c>
      <c r="AE10" s="60" t="s">
        <v>439</v>
      </c>
      <c r="AF10" s="60" t="s">
        <v>439</v>
      </c>
      <c r="AG10" s="60" t="s">
        <v>439</v>
      </c>
      <c r="AH10" s="60" t="s">
        <v>439</v>
      </c>
      <c r="AI10" s="60" t="s">
        <v>439</v>
      </c>
      <c r="AJ10" s="60" t="s">
        <v>439</v>
      </c>
      <c r="AK10" s="60" t="s">
        <v>439</v>
      </c>
      <c r="AL10" s="60" t="s">
        <v>439</v>
      </c>
      <c r="AM10" s="60" t="s">
        <v>439</v>
      </c>
      <c r="AN10" s="60" t="s">
        <v>439</v>
      </c>
      <c r="AO10" s="60" t="s">
        <v>439</v>
      </c>
      <c r="AP10" s="60" t="s">
        <v>439</v>
      </c>
      <c r="AQ10" s="60" t="s">
        <v>439</v>
      </c>
      <c r="AR10" s="60" t="s">
        <v>439</v>
      </c>
      <c r="AS10" s="60" t="s">
        <v>439</v>
      </c>
      <c r="AT10" s="60" t="s">
        <v>439</v>
      </c>
      <c r="AU10" s="60" t="s">
        <v>439</v>
      </c>
      <c r="AV10" s="60"/>
      <c r="AW10" s="60"/>
      <c r="AX10" s="60"/>
      <c r="AY10" s="61" t="s">
        <v>439</v>
      </c>
      <c r="AZ10" s="60"/>
      <c r="BA10" s="60"/>
      <c r="BB10" s="60"/>
      <c r="BC10" s="60"/>
      <c r="BD10" s="60"/>
      <c r="BE10" s="60"/>
      <c r="BF10" s="60"/>
      <c r="BG10" s="60"/>
      <c r="BH10" s="60"/>
      <c r="BI10" s="60"/>
      <c r="BJ10" s="60"/>
      <c r="BK10" s="60"/>
      <c r="BL10" s="60"/>
      <c r="BM10" s="60"/>
      <c r="BN10" s="60"/>
      <c r="BO10" s="60"/>
      <c r="BP10" s="60"/>
      <c r="BQ10" s="60"/>
      <c r="BR10" s="60"/>
      <c r="BS10" s="60"/>
      <c r="BT10" s="60"/>
      <c r="BU10" s="60"/>
    </row>
    <row r="11" spans="1:73" x14ac:dyDescent="0.25">
      <c r="A11" s="51" t="s">
        <v>982</v>
      </c>
      <c r="B11" s="59" t="s">
        <v>345</v>
      </c>
      <c r="C11">
        <v>3</v>
      </c>
      <c r="D11" s="60"/>
      <c r="E11" s="61"/>
      <c r="F11" s="61" t="s">
        <v>439</v>
      </c>
      <c r="G11" s="61" t="s">
        <v>439</v>
      </c>
      <c r="H11" s="61" t="s">
        <v>439</v>
      </c>
      <c r="I11" s="61" t="s">
        <v>439</v>
      </c>
      <c r="J11" s="61" t="s">
        <v>439</v>
      </c>
      <c r="K11" s="61" t="s">
        <v>439</v>
      </c>
      <c r="L11" s="61" t="s">
        <v>439</v>
      </c>
      <c r="M11" s="61" t="s">
        <v>439</v>
      </c>
      <c r="N11" s="61" t="s">
        <v>439</v>
      </c>
      <c r="O11" s="61" t="s">
        <v>439</v>
      </c>
      <c r="P11" s="61" t="s">
        <v>439</v>
      </c>
      <c r="Q11" s="60" t="s">
        <v>439</v>
      </c>
      <c r="R11" s="60" t="s">
        <v>439</v>
      </c>
      <c r="S11" s="60" t="s">
        <v>439</v>
      </c>
      <c r="T11" s="60" t="s">
        <v>439</v>
      </c>
      <c r="U11" s="60" t="s">
        <v>439</v>
      </c>
      <c r="V11" s="60" t="s">
        <v>439</v>
      </c>
      <c r="W11" s="60" t="s">
        <v>439</v>
      </c>
      <c r="X11" s="60" t="s">
        <v>439</v>
      </c>
      <c r="Y11" s="60"/>
      <c r="Z11" s="60"/>
      <c r="AA11" s="60"/>
      <c r="AB11" s="60" t="s">
        <v>439</v>
      </c>
      <c r="AC11" s="60" t="s">
        <v>439</v>
      </c>
      <c r="AD11" s="60" t="s">
        <v>439</v>
      </c>
      <c r="AE11" s="60" t="s">
        <v>439</v>
      </c>
      <c r="AF11" s="60" t="s">
        <v>439</v>
      </c>
      <c r="AG11" s="60" t="s">
        <v>439</v>
      </c>
      <c r="AH11" s="60" t="s">
        <v>439</v>
      </c>
      <c r="AI11" s="60" t="s">
        <v>439</v>
      </c>
      <c r="AJ11" s="60" t="s">
        <v>439</v>
      </c>
      <c r="AK11" s="60" t="s">
        <v>439</v>
      </c>
      <c r="AL11" s="60" t="s">
        <v>439</v>
      </c>
      <c r="AM11" s="60" t="s">
        <v>439</v>
      </c>
      <c r="AN11" s="60" t="s">
        <v>439</v>
      </c>
      <c r="AO11" s="60" t="s">
        <v>439</v>
      </c>
      <c r="AP11" s="60" t="s">
        <v>439</v>
      </c>
      <c r="AQ11" s="60" t="s">
        <v>439</v>
      </c>
      <c r="AR11" s="60" t="s">
        <v>439</v>
      </c>
      <c r="AS11" s="60" t="s">
        <v>439</v>
      </c>
      <c r="AT11" s="60" t="s">
        <v>439</v>
      </c>
      <c r="AU11" s="60" t="s">
        <v>439</v>
      </c>
      <c r="AV11" s="60"/>
      <c r="AW11" s="60"/>
      <c r="AX11" s="60"/>
      <c r="AY11" s="61" t="s">
        <v>439</v>
      </c>
      <c r="AZ11" s="60"/>
      <c r="BA11" s="60"/>
      <c r="BB11" s="60"/>
      <c r="BC11" s="60"/>
      <c r="BD11" s="60"/>
      <c r="BE11" s="60"/>
      <c r="BF11" s="60"/>
      <c r="BG11" s="60"/>
      <c r="BH11" s="60"/>
      <c r="BI11" s="60"/>
      <c r="BJ11" s="60"/>
      <c r="BK11" s="60"/>
      <c r="BL11" s="60"/>
      <c r="BM11" s="60"/>
      <c r="BN11" s="60"/>
      <c r="BO11" s="60"/>
      <c r="BP11" s="60"/>
      <c r="BQ11" s="60"/>
      <c r="BR11" s="60"/>
      <c r="BS11" s="60"/>
      <c r="BT11" s="60"/>
      <c r="BU11" s="60"/>
    </row>
    <row r="12" spans="1:73" x14ac:dyDescent="0.25">
      <c r="A12" s="51" t="s">
        <v>460</v>
      </c>
      <c r="B12" s="59" t="s">
        <v>345</v>
      </c>
      <c r="C12">
        <v>3</v>
      </c>
      <c r="D12" s="60"/>
      <c r="E12" s="61"/>
      <c r="F12" s="61" t="s">
        <v>439</v>
      </c>
      <c r="G12" s="61" t="s">
        <v>439</v>
      </c>
      <c r="H12" s="61" t="s">
        <v>439</v>
      </c>
      <c r="I12" s="61" t="s">
        <v>439</v>
      </c>
      <c r="J12" s="61" t="s">
        <v>439</v>
      </c>
      <c r="K12" s="61" t="s">
        <v>439</v>
      </c>
      <c r="L12" s="61" t="s">
        <v>439</v>
      </c>
      <c r="M12" s="61" t="s">
        <v>439</v>
      </c>
      <c r="N12" s="61" t="s">
        <v>439</v>
      </c>
      <c r="O12" s="61" t="s">
        <v>439</v>
      </c>
      <c r="P12" s="61" t="s">
        <v>439</v>
      </c>
      <c r="Q12" s="60" t="s">
        <v>439</v>
      </c>
      <c r="R12" s="60" t="s">
        <v>439</v>
      </c>
      <c r="S12" s="60" t="s">
        <v>439</v>
      </c>
      <c r="T12" s="60" t="s">
        <v>439</v>
      </c>
      <c r="U12" s="60" t="s">
        <v>439</v>
      </c>
      <c r="V12" s="60" t="s">
        <v>439</v>
      </c>
      <c r="W12" s="60" t="s">
        <v>439</v>
      </c>
      <c r="X12" s="60" t="s">
        <v>439</v>
      </c>
      <c r="Y12" s="60"/>
      <c r="Z12" s="60"/>
      <c r="AA12" s="60"/>
      <c r="AB12" s="60"/>
      <c r="AC12" s="60" t="s">
        <v>439</v>
      </c>
      <c r="AD12" s="60" t="s">
        <v>439</v>
      </c>
      <c r="AE12" s="60" t="s">
        <v>439</v>
      </c>
      <c r="AF12" s="60" t="s">
        <v>439</v>
      </c>
      <c r="AG12" s="60" t="s">
        <v>439</v>
      </c>
      <c r="AH12" s="60" t="s">
        <v>439</v>
      </c>
      <c r="AI12" s="60" t="s">
        <v>439</v>
      </c>
      <c r="AJ12" s="60" t="s">
        <v>439</v>
      </c>
      <c r="AK12" s="60" t="s">
        <v>439</v>
      </c>
      <c r="AL12" s="60" t="s">
        <v>439</v>
      </c>
      <c r="AM12" s="60" t="s">
        <v>439</v>
      </c>
      <c r="AN12" s="60" t="s">
        <v>439</v>
      </c>
      <c r="AO12" s="60" t="s">
        <v>439</v>
      </c>
      <c r="AP12" s="60" t="s">
        <v>439</v>
      </c>
      <c r="AQ12" s="60" t="s">
        <v>439</v>
      </c>
      <c r="AR12" s="60" t="s">
        <v>439</v>
      </c>
      <c r="AS12" s="60" t="s">
        <v>439</v>
      </c>
      <c r="AT12" s="60" t="s">
        <v>439</v>
      </c>
      <c r="AU12" s="60" t="s">
        <v>439</v>
      </c>
      <c r="AV12" s="60"/>
      <c r="AW12" s="60"/>
      <c r="AX12" s="60"/>
      <c r="AY12" s="61" t="s">
        <v>439</v>
      </c>
      <c r="AZ12" s="60"/>
      <c r="BA12" s="60"/>
      <c r="BB12" s="60"/>
      <c r="BC12" s="60"/>
      <c r="BD12" s="60"/>
      <c r="BE12" s="60"/>
      <c r="BF12" s="60"/>
      <c r="BG12" s="60"/>
      <c r="BH12" s="60"/>
      <c r="BI12" s="60"/>
      <c r="BJ12" s="60"/>
      <c r="BK12" s="60"/>
      <c r="BL12" s="60"/>
      <c r="BM12" s="60"/>
      <c r="BN12" s="60"/>
      <c r="BO12" s="60"/>
      <c r="BP12" s="60"/>
      <c r="BQ12" s="60"/>
      <c r="BR12" s="60"/>
      <c r="BS12" s="60"/>
      <c r="BT12" s="60"/>
      <c r="BU12" s="60"/>
    </row>
    <row r="13" spans="1:73" x14ac:dyDescent="0.25">
      <c r="A13" s="51" t="s">
        <v>461</v>
      </c>
      <c r="B13" s="59" t="s">
        <v>345</v>
      </c>
      <c r="C13">
        <v>3</v>
      </c>
      <c r="D13" s="60"/>
      <c r="E13" s="61"/>
      <c r="F13" s="61" t="s">
        <v>439</v>
      </c>
      <c r="G13" s="61" t="s">
        <v>439</v>
      </c>
      <c r="H13" s="61" t="s">
        <v>439</v>
      </c>
      <c r="I13" s="61" t="s">
        <v>439</v>
      </c>
      <c r="J13" s="61" t="s">
        <v>439</v>
      </c>
      <c r="K13" s="61" t="s">
        <v>439</v>
      </c>
      <c r="L13" s="61" t="s">
        <v>439</v>
      </c>
      <c r="M13" s="61" t="s">
        <v>439</v>
      </c>
      <c r="N13" s="61" t="s">
        <v>439</v>
      </c>
      <c r="O13" s="61" t="s">
        <v>439</v>
      </c>
      <c r="P13" s="61" t="s">
        <v>439</v>
      </c>
      <c r="Q13" s="60" t="s">
        <v>439</v>
      </c>
      <c r="R13" s="60" t="s">
        <v>439</v>
      </c>
      <c r="S13" s="60" t="s">
        <v>439</v>
      </c>
      <c r="T13" s="60" t="s">
        <v>439</v>
      </c>
      <c r="U13" s="60" t="s">
        <v>439</v>
      </c>
      <c r="V13" s="60" t="s">
        <v>439</v>
      </c>
      <c r="W13" s="60" t="s">
        <v>439</v>
      </c>
      <c r="X13" s="60" t="s">
        <v>439</v>
      </c>
      <c r="Y13" s="60" t="s">
        <v>439</v>
      </c>
      <c r="Z13" s="60" t="s">
        <v>439</v>
      </c>
      <c r="AA13" s="60"/>
      <c r="AB13" s="60"/>
      <c r="AC13" s="60" t="s">
        <v>439</v>
      </c>
      <c r="AD13" s="60" t="s">
        <v>439</v>
      </c>
      <c r="AE13" s="60" t="s">
        <v>439</v>
      </c>
      <c r="AF13" s="60" t="s">
        <v>439</v>
      </c>
      <c r="AG13" s="60" t="s">
        <v>439</v>
      </c>
      <c r="AH13" s="60" t="s">
        <v>439</v>
      </c>
      <c r="AI13" s="60" t="s">
        <v>439</v>
      </c>
      <c r="AJ13" s="60" t="s">
        <v>439</v>
      </c>
      <c r="AK13" s="60" t="s">
        <v>439</v>
      </c>
      <c r="AL13" s="60" t="s">
        <v>439</v>
      </c>
      <c r="AM13" s="60" t="s">
        <v>439</v>
      </c>
      <c r="AN13" s="60" t="s">
        <v>439</v>
      </c>
      <c r="AO13" s="60" t="s">
        <v>439</v>
      </c>
      <c r="AP13" s="60" t="s">
        <v>439</v>
      </c>
      <c r="AQ13" s="60" t="s">
        <v>439</v>
      </c>
      <c r="AR13" s="60" t="s">
        <v>439</v>
      </c>
      <c r="AS13" s="60" t="s">
        <v>439</v>
      </c>
      <c r="AT13" s="60" t="s">
        <v>439</v>
      </c>
      <c r="AU13" s="60" t="s">
        <v>439</v>
      </c>
      <c r="AV13" s="60" t="s">
        <v>439</v>
      </c>
      <c r="AW13" s="60" t="s">
        <v>439</v>
      </c>
      <c r="AX13" s="60" t="s">
        <v>439</v>
      </c>
      <c r="AY13" s="61" t="s">
        <v>439</v>
      </c>
      <c r="AZ13" s="60"/>
      <c r="BA13" s="60"/>
      <c r="BB13" s="60"/>
      <c r="BC13" s="60"/>
      <c r="BD13" s="60"/>
      <c r="BE13" s="60"/>
      <c r="BF13" s="60"/>
      <c r="BG13" s="60"/>
      <c r="BH13" s="60"/>
      <c r="BI13" s="60"/>
      <c r="BJ13" s="60"/>
      <c r="BK13" s="60"/>
      <c r="BL13" s="60"/>
      <c r="BM13" s="60"/>
      <c r="BN13" s="60"/>
      <c r="BO13" s="60"/>
      <c r="BP13" s="60"/>
      <c r="BQ13" s="60"/>
      <c r="BR13" s="60"/>
      <c r="BS13" s="60"/>
      <c r="BT13" s="60"/>
      <c r="BU13" s="60"/>
    </row>
    <row r="14" spans="1:73" x14ac:dyDescent="0.25">
      <c r="A14" s="51" t="s">
        <v>462</v>
      </c>
      <c r="B14" s="59" t="s">
        <v>345</v>
      </c>
      <c r="C14">
        <v>3</v>
      </c>
      <c r="D14" s="60"/>
      <c r="E14" s="61"/>
      <c r="F14" s="61" t="s">
        <v>439</v>
      </c>
      <c r="G14" s="61" t="s">
        <v>439</v>
      </c>
      <c r="H14" s="61" t="s">
        <v>439</v>
      </c>
      <c r="I14" s="61" t="s">
        <v>439</v>
      </c>
      <c r="J14" s="61" t="s">
        <v>439</v>
      </c>
      <c r="K14" s="61" t="s">
        <v>439</v>
      </c>
      <c r="L14" s="61" t="s">
        <v>439</v>
      </c>
      <c r="M14" s="61" t="s">
        <v>439</v>
      </c>
      <c r="N14" s="61" t="s">
        <v>439</v>
      </c>
      <c r="O14" s="61" t="s">
        <v>439</v>
      </c>
      <c r="P14" s="61" t="s">
        <v>439</v>
      </c>
      <c r="Q14" s="60" t="s">
        <v>439</v>
      </c>
      <c r="R14" s="60" t="s">
        <v>439</v>
      </c>
      <c r="S14" s="60" t="s">
        <v>439</v>
      </c>
      <c r="T14" s="60" t="s">
        <v>439</v>
      </c>
      <c r="U14" s="60" t="s">
        <v>439</v>
      </c>
      <c r="V14" s="60" t="s">
        <v>439</v>
      </c>
      <c r="W14" s="60" t="s">
        <v>439</v>
      </c>
      <c r="X14" s="60" t="s">
        <v>439</v>
      </c>
      <c r="Y14" s="60" t="s">
        <v>439</v>
      </c>
      <c r="Z14" s="60" t="s">
        <v>439</v>
      </c>
      <c r="AA14" s="60"/>
      <c r="AB14" s="60"/>
      <c r="AC14" s="60" t="s">
        <v>439</v>
      </c>
      <c r="AD14" s="60" t="s">
        <v>439</v>
      </c>
      <c r="AE14" s="60" t="s">
        <v>439</v>
      </c>
      <c r="AF14" s="60" t="s">
        <v>439</v>
      </c>
      <c r="AG14" s="60" t="s">
        <v>439</v>
      </c>
      <c r="AH14" s="60" t="s">
        <v>439</v>
      </c>
      <c r="AI14" s="60" t="s">
        <v>439</v>
      </c>
      <c r="AJ14" s="60" t="s">
        <v>439</v>
      </c>
      <c r="AK14" s="60" t="s">
        <v>439</v>
      </c>
      <c r="AL14" s="60" t="s">
        <v>439</v>
      </c>
      <c r="AM14" s="60" t="s">
        <v>439</v>
      </c>
      <c r="AN14" s="60" t="s">
        <v>439</v>
      </c>
      <c r="AO14" s="60" t="s">
        <v>439</v>
      </c>
      <c r="AP14" s="60" t="s">
        <v>439</v>
      </c>
      <c r="AQ14" s="60" t="s">
        <v>439</v>
      </c>
      <c r="AR14" s="60" t="s">
        <v>439</v>
      </c>
      <c r="AS14" s="60" t="s">
        <v>439</v>
      </c>
      <c r="AT14" s="60" t="s">
        <v>439</v>
      </c>
      <c r="AU14" s="60" t="s">
        <v>439</v>
      </c>
      <c r="AV14" s="60"/>
      <c r="AW14" s="60"/>
      <c r="AX14" s="60"/>
      <c r="AY14" s="61" t="s">
        <v>439</v>
      </c>
      <c r="AZ14" s="60"/>
      <c r="BA14" s="60"/>
      <c r="BB14" s="60"/>
      <c r="BC14" s="60"/>
      <c r="BD14" s="60"/>
      <c r="BE14" s="60"/>
      <c r="BF14" s="60"/>
      <c r="BG14" s="60"/>
      <c r="BH14" s="60"/>
      <c r="BI14" s="60"/>
      <c r="BJ14" s="60"/>
      <c r="BK14" s="60"/>
      <c r="BL14" s="60"/>
      <c r="BM14" s="60"/>
      <c r="BN14" s="60"/>
      <c r="BO14" s="60"/>
      <c r="BP14" s="60"/>
      <c r="BQ14" s="60"/>
      <c r="BR14" s="60"/>
      <c r="BS14" s="60"/>
      <c r="BT14" s="60"/>
      <c r="BU14" s="60"/>
    </row>
    <row r="15" spans="1:73" x14ac:dyDescent="0.25">
      <c r="A15" s="51" t="s">
        <v>463</v>
      </c>
      <c r="B15" s="59" t="s">
        <v>345</v>
      </c>
      <c r="C15">
        <v>3</v>
      </c>
      <c r="D15" s="60"/>
      <c r="E15" s="61"/>
      <c r="F15" s="61" t="s">
        <v>439</v>
      </c>
      <c r="G15" s="61" t="s">
        <v>439</v>
      </c>
      <c r="H15" s="61" t="s">
        <v>439</v>
      </c>
      <c r="I15" s="61" t="s">
        <v>439</v>
      </c>
      <c r="J15" s="61" t="s">
        <v>439</v>
      </c>
      <c r="K15" s="61" t="s">
        <v>439</v>
      </c>
      <c r="L15" s="61" t="s">
        <v>439</v>
      </c>
      <c r="M15" s="61" t="s">
        <v>439</v>
      </c>
      <c r="N15" s="61" t="s">
        <v>439</v>
      </c>
      <c r="O15" s="61" t="s">
        <v>439</v>
      </c>
      <c r="P15" s="61" t="s">
        <v>439</v>
      </c>
      <c r="Q15" s="60" t="s">
        <v>439</v>
      </c>
      <c r="R15" s="60" t="s">
        <v>439</v>
      </c>
      <c r="S15" s="60" t="s">
        <v>439</v>
      </c>
      <c r="T15" s="60" t="s">
        <v>439</v>
      </c>
      <c r="U15" s="60" t="s">
        <v>439</v>
      </c>
      <c r="V15" s="60" t="s">
        <v>439</v>
      </c>
      <c r="W15" s="60" t="s">
        <v>439</v>
      </c>
      <c r="X15" s="60" t="s">
        <v>439</v>
      </c>
      <c r="Y15" s="60" t="s">
        <v>439</v>
      </c>
      <c r="Z15" s="60" t="s">
        <v>439</v>
      </c>
      <c r="AA15" s="60"/>
      <c r="AB15" s="60"/>
      <c r="AC15" s="60" t="s">
        <v>439</v>
      </c>
      <c r="AD15" s="60" t="s">
        <v>439</v>
      </c>
      <c r="AE15" s="60" t="s">
        <v>439</v>
      </c>
      <c r="AF15" s="60" t="s">
        <v>439</v>
      </c>
      <c r="AG15" s="60" t="s">
        <v>439</v>
      </c>
      <c r="AH15" s="60" t="s">
        <v>439</v>
      </c>
      <c r="AI15" s="60" t="s">
        <v>439</v>
      </c>
      <c r="AJ15" s="60" t="s">
        <v>439</v>
      </c>
      <c r="AK15" s="60" t="s">
        <v>439</v>
      </c>
      <c r="AL15" s="60" t="s">
        <v>439</v>
      </c>
      <c r="AM15" s="60" t="s">
        <v>439</v>
      </c>
      <c r="AN15" s="60" t="s">
        <v>439</v>
      </c>
      <c r="AO15" s="60" t="s">
        <v>439</v>
      </c>
      <c r="AP15" s="60" t="s">
        <v>439</v>
      </c>
      <c r="AQ15" s="60" t="s">
        <v>439</v>
      </c>
      <c r="AR15" s="60" t="s">
        <v>439</v>
      </c>
      <c r="AS15" s="60" t="s">
        <v>439</v>
      </c>
      <c r="AT15" s="60" t="s">
        <v>439</v>
      </c>
      <c r="AU15" s="60" t="s">
        <v>439</v>
      </c>
      <c r="AV15" s="60"/>
      <c r="AW15" s="60"/>
      <c r="AX15" s="60"/>
      <c r="AY15" s="61" t="s">
        <v>439</v>
      </c>
      <c r="AZ15" s="60"/>
      <c r="BA15" s="60"/>
      <c r="BB15" s="60"/>
      <c r="BC15" s="60"/>
      <c r="BD15" s="60"/>
      <c r="BE15" s="60"/>
      <c r="BF15" s="60"/>
      <c r="BG15" s="60"/>
      <c r="BH15" s="60"/>
      <c r="BI15" s="60"/>
      <c r="BJ15" s="60"/>
      <c r="BK15" s="60"/>
      <c r="BL15" s="60"/>
      <c r="BM15" s="60"/>
      <c r="BN15" s="60"/>
      <c r="BO15" s="60"/>
      <c r="BP15" s="60"/>
      <c r="BQ15" s="60"/>
      <c r="BR15" s="60"/>
      <c r="BS15" s="60"/>
      <c r="BT15" s="60"/>
      <c r="BU15" s="60"/>
    </row>
    <row r="16" spans="1:73" x14ac:dyDescent="0.25">
      <c r="A16" s="51" t="s">
        <v>464</v>
      </c>
      <c r="B16" s="59" t="s">
        <v>345</v>
      </c>
      <c r="C16">
        <v>3</v>
      </c>
      <c r="D16" s="60"/>
      <c r="E16" s="61"/>
      <c r="F16" s="61" t="s">
        <v>439</v>
      </c>
      <c r="G16" s="61" t="s">
        <v>439</v>
      </c>
      <c r="H16" s="61" t="s">
        <v>439</v>
      </c>
      <c r="I16" s="61" t="s">
        <v>439</v>
      </c>
      <c r="J16" s="61" t="s">
        <v>439</v>
      </c>
      <c r="K16" s="61" t="s">
        <v>439</v>
      </c>
      <c r="L16" s="61" t="s">
        <v>439</v>
      </c>
      <c r="M16" s="61" t="s">
        <v>439</v>
      </c>
      <c r="N16" s="61" t="s">
        <v>439</v>
      </c>
      <c r="O16" s="61" t="s">
        <v>439</v>
      </c>
      <c r="P16" s="61" t="s">
        <v>439</v>
      </c>
      <c r="Q16" s="60" t="s">
        <v>439</v>
      </c>
      <c r="R16" s="60" t="s">
        <v>439</v>
      </c>
      <c r="S16" s="60" t="s">
        <v>439</v>
      </c>
      <c r="T16" s="60" t="s">
        <v>439</v>
      </c>
      <c r="U16" s="60" t="s">
        <v>439</v>
      </c>
      <c r="V16" s="60" t="s">
        <v>439</v>
      </c>
      <c r="W16" s="60" t="s">
        <v>439</v>
      </c>
      <c r="X16" s="60" t="s">
        <v>439</v>
      </c>
      <c r="Y16" s="60"/>
      <c r="Z16" s="60"/>
      <c r="AA16" s="60"/>
      <c r="AB16" s="60"/>
      <c r="AC16" s="60" t="s">
        <v>439</v>
      </c>
      <c r="AD16" s="60" t="s">
        <v>439</v>
      </c>
      <c r="AE16" s="60" t="s">
        <v>439</v>
      </c>
      <c r="AF16" s="60" t="s">
        <v>439</v>
      </c>
      <c r="AG16" s="60" t="s">
        <v>439</v>
      </c>
      <c r="AH16" s="60" t="s">
        <v>439</v>
      </c>
      <c r="AI16" s="60" t="s">
        <v>439</v>
      </c>
      <c r="AJ16" s="60" t="s">
        <v>439</v>
      </c>
      <c r="AK16" s="60" t="s">
        <v>439</v>
      </c>
      <c r="AL16" s="60" t="s">
        <v>439</v>
      </c>
      <c r="AM16" s="60" t="s">
        <v>439</v>
      </c>
      <c r="AN16" s="60" t="s">
        <v>439</v>
      </c>
      <c r="AO16" s="60" t="s">
        <v>439</v>
      </c>
      <c r="AP16" s="60" t="s">
        <v>439</v>
      </c>
      <c r="AQ16" s="60" t="s">
        <v>439</v>
      </c>
      <c r="AR16" s="60" t="s">
        <v>439</v>
      </c>
      <c r="AS16" s="60" t="s">
        <v>439</v>
      </c>
      <c r="AT16" s="60" t="s">
        <v>439</v>
      </c>
      <c r="AU16" s="60" t="s">
        <v>439</v>
      </c>
      <c r="AV16" s="60"/>
      <c r="AW16" s="60"/>
      <c r="AX16" s="60"/>
      <c r="AY16" s="61" t="s">
        <v>439</v>
      </c>
      <c r="AZ16" s="60"/>
      <c r="BA16" s="60"/>
      <c r="BB16" s="60"/>
      <c r="BC16" s="60"/>
      <c r="BD16" s="60"/>
      <c r="BE16" s="60"/>
      <c r="BF16" s="60"/>
      <c r="BG16" s="60"/>
      <c r="BH16" s="60"/>
      <c r="BI16" s="60"/>
      <c r="BJ16" s="60"/>
      <c r="BK16" s="60"/>
      <c r="BL16" s="60"/>
      <c r="BM16" s="60"/>
      <c r="BN16" s="60"/>
      <c r="BO16" s="60"/>
      <c r="BP16" s="60"/>
      <c r="BQ16" s="60"/>
      <c r="BR16" s="60"/>
      <c r="BS16" s="60"/>
      <c r="BT16" s="60"/>
      <c r="BU16" s="60"/>
    </row>
    <row r="17" spans="1:73" x14ac:dyDescent="0.25">
      <c r="A17" s="51" t="s">
        <v>363</v>
      </c>
      <c r="B17" s="59" t="s">
        <v>346</v>
      </c>
      <c r="C17">
        <v>4</v>
      </c>
      <c r="D17" s="60"/>
      <c r="E17" s="61"/>
      <c r="F17" s="61" t="s">
        <v>439</v>
      </c>
      <c r="G17" s="61" t="s">
        <v>439</v>
      </c>
      <c r="H17" s="61" t="s">
        <v>439</v>
      </c>
      <c r="I17" s="61" t="s">
        <v>439</v>
      </c>
      <c r="J17" s="61" t="s">
        <v>439</v>
      </c>
      <c r="K17" s="61" t="s">
        <v>439</v>
      </c>
      <c r="L17" s="61" t="s">
        <v>439</v>
      </c>
      <c r="M17" s="61" t="s">
        <v>439</v>
      </c>
      <c r="N17" s="61" t="s">
        <v>439</v>
      </c>
      <c r="O17" s="61" t="s">
        <v>439</v>
      </c>
      <c r="P17" s="61" t="s">
        <v>439</v>
      </c>
      <c r="Q17" s="61" t="s">
        <v>439</v>
      </c>
      <c r="R17" s="61" t="s">
        <v>439</v>
      </c>
      <c r="S17" s="61" t="s">
        <v>439</v>
      </c>
      <c r="T17" s="60" t="s">
        <v>439</v>
      </c>
      <c r="U17" s="60" t="s">
        <v>439</v>
      </c>
      <c r="V17" s="60" t="s">
        <v>439</v>
      </c>
      <c r="W17" s="60" t="s">
        <v>439</v>
      </c>
      <c r="X17" s="60" t="s">
        <v>439</v>
      </c>
      <c r="Y17" s="60" t="s">
        <v>439</v>
      </c>
      <c r="Z17" s="60" t="s">
        <v>439</v>
      </c>
      <c r="AA17" s="60" t="s">
        <v>439</v>
      </c>
      <c r="AB17" s="60"/>
      <c r="AC17" s="60"/>
      <c r="AD17" s="60"/>
      <c r="AE17" s="60"/>
      <c r="AF17" s="60" t="s">
        <v>439</v>
      </c>
      <c r="AG17" s="60" t="s">
        <v>439</v>
      </c>
      <c r="AH17" s="60" t="s">
        <v>439</v>
      </c>
      <c r="AI17" s="60" t="s">
        <v>439</v>
      </c>
      <c r="AJ17" s="60" t="s">
        <v>439</v>
      </c>
      <c r="AK17" s="60" t="s">
        <v>439</v>
      </c>
      <c r="AL17" s="60" t="s">
        <v>439</v>
      </c>
      <c r="AM17" s="60" t="s">
        <v>439</v>
      </c>
      <c r="AN17" s="60" t="s">
        <v>439</v>
      </c>
      <c r="AO17" s="60" t="s">
        <v>439</v>
      </c>
      <c r="AP17" s="60" t="s">
        <v>439</v>
      </c>
      <c r="AQ17" s="60" t="s">
        <v>439</v>
      </c>
      <c r="AR17" s="60" t="s">
        <v>439</v>
      </c>
      <c r="AS17" s="60" t="s">
        <v>439</v>
      </c>
      <c r="AT17" s="60" t="s">
        <v>439</v>
      </c>
      <c r="AU17" s="60" t="s">
        <v>439</v>
      </c>
      <c r="AV17" s="60" t="s">
        <v>439</v>
      </c>
      <c r="AW17" s="60" t="s">
        <v>439</v>
      </c>
      <c r="AX17" s="60" t="s">
        <v>439</v>
      </c>
      <c r="AY17" s="60"/>
      <c r="AZ17" s="60"/>
      <c r="BA17" s="60"/>
      <c r="BB17" s="60"/>
      <c r="BC17" s="60"/>
      <c r="BD17" s="60"/>
      <c r="BE17" s="60"/>
      <c r="BF17" s="60"/>
      <c r="BG17" s="61" t="s">
        <v>439</v>
      </c>
      <c r="BH17" s="60"/>
      <c r="BI17" s="60"/>
      <c r="BJ17" s="60"/>
      <c r="BK17" s="60"/>
      <c r="BL17" s="60"/>
      <c r="BM17" s="60"/>
      <c r="BN17" s="60"/>
      <c r="BO17" s="60"/>
      <c r="BP17" s="60"/>
      <c r="BQ17" s="60"/>
      <c r="BR17" s="60"/>
      <c r="BS17" s="60"/>
      <c r="BT17" s="60"/>
      <c r="BU17" s="60"/>
    </row>
    <row r="18" spans="1:73" x14ac:dyDescent="0.25">
      <c r="A18" s="51" t="s">
        <v>987</v>
      </c>
      <c r="B18" s="59" t="s">
        <v>346</v>
      </c>
      <c r="C18">
        <v>4</v>
      </c>
      <c r="D18" s="60"/>
      <c r="E18" s="61"/>
      <c r="F18" s="61" t="s">
        <v>439</v>
      </c>
      <c r="G18" s="61" t="s">
        <v>439</v>
      </c>
      <c r="H18" s="61" t="s">
        <v>439</v>
      </c>
      <c r="I18" s="61" t="s">
        <v>439</v>
      </c>
      <c r="J18" s="61" t="s">
        <v>439</v>
      </c>
      <c r="K18" s="61" t="s">
        <v>439</v>
      </c>
      <c r="L18" s="61" t="s">
        <v>439</v>
      </c>
      <c r="M18" s="61" t="s">
        <v>439</v>
      </c>
      <c r="N18" s="61" t="s">
        <v>439</v>
      </c>
      <c r="O18" s="61" t="s">
        <v>439</v>
      </c>
      <c r="P18" s="61" t="s">
        <v>439</v>
      </c>
      <c r="Q18" s="61" t="s">
        <v>439</v>
      </c>
      <c r="R18" s="61" t="s">
        <v>439</v>
      </c>
      <c r="S18" s="61" t="s">
        <v>439</v>
      </c>
      <c r="T18" s="60" t="s">
        <v>439</v>
      </c>
      <c r="U18" s="60" t="s">
        <v>439</v>
      </c>
      <c r="V18" s="60" t="s">
        <v>439</v>
      </c>
      <c r="W18" s="60" t="s">
        <v>439</v>
      </c>
      <c r="X18" s="60" t="s">
        <v>439</v>
      </c>
      <c r="Y18" s="60" t="s">
        <v>439</v>
      </c>
      <c r="Z18" s="60" t="s">
        <v>439</v>
      </c>
      <c r="AA18" s="60" t="s">
        <v>439</v>
      </c>
      <c r="AB18" s="60"/>
      <c r="AC18" s="60"/>
      <c r="AD18" s="60"/>
      <c r="AE18" s="60"/>
      <c r="AF18" s="60" t="s">
        <v>439</v>
      </c>
      <c r="AG18" s="60" t="s">
        <v>439</v>
      </c>
      <c r="AH18" s="60" t="s">
        <v>439</v>
      </c>
      <c r="AI18" s="60" t="s">
        <v>439</v>
      </c>
      <c r="AJ18" s="60" t="s">
        <v>439</v>
      </c>
      <c r="AK18" s="60" t="s">
        <v>439</v>
      </c>
      <c r="AL18" s="60" t="s">
        <v>439</v>
      </c>
      <c r="AM18" s="60" t="s">
        <v>439</v>
      </c>
      <c r="AN18" s="60" t="s">
        <v>439</v>
      </c>
      <c r="AO18" s="60" t="s">
        <v>439</v>
      </c>
      <c r="AP18" s="60" t="s">
        <v>439</v>
      </c>
      <c r="AQ18" s="60" t="s">
        <v>439</v>
      </c>
      <c r="AR18" s="60" t="s">
        <v>439</v>
      </c>
      <c r="AS18" s="60" t="s">
        <v>439</v>
      </c>
      <c r="AT18" s="60" t="s">
        <v>439</v>
      </c>
      <c r="AU18" s="60" t="s">
        <v>439</v>
      </c>
      <c r="AV18" s="60" t="s">
        <v>439</v>
      </c>
      <c r="AW18" s="60" t="s">
        <v>439</v>
      </c>
      <c r="AX18" s="60" t="s">
        <v>439</v>
      </c>
      <c r="AY18" s="60"/>
      <c r="AZ18" s="60"/>
      <c r="BA18" s="60"/>
      <c r="BB18" s="60" t="s">
        <v>439</v>
      </c>
      <c r="BC18" s="60" t="s">
        <v>439</v>
      </c>
      <c r="BD18" s="60"/>
      <c r="BE18" s="60"/>
      <c r="BF18" s="60"/>
      <c r="BG18" s="61" t="s">
        <v>439</v>
      </c>
      <c r="BH18" s="60"/>
      <c r="BI18" s="60"/>
      <c r="BJ18" s="60"/>
      <c r="BK18" s="60"/>
      <c r="BL18" s="60"/>
      <c r="BM18" s="60"/>
      <c r="BN18" s="60"/>
      <c r="BO18" s="60"/>
      <c r="BP18" s="60"/>
      <c r="BQ18" s="60"/>
      <c r="BR18" s="60"/>
      <c r="BS18" s="60"/>
      <c r="BT18" s="60"/>
      <c r="BU18" s="60"/>
    </row>
    <row r="19" spans="1:73" x14ac:dyDescent="0.25">
      <c r="A19" s="51" t="s">
        <v>364</v>
      </c>
      <c r="B19" s="59" t="s">
        <v>346</v>
      </c>
      <c r="C19">
        <v>4</v>
      </c>
      <c r="D19" s="60"/>
      <c r="E19" s="61"/>
      <c r="F19" s="61" t="s">
        <v>439</v>
      </c>
      <c r="G19" s="61" t="s">
        <v>439</v>
      </c>
      <c r="H19" s="61" t="s">
        <v>439</v>
      </c>
      <c r="I19" s="61" t="s">
        <v>439</v>
      </c>
      <c r="J19" s="61" t="s">
        <v>439</v>
      </c>
      <c r="K19" s="61" t="s">
        <v>439</v>
      </c>
      <c r="L19" s="61" t="s">
        <v>439</v>
      </c>
      <c r="M19" s="61" t="s">
        <v>439</v>
      </c>
      <c r="N19" s="61" t="s">
        <v>439</v>
      </c>
      <c r="O19" s="61" t="s">
        <v>439</v>
      </c>
      <c r="P19" s="61" t="s">
        <v>439</v>
      </c>
      <c r="Q19" s="61" t="s">
        <v>439</v>
      </c>
      <c r="R19" s="61" t="s">
        <v>439</v>
      </c>
      <c r="S19" s="61" t="s">
        <v>439</v>
      </c>
      <c r="T19" s="60" t="s">
        <v>439</v>
      </c>
      <c r="U19" s="60" t="s">
        <v>439</v>
      </c>
      <c r="V19" s="60" t="s">
        <v>439</v>
      </c>
      <c r="W19" s="60" t="s">
        <v>439</v>
      </c>
      <c r="X19" s="60" t="s">
        <v>439</v>
      </c>
      <c r="Y19" s="60" t="s">
        <v>439</v>
      </c>
      <c r="Z19" s="60" t="s">
        <v>439</v>
      </c>
      <c r="AA19" s="60" t="s">
        <v>439</v>
      </c>
      <c r="AB19" s="60"/>
      <c r="AC19" s="60"/>
      <c r="AD19" s="60"/>
      <c r="AE19" s="60"/>
      <c r="AF19" s="60" t="s">
        <v>439</v>
      </c>
      <c r="AG19" s="60" t="s">
        <v>439</v>
      </c>
      <c r="AH19" s="60" t="s">
        <v>439</v>
      </c>
      <c r="AI19" s="60" t="s">
        <v>439</v>
      </c>
      <c r="AJ19" s="60" t="s">
        <v>439</v>
      </c>
      <c r="AK19" s="60" t="s">
        <v>439</v>
      </c>
      <c r="AL19" s="60" t="s">
        <v>439</v>
      </c>
      <c r="AM19" s="60" t="s">
        <v>439</v>
      </c>
      <c r="AN19" s="60" t="s">
        <v>439</v>
      </c>
      <c r="AO19" s="60" t="s">
        <v>439</v>
      </c>
      <c r="AP19" s="60" t="s">
        <v>439</v>
      </c>
      <c r="AQ19" s="60" t="s">
        <v>439</v>
      </c>
      <c r="AR19" s="60" t="s">
        <v>439</v>
      </c>
      <c r="AS19" s="60" t="s">
        <v>439</v>
      </c>
      <c r="AT19" s="60" t="s">
        <v>439</v>
      </c>
      <c r="AU19" s="60" t="s">
        <v>439</v>
      </c>
      <c r="AV19" s="60" t="s">
        <v>439</v>
      </c>
      <c r="AW19" s="60" t="s">
        <v>439</v>
      </c>
      <c r="AX19" s="60" t="s">
        <v>439</v>
      </c>
      <c r="AY19" s="60"/>
      <c r="AZ19" s="60"/>
      <c r="BA19" s="60"/>
      <c r="BB19" s="60"/>
      <c r="BC19" s="60"/>
      <c r="BD19" s="60"/>
      <c r="BE19" s="60"/>
      <c r="BF19" s="60"/>
      <c r="BG19" s="61" t="s">
        <v>439</v>
      </c>
      <c r="BH19" s="60"/>
      <c r="BI19" s="60"/>
      <c r="BJ19" s="60"/>
      <c r="BK19" s="60"/>
      <c r="BL19" s="60"/>
      <c r="BM19" s="60"/>
      <c r="BN19" s="60"/>
      <c r="BO19" s="60"/>
      <c r="BP19" s="60"/>
      <c r="BQ19" s="60"/>
      <c r="BR19" s="60"/>
      <c r="BS19" s="60"/>
      <c r="BT19" s="60"/>
      <c r="BU19" s="60"/>
    </row>
    <row r="20" spans="1:73" x14ac:dyDescent="0.25">
      <c r="A20" s="51" t="s">
        <v>365</v>
      </c>
      <c r="B20" s="59" t="s">
        <v>346</v>
      </c>
      <c r="C20">
        <v>4</v>
      </c>
      <c r="D20" s="60"/>
      <c r="E20" s="61"/>
      <c r="F20" s="61" t="s">
        <v>439</v>
      </c>
      <c r="G20" s="61" t="s">
        <v>439</v>
      </c>
      <c r="H20" s="61" t="s">
        <v>439</v>
      </c>
      <c r="I20" s="61" t="s">
        <v>439</v>
      </c>
      <c r="J20" s="61" t="s">
        <v>439</v>
      </c>
      <c r="K20" s="61" t="s">
        <v>439</v>
      </c>
      <c r="L20" s="61" t="s">
        <v>439</v>
      </c>
      <c r="M20" s="61" t="s">
        <v>439</v>
      </c>
      <c r="N20" s="61" t="s">
        <v>439</v>
      </c>
      <c r="O20" s="61" t="s">
        <v>439</v>
      </c>
      <c r="P20" s="61" t="s">
        <v>439</v>
      </c>
      <c r="Q20" s="61" t="s">
        <v>439</v>
      </c>
      <c r="R20" s="61" t="s">
        <v>439</v>
      </c>
      <c r="S20" s="61" t="s">
        <v>439</v>
      </c>
      <c r="T20" s="60" t="s">
        <v>439</v>
      </c>
      <c r="U20" s="60" t="s">
        <v>439</v>
      </c>
      <c r="V20" s="60" t="s">
        <v>439</v>
      </c>
      <c r="W20" s="60" t="s">
        <v>439</v>
      </c>
      <c r="X20" s="60" t="s">
        <v>439</v>
      </c>
      <c r="Y20" s="60" t="s">
        <v>439</v>
      </c>
      <c r="Z20" s="60" t="s">
        <v>439</v>
      </c>
      <c r="AA20" s="60" t="s">
        <v>439</v>
      </c>
      <c r="AB20" s="60"/>
      <c r="AC20" s="60"/>
      <c r="AD20" s="60"/>
      <c r="AE20" s="60"/>
      <c r="AF20" s="60" t="s">
        <v>439</v>
      </c>
      <c r="AG20" s="60" t="s">
        <v>439</v>
      </c>
      <c r="AH20" s="60" t="s">
        <v>439</v>
      </c>
      <c r="AI20" s="60" t="s">
        <v>439</v>
      </c>
      <c r="AJ20" s="60" t="s">
        <v>439</v>
      </c>
      <c r="AK20" s="60" t="s">
        <v>439</v>
      </c>
      <c r="AL20" s="60" t="s">
        <v>439</v>
      </c>
      <c r="AM20" s="60" t="s">
        <v>439</v>
      </c>
      <c r="AN20" s="60" t="s">
        <v>439</v>
      </c>
      <c r="AO20" s="60" t="s">
        <v>439</v>
      </c>
      <c r="AP20" s="60" t="s">
        <v>439</v>
      </c>
      <c r="AQ20" s="60" t="s">
        <v>439</v>
      </c>
      <c r="AR20" s="60" t="s">
        <v>439</v>
      </c>
      <c r="AS20" s="60" t="s">
        <v>439</v>
      </c>
      <c r="AT20" s="60" t="s">
        <v>439</v>
      </c>
      <c r="AU20" s="60" t="s">
        <v>439</v>
      </c>
      <c r="AV20" s="60" t="s">
        <v>439</v>
      </c>
      <c r="AW20" s="60" t="s">
        <v>439</v>
      </c>
      <c r="AX20" s="60" t="s">
        <v>439</v>
      </c>
      <c r="AY20" s="60"/>
      <c r="AZ20" s="60"/>
      <c r="BA20" s="60"/>
      <c r="BB20" s="60"/>
      <c r="BC20" s="60"/>
      <c r="BD20" s="60"/>
      <c r="BE20" s="60"/>
      <c r="BF20" s="60"/>
      <c r="BG20" s="61" t="s">
        <v>439</v>
      </c>
      <c r="BH20" s="60"/>
      <c r="BI20" s="60"/>
      <c r="BJ20" s="60"/>
      <c r="BK20" s="60"/>
      <c r="BL20" s="60"/>
      <c r="BM20" s="60"/>
      <c r="BN20" s="60"/>
      <c r="BO20" s="60"/>
      <c r="BP20" s="60"/>
      <c r="BQ20" s="60"/>
      <c r="BR20" s="60"/>
      <c r="BS20" s="60"/>
      <c r="BT20" s="60"/>
      <c r="BU20" s="60"/>
    </row>
    <row r="21" spans="1:73" x14ac:dyDescent="0.25">
      <c r="A21" s="51" t="s">
        <v>465</v>
      </c>
      <c r="B21" s="59" t="s">
        <v>346</v>
      </c>
      <c r="C21">
        <v>4</v>
      </c>
      <c r="D21" s="60"/>
      <c r="E21" s="61"/>
      <c r="F21" s="61" t="s">
        <v>439</v>
      </c>
      <c r="G21" s="61" t="s">
        <v>439</v>
      </c>
      <c r="H21" s="61" t="s">
        <v>439</v>
      </c>
      <c r="I21" s="61" t="s">
        <v>439</v>
      </c>
      <c r="J21" s="61" t="s">
        <v>439</v>
      </c>
      <c r="K21" s="61" t="s">
        <v>439</v>
      </c>
      <c r="L21" s="61" t="s">
        <v>439</v>
      </c>
      <c r="M21" s="61" t="s">
        <v>439</v>
      </c>
      <c r="N21" s="61" t="s">
        <v>439</v>
      </c>
      <c r="O21" s="61" t="s">
        <v>439</v>
      </c>
      <c r="P21" s="61" t="s">
        <v>439</v>
      </c>
      <c r="Q21" s="61" t="s">
        <v>439</v>
      </c>
      <c r="R21" s="61" t="s">
        <v>439</v>
      </c>
      <c r="S21" s="61" t="s">
        <v>439</v>
      </c>
      <c r="T21" s="60" t="s">
        <v>439</v>
      </c>
      <c r="U21" s="60" t="s">
        <v>439</v>
      </c>
      <c r="V21" s="60" t="s">
        <v>439</v>
      </c>
      <c r="W21" s="60" t="s">
        <v>439</v>
      </c>
      <c r="X21" s="60" t="s">
        <v>439</v>
      </c>
      <c r="Y21" s="60" t="s">
        <v>439</v>
      </c>
      <c r="Z21" s="60"/>
      <c r="AA21" s="60"/>
      <c r="AB21" s="60"/>
      <c r="AC21" s="60"/>
      <c r="AD21" s="60"/>
      <c r="AE21" s="60"/>
      <c r="AF21" s="60" t="s">
        <v>439</v>
      </c>
      <c r="AG21" s="60" t="s">
        <v>439</v>
      </c>
      <c r="AH21" s="60" t="s">
        <v>439</v>
      </c>
      <c r="AI21" s="60" t="s">
        <v>439</v>
      </c>
      <c r="AJ21" s="60" t="s">
        <v>439</v>
      </c>
      <c r="AK21" s="60" t="s">
        <v>439</v>
      </c>
      <c r="AL21" s="60" t="s">
        <v>439</v>
      </c>
      <c r="AM21" s="60" t="s">
        <v>439</v>
      </c>
      <c r="AN21" s="60" t="s">
        <v>439</v>
      </c>
      <c r="AO21" s="60" t="s">
        <v>439</v>
      </c>
      <c r="AP21" s="60" t="s">
        <v>439</v>
      </c>
      <c r="AQ21" s="60" t="s">
        <v>439</v>
      </c>
      <c r="AR21" s="60" t="s">
        <v>439</v>
      </c>
      <c r="AS21" s="60" t="s">
        <v>439</v>
      </c>
      <c r="AT21" s="60" t="s">
        <v>439</v>
      </c>
      <c r="AU21" s="60" t="s">
        <v>439</v>
      </c>
      <c r="AV21" s="60" t="s">
        <v>439</v>
      </c>
      <c r="AW21" s="60" t="s">
        <v>439</v>
      </c>
      <c r="AX21" s="60" t="s">
        <v>439</v>
      </c>
      <c r="AY21" s="60"/>
      <c r="AZ21" s="60"/>
      <c r="BA21" s="60"/>
      <c r="BB21" s="60"/>
      <c r="BC21" s="60"/>
      <c r="BD21" s="60"/>
      <c r="BE21" s="60"/>
      <c r="BF21" s="60"/>
      <c r="BG21" s="61" t="s">
        <v>439</v>
      </c>
      <c r="BH21" s="60"/>
      <c r="BI21" s="60"/>
      <c r="BJ21" s="60"/>
      <c r="BK21" s="60"/>
      <c r="BL21" s="60"/>
      <c r="BM21" s="60"/>
      <c r="BN21" s="60"/>
      <c r="BO21" s="60"/>
      <c r="BP21" s="60"/>
      <c r="BQ21" s="60"/>
      <c r="BR21" s="60"/>
      <c r="BS21" s="60"/>
      <c r="BT21" s="60"/>
      <c r="BU21" s="60"/>
    </row>
    <row r="22" spans="1:73" x14ac:dyDescent="0.25">
      <c r="A22" s="51" t="s">
        <v>466</v>
      </c>
      <c r="B22" s="59" t="s">
        <v>346</v>
      </c>
      <c r="C22">
        <v>4</v>
      </c>
      <c r="D22" s="60"/>
      <c r="E22" s="61"/>
      <c r="F22" s="61" t="s">
        <v>439</v>
      </c>
      <c r="G22" s="61" t="s">
        <v>439</v>
      </c>
      <c r="H22" s="61" t="s">
        <v>439</v>
      </c>
      <c r="I22" s="61" t="s">
        <v>439</v>
      </c>
      <c r="J22" s="61" t="s">
        <v>439</v>
      </c>
      <c r="K22" s="61" t="s">
        <v>439</v>
      </c>
      <c r="L22" s="61" t="s">
        <v>439</v>
      </c>
      <c r="M22" s="61" t="s">
        <v>439</v>
      </c>
      <c r="N22" s="61" t="s">
        <v>439</v>
      </c>
      <c r="O22" s="61" t="s">
        <v>439</v>
      </c>
      <c r="P22" s="61" t="s">
        <v>439</v>
      </c>
      <c r="Q22" s="61" t="s">
        <v>439</v>
      </c>
      <c r="R22" s="61" t="s">
        <v>439</v>
      </c>
      <c r="S22" s="61" t="s">
        <v>439</v>
      </c>
      <c r="T22" s="60" t="s">
        <v>439</v>
      </c>
      <c r="U22" s="60" t="s">
        <v>439</v>
      </c>
      <c r="V22" s="60" t="s">
        <v>439</v>
      </c>
      <c r="W22" s="60" t="s">
        <v>439</v>
      </c>
      <c r="X22" s="60" t="s">
        <v>439</v>
      </c>
      <c r="Y22" s="60" t="s">
        <v>439</v>
      </c>
      <c r="Z22" s="60" t="s">
        <v>439</v>
      </c>
      <c r="AA22" s="60" t="s">
        <v>439</v>
      </c>
      <c r="AB22" s="60"/>
      <c r="AC22" s="60"/>
      <c r="AD22" s="60"/>
      <c r="AE22" s="60"/>
      <c r="AF22" s="60" t="s">
        <v>439</v>
      </c>
      <c r="AG22" s="60" t="s">
        <v>439</v>
      </c>
      <c r="AH22" s="60" t="s">
        <v>439</v>
      </c>
      <c r="AI22" s="60" t="s">
        <v>439</v>
      </c>
      <c r="AJ22" s="60" t="s">
        <v>439</v>
      </c>
      <c r="AK22" s="60" t="s">
        <v>439</v>
      </c>
      <c r="AL22" s="60" t="s">
        <v>439</v>
      </c>
      <c r="AM22" s="60" t="s">
        <v>439</v>
      </c>
      <c r="AN22" s="60" t="s">
        <v>439</v>
      </c>
      <c r="AO22" s="60" t="s">
        <v>439</v>
      </c>
      <c r="AP22" s="60" t="s">
        <v>439</v>
      </c>
      <c r="AQ22" s="60" t="s">
        <v>439</v>
      </c>
      <c r="AR22" s="60" t="s">
        <v>439</v>
      </c>
      <c r="AS22" s="60" t="s">
        <v>439</v>
      </c>
      <c r="AT22" s="60" t="s">
        <v>439</v>
      </c>
      <c r="AU22" s="60" t="s">
        <v>439</v>
      </c>
      <c r="AV22" s="60" t="s">
        <v>439</v>
      </c>
      <c r="AW22" s="60" t="s">
        <v>439</v>
      </c>
      <c r="AX22" s="60" t="s">
        <v>439</v>
      </c>
      <c r="AY22" s="60"/>
      <c r="AZ22" s="60"/>
      <c r="BA22" s="60"/>
      <c r="BB22" s="60"/>
      <c r="BC22" s="60"/>
      <c r="BD22" s="60"/>
      <c r="BE22" s="60"/>
      <c r="BF22" s="60"/>
      <c r="BG22" s="61" t="s">
        <v>439</v>
      </c>
      <c r="BH22" s="60"/>
      <c r="BI22" s="60"/>
      <c r="BJ22" s="60"/>
      <c r="BK22" s="60"/>
      <c r="BL22" s="60"/>
      <c r="BM22" s="60"/>
      <c r="BN22" s="60"/>
      <c r="BO22" s="60"/>
      <c r="BP22" s="60"/>
      <c r="BQ22" s="60"/>
      <c r="BR22" s="60"/>
      <c r="BS22" s="60"/>
      <c r="BT22" s="60"/>
      <c r="BU22" s="60"/>
    </row>
    <row r="23" spans="1:73" x14ac:dyDescent="0.25">
      <c r="A23" s="51" t="s">
        <v>467</v>
      </c>
      <c r="B23" s="59" t="s">
        <v>346</v>
      </c>
      <c r="C23">
        <v>4</v>
      </c>
      <c r="D23" s="60"/>
      <c r="E23" s="61"/>
      <c r="F23" s="61" t="s">
        <v>439</v>
      </c>
      <c r="G23" s="61" t="s">
        <v>439</v>
      </c>
      <c r="H23" s="61" t="s">
        <v>439</v>
      </c>
      <c r="I23" s="61" t="s">
        <v>439</v>
      </c>
      <c r="J23" s="61" t="s">
        <v>439</v>
      </c>
      <c r="K23" s="61" t="s">
        <v>439</v>
      </c>
      <c r="L23" s="61" t="s">
        <v>439</v>
      </c>
      <c r="M23" s="61" t="s">
        <v>439</v>
      </c>
      <c r="N23" s="61" t="s">
        <v>439</v>
      </c>
      <c r="O23" s="61" t="s">
        <v>439</v>
      </c>
      <c r="P23" s="61" t="s">
        <v>439</v>
      </c>
      <c r="Q23" s="61" t="s">
        <v>439</v>
      </c>
      <c r="R23" s="61" t="s">
        <v>439</v>
      </c>
      <c r="S23" s="61" t="s">
        <v>439</v>
      </c>
      <c r="T23" s="60" t="s">
        <v>439</v>
      </c>
      <c r="U23" s="60" t="s">
        <v>439</v>
      </c>
      <c r="V23" s="60" t="s">
        <v>439</v>
      </c>
      <c r="W23" s="60" t="s">
        <v>439</v>
      </c>
      <c r="X23" s="60" t="s">
        <v>439</v>
      </c>
      <c r="Y23" s="60" t="s">
        <v>439</v>
      </c>
      <c r="Z23" s="60" t="s">
        <v>439</v>
      </c>
      <c r="AA23" s="60" t="s">
        <v>439</v>
      </c>
      <c r="AB23" s="60"/>
      <c r="AC23" s="60"/>
      <c r="AD23" s="60"/>
      <c r="AE23" s="60"/>
      <c r="AF23" s="60" t="s">
        <v>439</v>
      </c>
      <c r="AG23" s="60" t="s">
        <v>439</v>
      </c>
      <c r="AH23" s="60" t="s">
        <v>439</v>
      </c>
      <c r="AI23" s="60" t="s">
        <v>439</v>
      </c>
      <c r="AJ23" s="60" t="s">
        <v>439</v>
      </c>
      <c r="AK23" s="60" t="s">
        <v>439</v>
      </c>
      <c r="AL23" s="60" t="s">
        <v>439</v>
      </c>
      <c r="AM23" s="60" t="s">
        <v>439</v>
      </c>
      <c r="AN23" s="60" t="s">
        <v>439</v>
      </c>
      <c r="AO23" s="60" t="s">
        <v>439</v>
      </c>
      <c r="AP23" s="60" t="s">
        <v>439</v>
      </c>
      <c r="AQ23" s="60" t="s">
        <v>439</v>
      </c>
      <c r="AR23" s="60" t="s">
        <v>439</v>
      </c>
      <c r="AS23" s="60" t="s">
        <v>439</v>
      </c>
      <c r="AT23" s="60" t="s">
        <v>439</v>
      </c>
      <c r="AU23" s="60" t="s">
        <v>439</v>
      </c>
      <c r="AV23" s="60" t="s">
        <v>439</v>
      </c>
      <c r="AW23" s="60" t="s">
        <v>439</v>
      </c>
      <c r="AX23" s="60" t="s">
        <v>439</v>
      </c>
      <c r="AY23" s="60"/>
      <c r="AZ23" s="60"/>
      <c r="BA23" s="60"/>
      <c r="BB23" s="60"/>
      <c r="BC23" s="60"/>
      <c r="BD23" s="60"/>
      <c r="BE23" s="60"/>
      <c r="BF23" s="60"/>
      <c r="BG23" s="61" t="s">
        <v>439</v>
      </c>
      <c r="BH23" s="60"/>
      <c r="BI23" s="60"/>
      <c r="BJ23" s="60"/>
      <c r="BK23" s="60"/>
      <c r="BL23" s="60"/>
      <c r="BM23" s="60"/>
      <c r="BN23" s="60"/>
      <c r="BO23" s="60"/>
      <c r="BP23" s="60"/>
      <c r="BQ23" s="60"/>
      <c r="BR23" s="60"/>
      <c r="BS23" s="60"/>
      <c r="BT23" s="60"/>
      <c r="BU23" s="60"/>
    </row>
    <row r="24" spans="1:73" x14ac:dyDescent="0.25">
      <c r="A24" s="51" t="s">
        <v>748</v>
      </c>
      <c r="B24" s="59" t="s">
        <v>346</v>
      </c>
      <c r="C24">
        <v>4</v>
      </c>
      <c r="D24" s="60"/>
      <c r="E24" s="61"/>
      <c r="F24" s="61" t="s">
        <v>439</v>
      </c>
      <c r="G24" s="61" t="s">
        <v>439</v>
      </c>
      <c r="H24" s="61" t="s">
        <v>439</v>
      </c>
      <c r="I24" s="61" t="s">
        <v>439</v>
      </c>
      <c r="J24" s="61" t="s">
        <v>439</v>
      </c>
      <c r="K24" s="61" t="s">
        <v>439</v>
      </c>
      <c r="L24" s="61" t="s">
        <v>439</v>
      </c>
      <c r="M24" s="61" t="s">
        <v>439</v>
      </c>
      <c r="N24" s="61" t="s">
        <v>439</v>
      </c>
      <c r="O24" s="61" t="s">
        <v>439</v>
      </c>
      <c r="P24" s="61" t="s">
        <v>439</v>
      </c>
      <c r="Q24" s="61" t="s">
        <v>439</v>
      </c>
      <c r="R24" s="61" t="s">
        <v>439</v>
      </c>
      <c r="S24" s="61" t="s">
        <v>439</v>
      </c>
      <c r="T24" s="60" t="s">
        <v>439</v>
      </c>
      <c r="U24" s="60" t="s">
        <v>439</v>
      </c>
      <c r="V24" s="60" t="s">
        <v>439</v>
      </c>
      <c r="W24" s="60" t="s">
        <v>439</v>
      </c>
      <c r="X24" s="60" t="s">
        <v>439</v>
      </c>
      <c r="Y24" s="60" t="s">
        <v>439</v>
      </c>
      <c r="Z24" s="60"/>
      <c r="AA24" s="60"/>
      <c r="AB24" s="60"/>
      <c r="AC24" s="60"/>
      <c r="AD24" s="60"/>
      <c r="AE24" s="60"/>
      <c r="AF24" s="60" t="s">
        <v>439</v>
      </c>
      <c r="AG24" s="60" t="s">
        <v>439</v>
      </c>
      <c r="AH24" s="60" t="s">
        <v>439</v>
      </c>
      <c r="AI24" s="60" t="s">
        <v>439</v>
      </c>
      <c r="AJ24" s="60" t="s">
        <v>439</v>
      </c>
      <c r="AK24" s="60" t="s">
        <v>439</v>
      </c>
      <c r="AL24" s="60" t="s">
        <v>439</v>
      </c>
      <c r="AM24" s="60" t="s">
        <v>439</v>
      </c>
      <c r="AN24" s="60" t="s">
        <v>439</v>
      </c>
      <c r="AO24" s="60" t="s">
        <v>439</v>
      </c>
      <c r="AP24" s="60" t="s">
        <v>439</v>
      </c>
      <c r="AQ24" s="60" t="s">
        <v>439</v>
      </c>
      <c r="AR24" s="60" t="s">
        <v>439</v>
      </c>
      <c r="AS24" s="60" t="s">
        <v>439</v>
      </c>
      <c r="AT24" s="60" t="s">
        <v>439</v>
      </c>
      <c r="AU24" s="60" t="s">
        <v>439</v>
      </c>
      <c r="AV24" s="60" t="s">
        <v>439</v>
      </c>
      <c r="AW24" s="60" t="s">
        <v>439</v>
      </c>
      <c r="AX24" s="60" t="s">
        <v>439</v>
      </c>
      <c r="AY24" s="60"/>
      <c r="AZ24" s="60"/>
      <c r="BA24" s="60"/>
      <c r="BB24" s="60"/>
      <c r="BC24" s="60"/>
      <c r="BD24" s="60"/>
      <c r="BE24" s="60"/>
      <c r="BF24" s="60"/>
      <c r="BG24" s="61" t="s">
        <v>439</v>
      </c>
      <c r="BH24" s="60"/>
      <c r="BI24" s="60"/>
      <c r="BJ24" s="60"/>
      <c r="BK24" s="60"/>
      <c r="BL24" s="60"/>
      <c r="BM24" s="60"/>
      <c r="BN24" s="60"/>
      <c r="BO24" s="60"/>
      <c r="BP24" s="60"/>
      <c r="BQ24" s="60"/>
      <c r="BR24" s="60"/>
      <c r="BS24" s="60"/>
      <c r="BT24" s="60"/>
      <c r="BU24" s="60"/>
    </row>
    <row r="25" spans="1:73" x14ac:dyDescent="0.25">
      <c r="A25" s="51" t="s">
        <v>468</v>
      </c>
      <c r="B25" s="59" t="s">
        <v>346</v>
      </c>
      <c r="C25">
        <v>4</v>
      </c>
      <c r="D25" s="60"/>
      <c r="E25" s="61"/>
      <c r="F25" s="61" t="s">
        <v>439</v>
      </c>
      <c r="G25" s="61" t="s">
        <v>439</v>
      </c>
      <c r="H25" s="61" t="s">
        <v>439</v>
      </c>
      <c r="I25" s="61" t="s">
        <v>439</v>
      </c>
      <c r="J25" s="61" t="s">
        <v>439</v>
      </c>
      <c r="K25" s="61" t="s">
        <v>439</v>
      </c>
      <c r="L25" s="61" t="s">
        <v>439</v>
      </c>
      <c r="M25" s="61" t="s">
        <v>439</v>
      </c>
      <c r="N25" s="61" t="s">
        <v>439</v>
      </c>
      <c r="O25" s="61" t="s">
        <v>439</v>
      </c>
      <c r="P25" s="61" t="s">
        <v>439</v>
      </c>
      <c r="Q25" s="61" t="s">
        <v>439</v>
      </c>
      <c r="R25" s="61" t="s">
        <v>439</v>
      </c>
      <c r="S25" s="61" t="s">
        <v>439</v>
      </c>
      <c r="T25" s="60" t="s">
        <v>439</v>
      </c>
      <c r="U25" s="60" t="s">
        <v>439</v>
      </c>
      <c r="V25" s="60" t="s">
        <v>439</v>
      </c>
      <c r="W25" s="60" t="s">
        <v>439</v>
      </c>
      <c r="X25" s="60" t="s">
        <v>439</v>
      </c>
      <c r="Y25" s="60"/>
      <c r="Z25" s="60" t="s">
        <v>439</v>
      </c>
      <c r="AA25" s="60" t="s">
        <v>439</v>
      </c>
      <c r="AB25" s="60"/>
      <c r="AC25" s="60"/>
      <c r="AD25" s="60"/>
      <c r="AE25" s="60"/>
      <c r="AF25" s="60" t="s">
        <v>439</v>
      </c>
      <c r="AG25" s="60" t="s">
        <v>439</v>
      </c>
      <c r="AH25" s="60" t="s">
        <v>439</v>
      </c>
      <c r="AI25" s="60" t="s">
        <v>439</v>
      </c>
      <c r="AJ25" s="60" t="s">
        <v>439</v>
      </c>
      <c r="AK25" s="60" t="s">
        <v>439</v>
      </c>
      <c r="AL25" s="60" t="s">
        <v>439</v>
      </c>
      <c r="AM25" s="60" t="s">
        <v>439</v>
      </c>
      <c r="AN25" s="60" t="s">
        <v>439</v>
      </c>
      <c r="AO25" s="60" t="s">
        <v>439</v>
      </c>
      <c r="AP25" s="60" t="s">
        <v>439</v>
      </c>
      <c r="AQ25" s="60" t="s">
        <v>439</v>
      </c>
      <c r="AR25" s="60" t="s">
        <v>439</v>
      </c>
      <c r="AS25" s="60" t="s">
        <v>439</v>
      </c>
      <c r="AT25" s="60" t="s">
        <v>439</v>
      </c>
      <c r="AU25" s="60" t="s">
        <v>439</v>
      </c>
      <c r="AV25" s="60" t="s">
        <v>439</v>
      </c>
      <c r="AW25" s="60" t="s">
        <v>439</v>
      </c>
      <c r="AX25" s="60" t="s">
        <v>439</v>
      </c>
      <c r="AY25" s="60"/>
      <c r="AZ25" s="60"/>
      <c r="BA25" s="60"/>
      <c r="BB25" s="60"/>
      <c r="BC25" s="60"/>
      <c r="BD25" s="60"/>
      <c r="BE25" s="60"/>
      <c r="BF25" s="60"/>
      <c r="BG25" s="61" t="s">
        <v>439</v>
      </c>
      <c r="BH25" s="60"/>
      <c r="BI25" s="60"/>
      <c r="BJ25" s="60"/>
      <c r="BK25" s="60"/>
      <c r="BL25" s="60"/>
      <c r="BM25" s="60"/>
      <c r="BN25" s="60"/>
      <c r="BO25" s="60"/>
      <c r="BP25" s="60"/>
      <c r="BQ25" s="60"/>
      <c r="BR25" s="60"/>
      <c r="BS25" s="60"/>
      <c r="BT25" s="60"/>
      <c r="BU25" s="60"/>
    </row>
    <row r="26" spans="1:73" ht="25" x14ac:dyDescent="0.25">
      <c r="A26" s="51" t="s">
        <v>988</v>
      </c>
      <c r="B26" s="59" t="s">
        <v>346</v>
      </c>
      <c r="C26">
        <v>4</v>
      </c>
      <c r="D26" s="60"/>
      <c r="E26" s="61"/>
      <c r="F26" s="61" t="s">
        <v>439</v>
      </c>
      <c r="G26" s="61" t="s">
        <v>439</v>
      </c>
      <c r="H26" s="61" t="s">
        <v>439</v>
      </c>
      <c r="I26" s="61" t="s">
        <v>439</v>
      </c>
      <c r="J26" s="61" t="s">
        <v>439</v>
      </c>
      <c r="K26" s="61" t="s">
        <v>439</v>
      </c>
      <c r="L26" s="61" t="s">
        <v>439</v>
      </c>
      <c r="M26" s="61" t="s">
        <v>439</v>
      </c>
      <c r="N26" s="61" t="s">
        <v>439</v>
      </c>
      <c r="O26" s="61" t="s">
        <v>439</v>
      </c>
      <c r="P26" s="61" t="s">
        <v>439</v>
      </c>
      <c r="Q26" s="61" t="s">
        <v>439</v>
      </c>
      <c r="R26" s="61" t="s">
        <v>439</v>
      </c>
      <c r="S26" s="61" t="s">
        <v>439</v>
      </c>
      <c r="T26" s="60" t="s">
        <v>439</v>
      </c>
      <c r="U26" s="60" t="s">
        <v>439</v>
      </c>
      <c r="V26" s="60" t="s">
        <v>439</v>
      </c>
      <c r="W26" s="60" t="s">
        <v>439</v>
      </c>
      <c r="X26" s="60" t="s">
        <v>439</v>
      </c>
      <c r="Y26" s="60"/>
      <c r="Z26" s="60" t="s">
        <v>439</v>
      </c>
      <c r="AA26" s="60" t="s">
        <v>439</v>
      </c>
      <c r="AB26" s="60"/>
      <c r="AC26" s="60"/>
      <c r="AD26" s="60"/>
      <c r="AE26" s="60"/>
      <c r="AF26" s="60" t="s">
        <v>439</v>
      </c>
      <c r="AG26" s="60" t="s">
        <v>439</v>
      </c>
      <c r="AH26" s="60" t="s">
        <v>439</v>
      </c>
      <c r="AI26" s="60" t="s">
        <v>439</v>
      </c>
      <c r="AJ26" s="60" t="s">
        <v>439</v>
      </c>
      <c r="AK26" s="60" t="s">
        <v>439</v>
      </c>
      <c r="AL26" s="60" t="s">
        <v>439</v>
      </c>
      <c r="AM26" s="60" t="s">
        <v>439</v>
      </c>
      <c r="AN26" s="60" t="s">
        <v>439</v>
      </c>
      <c r="AO26" s="60" t="s">
        <v>439</v>
      </c>
      <c r="AP26" s="60" t="s">
        <v>439</v>
      </c>
      <c r="AQ26" s="60" t="s">
        <v>439</v>
      </c>
      <c r="AR26" s="60" t="s">
        <v>439</v>
      </c>
      <c r="AS26" s="60" t="s">
        <v>439</v>
      </c>
      <c r="AT26" s="60" t="s">
        <v>439</v>
      </c>
      <c r="AU26" s="60" t="s">
        <v>439</v>
      </c>
      <c r="AV26" s="60" t="s">
        <v>439</v>
      </c>
      <c r="AW26" s="60" t="s">
        <v>439</v>
      </c>
      <c r="AX26" s="60" t="s">
        <v>439</v>
      </c>
      <c r="AY26" s="60" t="s">
        <v>439</v>
      </c>
      <c r="AZ26" s="60" t="s">
        <v>439</v>
      </c>
      <c r="BA26" s="60" t="s">
        <v>439</v>
      </c>
      <c r="BB26" s="60"/>
      <c r="BC26" s="60"/>
      <c r="BD26" s="60"/>
      <c r="BE26" s="60"/>
      <c r="BF26" s="60"/>
      <c r="BG26" s="61" t="s">
        <v>439</v>
      </c>
      <c r="BH26" s="60"/>
      <c r="BI26" s="60"/>
      <c r="BJ26" s="60"/>
      <c r="BK26" s="60"/>
      <c r="BL26" s="60"/>
      <c r="BM26" s="60"/>
      <c r="BN26" s="60"/>
      <c r="BO26" s="60"/>
      <c r="BP26" s="60"/>
      <c r="BQ26" s="60"/>
      <c r="BR26" s="60"/>
      <c r="BS26" s="60"/>
      <c r="BT26" s="60"/>
      <c r="BU26" s="60"/>
    </row>
    <row r="27" spans="1:73" x14ac:dyDescent="0.25">
      <c r="A27" s="51" t="s">
        <v>469</v>
      </c>
      <c r="B27" s="59" t="s">
        <v>346</v>
      </c>
      <c r="C27">
        <v>4</v>
      </c>
      <c r="D27" s="60"/>
      <c r="E27" s="61"/>
      <c r="F27" s="61" t="s">
        <v>439</v>
      </c>
      <c r="G27" s="61" t="s">
        <v>439</v>
      </c>
      <c r="H27" s="61" t="s">
        <v>439</v>
      </c>
      <c r="I27" s="61" t="s">
        <v>439</v>
      </c>
      <c r="J27" s="61" t="s">
        <v>439</v>
      </c>
      <c r="K27" s="61" t="s">
        <v>439</v>
      </c>
      <c r="L27" s="61" t="s">
        <v>439</v>
      </c>
      <c r="M27" s="61" t="s">
        <v>439</v>
      </c>
      <c r="N27" s="61" t="s">
        <v>439</v>
      </c>
      <c r="O27" s="61" t="s">
        <v>439</v>
      </c>
      <c r="P27" s="61" t="s">
        <v>439</v>
      </c>
      <c r="Q27" s="61" t="s">
        <v>439</v>
      </c>
      <c r="R27" s="61" t="s">
        <v>439</v>
      </c>
      <c r="S27" s="61" t="s">
        <v>439</v>
      </c>
      <c r="T27" s="60" t="s">
        <v>439</v>
      </c>
      <c r="U27" s="60" t="s">
        <v>439</v>
      </c>
      <c r="V27" s="60" t="s">
        <v>439</v>
      </c>
      <c r="W27" s="60" t="s">
        <v>439</v>
      </c>
      <c r="X27" s="60" t="s">
        <v>439</v>
      </c>
      <c r="Y27" s="60"/>
      <c r="Z27" s="60" t="s">
        <v>439</v>
      </c>
      <c r="AA27" s="60" t="s">
        <v>439</v>
      </c>
      <c r="AB27" s="60"/>
      <c r="AC27" s="60"/>
      <c r="AD27" s="61" t="s">
        <v>439</v>
      </c>
      <c r="AE27" s="60"/>
      <c r="AF27" s="60" t="s">
        <v>439</v>
      </c>
      <c r="AG27" s="60" t="s">
        <v>439</v>
      </c>
      <c r="AH27" s="60" t="s">
        <v>439</v>
      </c>
      <c r="AI27" s="60" t="s">
        <v>439</v>
      </c>
      <c r="AJ27" s="60" t="s">
        <v>439</v>
      </c>
      <c r="AK27" s="60" t="s">
        <v>439</v>
      </c>
      <c r="AL27" s="60" t="s">
        <v>439</v>
      </c>
      <c r="AM27" s="60" t="s">
        <v>439</v>
      </c>
      <c r="AN27" s="60" t="s">
        <v>439</v>
      </c>
      <c r="AO27" s="60" t="s">
        <v>439</v>
      </c>
      <c r="AP27" s="60" t="s">
        <v>439</v>
      </c>
      <c r="AQ27" s="60" t="s">
        <v>439</v>
      </c>
      <c r="AR27" s="60" t="s">
        <v>439</v>
      </c>
      <c r="AS27" s="60" t="s">
        <v>439</v>
      </c>
      <c r="AT27" s="60" t="s">
        <v>439</v>
      </c>
      <c r="AU27" s="60" t="s">
        <v>439</v>
      </c>
      <c r="AV27" s="60" t="s">
        <v>439</v>
      </c>
      <c r="AW27" s="60" t="s">
        <v>439</v>
      </c>
      <c r="AX27" s="60" t="s">
        <v>439</v>
      </c>
      <c r="AY27" s="60"/>
      <c r="AZ27" s="60"/>
      <c r="BA27" s="60"/>
      <c r="BB27" s="60"/>
      <c r="BC27" s="60"/>
      <c r="BD27" s="60"/>
      <c r="BE27" s="60" t="s">
        <v>439</v>
      </c>
      <c r="BF27" s="60" t="s">
        <v>439</v>
      </c>
      <c r="BG27" s="61" t="s">
        <v>439</v>
      </c>
      <c r="BH27" s="60"/>
      <c r="BI27" s="60"/>
      <c r="BJ27" s="60"/>
      <c r="BK27" s="60"/>
      <c r="BL27" s="60"/>
      <c r="BM27" s="60"/>
      <c r="BN27" s="60"/>
      <c r="BO27" s="60"/>
      <c r="BP27" s="60"/>
      <c r="BQ27" s="60"/>
      <c r="BR27" s="60"/>
      <c r="BS27" s="60"/>
      <c r="BT27" s="60"/>
      <c r="BU27" s="60"/>
    </row>
    <row r="28" spans="1:73" x14ac:dyDescent="0.25">
      <c r="A28" s="51" t="s">
        <v>470</v>
      </c>
      <c r="B28" s="59" t="s">
        <v>346</v>
      </c>
      <c r="C28">
        <v>4</v>
      </c>
      <c r="D28" s="60"/>
      <c r="E28" s="61"/>
      <c r="F28" s="61" t="s">
        <v>439</v>
      </c>
      <c r="G28" s="61" t="s">
        <v>439</v>
      </c>
      <c r="H28" s="61" t="s">
        <v>439</v>
      </c>
      <c r="I28" s="61" t="s">
        <v>439</v>
      </c>
      <c r="J28" s="61" t="s">
        <v>439</v>
      </c>
      <c r="K28" s="61" t="s">
        <v>439</v>
      </c>
      <c r="L28" s="61" t="s">
        <v>439</v>
      </c>
      <c r="M28" s="61" t="s">
        <v>439</v>
      </c>
      <c r="N28" s="61" t="s">
        <v>439</v>
      </c>
      <c r="O28" s="61" t="s">
        <v>439</v>
      </c>
      <c r="P28" s="61" t="s">
        <v>439</v>
      </c>
      <c r="Q28" s="61" t="s">
        <v>439</v>
      </c>
      <c r="R28" s="61" t="s">
        <v>439</v>
      </c>
      <c r="S28" s="61" t="s">
        <v>439</v>
      </c>
      <c r="T28" s="60" t="s">
        <v>439</v>
      </c>
      <c r="U28" s="60" t="s">
        <v>439</v>
      </c>
      <c r="V28" s="60" t="s">
        <v>439</v>
      </c>
      <c r="W28" s="60" t="s">
        <v>439</v>
      </c>
      <c r="X28" s="60" t="s">
        <v>439</v>
      </c>
      <c r="Y28" s="60"/>
      <c r="Z28" s="60" t="s">
        <v>439</v>
      </c>
      <c r="AA28" s="60" t="s">
        <v>439</v>
      </c>
      <c r="AB28" s="60"/>
      <c r="AC28" s="60"/>
      <c r="AD28" s="61" t="s">
        <v>439</v>
      </c>
      <c r="AE28" s="60"/>
      <c r="AF28" s="60" t="s">
        <v>439</v>
      </c>
      <c r="AG28" s="60" t="s">
        <v>439</v>
      </c>
      <c r="AH28" s="60" t="s">
        <v>439</v>
      </c>
      <c r="AI28" s="60" t="s">
        <v>439</v>
      </c>
      <c r="AJ28" s="60" t="s">
        <v>439</v>
      </c>
      <c r="AK28" s="60" t="s">
        <v>439</v>
      </c>
      <c r="AL28" s="60" t="s">
        <v>439</v>
      </c>
      <c r="AM28" s="60" t="s">
        <v>439</v>
      </c>
      <c r="AN28" s="60" t="s">
        <v>439</v>
      </c>
      <c r="AO28" s="60" t="s">
        <v>439</v>
      </c>
      <c r="AP28" s="60" t="s">
        <v>439</v>
      </c>
      <c r="AQ28" s="60" t="s">
        <v>439</v>
      </c>
      <c r="AR28" s="60" t="s">
        <v>439</v>
      </c>
      <c r="AS28" s="60" t="s">
        <v>439</v>
      </c>
      <c r="AT28" s="60" t="s">
        <v>439</v>
      </c>
      <c r="AU28" s="60" t="s">
        <v>439</v>
      </c>
      <c r="AV28" s="60" t="s">
        <v>439</v>
      </c>
      <c r="AW28" s="60" t="s">
        <v>439</v>
      </c>
      <c r="AX28" s="60" t="s">
        <v>439</v>
      </c>
      <c r="AY28" s="60"/>
      <c r="AZ28" s="60"/>
      <c r="BA28" s="60"/>
      <c r="BB28" s="60"/>
      <c r="BC28" s="60"/>
      <c r="BD28" s="60"/>
      <c r="BE28" s="60" t="s">
        <v>439</v>
      </c>
      <c r="BF28" s="60" t="s">
        <v>439</v>
      </c>
      <c r="BG28" s="61" t="s">
        <v>439</v>
      </c>
      <c r="BH28" s="60"/>
      <c r="BI28" s="60"/>
      <c r="BJ28" s="60"/>
      <c r="BK28" s="60"/>
      <c r="BL28" s="60"/>
      <c r="BM28" s="60"/>
      <c r="BN28" s="60"/>
      <c r="BO28" s="60"/>
      <c r="BP28" s="60"/>
      <c r="BQ28" s="60"/>
      <c r="BR28" s="60"/>
      <c r="BS28" s="60"/>
      <c r="BT28" s="60"/>
      <c r="BU28" s="60"/>
    </row>
    <row r="29" spans="1:73" ht="25" x14ac:dyDescent="0.25">
      <c r="A29" s="51" t="s">
        <v>754</v>
      </c>
      <c r="B29" s="59" t="s">
        <v>346</v>
      </c>
      <c r="C29">
        <v>4</v>
      </c>
      <c r="D29" s="60"/>
      <c r="E29" s="61"/>
      <c r="F29" s="61" t="s">
        <v>439</v>
      </c>
      <c r="G29" s="61" t="s">
        <v>439</v>
      </c>
      <c r="H29" s="61" t="s">
        <v>439</v>
      </c>
      <c r="I29" s="61" t="s">
        <v>439</v>
      </c>
      <c r="J29" s="61" t="s">
        <v>439</v>
      </c>
      <c r="K29" s="61" t="s">
        <v>439</v>
      </c>
      <c r="L29" s="61" t="s">
        <v>439</v>
      </c>
      <c r="M29" s="61" t="s">
        <v>439</v>
      </c>
      <c r="N29" s="61" t="s">
        <v>439</v>
      </c>
      <c r="O29" s="61" t="s">
        <v>439</v>
      </c>
      <c r="P29" s="61" t="s">
        <v>439</v>
      </c>
      <c r="Q29" s="61" t="s">
        <v>439</v>
      </c>
      <c r="R29" s="61" t="s">
        <v>439</v>
      </c>
      <c r="S29" s="61" t="s">
        <v>439</v>
      </c>
      <c r="T29" s="60" t="s">
        <v>439</v>
      </c>
      <c r="U29" s="60" t="s">
        <v>439</v>
      </c>
      <c r="V29" s="60" t="s">
        <v>439</v>
      </c>
      <c r="W29" s="60" t="s">
        <v>439</v>
      </c>
      <c r="X29" s="60" t="s">
        <v>439</v>
      </c>
      <c r="Y29" s="60"/>
      <c r="Z29" s="60" t="s">
        <v>439</v>
      </c>
      <c r="AA29" s="60" t="s">
        <v>439</v>
      </c>
      <c r="AB29" s="60"/>
      <c r="AC29" s="60"/>
      <c r="AD29" s="61" t="s">
        <v>439</v>
      </c>
      <c r="AE29" s="60"/>
      <c r="AF29" s="60" t="s">
        <v>439</v>
      </c>
      <c r="AG29" s="60" t="s">
        <v>439</v>
      </c>
      <c r="AH29" s="60" t="s">
        <v>439</v>
      </c>
      <c r="AI29" s="60" t="s">
        <v>439</v>
      </c>
      <c r="AJ29" s="60" t="s">
        <v>439</v>
      </c>
      <c r="AK29" s="60" t="s">
        <v>439</v>
      </c>
      <c r="AL29" s="60" t="s">
        <v>439</v>
      </c>
      <c r="AM29" s="60" t="s">
        <v>439</v>
      </c>
      <c r="AN29" s="60" t="s">
        <v>439</v>
      </c>
      <c r="AO29" s="60" t="s">
        <v>439</v>
      </c>
      <c r="AP29" s="60" t="s">
        <v>439</v>
      </c>
      <c r="AQ29" s="60" t="s">
        <v>439</v>
      </c>
      <c r="AR29" s="60" t="s">
        <v>439</v>
      </c>
      <c r="AS29" s="60" t="s">
        <v>439</v>
      </c>
      <c r="AT29" s="60" t="s">
        <v>439</v>
      </c>
      <c r="AU29" s="60" t="s">
        <v>439</v>
      </c>
      <c r="AV29" s="60" t="s">
        <v>439</v>
      </c>
      <c r="AW29" s="60" t="s">
        <v>439</v>
      </c>
      <c r="AX29" s="60" t="s">
        <v>439</v>
      </c>
      <c r="AY29" s="60"/>
      <c r="AZ29" s="60"/>
      <c r="BA29" s="60"/>
      <c r="BB29" s="60"/>
      <c r="BC29" s="60"/>
      <c r="BD29" s="60"/>
      <c r="BE29" s="60" t="s">
        <v>439</v>
      </c>
      <c r="BF29" s="60" t="s">
        <v>439</v>
      </c>
      <c r="BG29" s="61" t="s">
        <v>439</v>
      </c>
      <c r="BH29" s="60"/>
      <c r="BI29" s="60"/>
      <c r="BJ29" s="60"/>
      <c r="BK29" s="60"/>
      <c r="BL29" s="60"/>
      <c r="BM29" s="60"/>
      <c r="BN29" s="60"/>
      <c r="BO29" s="60"/>
      <c r="BP29" s="60"/>
      <c r="BQ29" s="60"/>
      <c r="BR29" s="60"/>
      <c r="BS29" s="60"/>
      <c r="BT29" s="60"/>
      <c r="BU29" s="60"/>
    </row>
    <row r="30" spans="1:73" x14ac:dyDescent="0.25">
      <c r="A30" s="51" t="s">
        <v>471</v>
      </c>
      <c r="B30" s="59" t="s">
        <v>346</v>
      </c>
      <c r="C30">
        <v>4</v>
      </c>
      <c r="D30" s="60"/>
      <c r="E30" s="61"/>
      <c r="F30" s="61" t="s">
        <v>439</v>
      </c>
      <c r="G30" s="61" t="s">
        <v>439</v>
      </c>
      <c r="H30" s="61" t="s">
        <v>439</v>
      </c>
      <c r="I30" s="61" t="s">
        <v>439</v>
      </c>
      <c r="J30" s="61" t="s">
        <v>439</v>
      </c>
      <c r="K30" s="61" t="s">
        <v>439</v>
      </c>
      <c r="L30" s="61" t="s">
        <v>439</v>
      </c>
      <c r="M30" s="61" t="s">
        <v>439</v>
      </c>
      <c r="N30" s="61" t="s">
        <v>439</v>
      </c>
      <c r="O30" s="61" t="s">
        <v>439</v>
      </c>
      <c r="P30" s="61" t="s">
        <v>439</v>
      </c>
      <c r="Q30" s="61" t="s">
        <v>439</v>
      </c>
      <c r="R30" s="61" t="s">
        <v>439</v>
      </c>
      <c r="S30" s="61" t="s">
        <v>439</v>
      </c>
      <c r="T30" s="60" t="s">
        <v>439</v>
      </c>
      <c r="U30" s="60" t="s">
        <v>439</v>
      </c>
      <c r="V30" s="60" t="s">
        <v>439</v>
      </c>
      <c r="W30" s="60" t="s">
        <v>439</v>
      </c>
      <c r="X30" s="60" t="s">
        <v>439</v>
      </c>
      <c r="Y30" s="60"/>
      <c r="Z30" s="60" t="s">
        <v>439</v>
      </c>
      <c r="AA30" s="60" t="s">
        <v>439</v>
      </c>
      <c r="AB30" s="60"/>
      <c r="AC30" s="60"/>
      <c r="AD30" s="60" t="s">
        <v>439</v>
      </c>
      <c r="AE30" s="60"/>
      <c r="AF30" s="60" t="s">
        <v>439</v>
      </c>
      <c r="AG30" s="60" t="s">
        <v>439</v>
      </c>
      <c r="AH30" s="60" t="s">
        <v>439</v>
      </c>
      <c r="AI30" s="60" t="s">
        <v>439</v>
      </c>
      <c r="AJ30" s="60" t="s">
        <v>439</v>
      </c>
      <c r="AK30" s="60" t="s">
        <v>439</v>
      </c>
      <c r="AL30" s="60" t="s">
        <v>439</v>
      </c>
      <c r="AM30" s="60" t="s">
        <v>439</v>
      </c>
      <c r="AN30" s="60" t="s">
        <v>439</v>
      </c>
      <c r="AO30" s="60" t="s">
        <v>439</v>
      </c>
      <c r="AP30" s="60" t="s">
        <v>439</v>
      </c>
      <c r="AQ30" s="60" t="s">
        <v>439</v>
      </c>
      <c r="AR30" s="60" t="s">
        <v>439</v>
      </c>
      <c r="AS30" s="60" t="s">
        <v>439</v>
      </c>
      <c r="AT30" s="60" t="s">
        <v>439</v>
      </c>
      <c r="AU30" s="60" t="s">
        <v>439</v>
      </c>
      <c r="AV30" s="60" t="s">
        <v>439</v>
      </c>
      <c r="AW30" s="60" t="s">
        <v>439</v>
      </c>
      <c r="AX30" s="60" t="s">
        <v>439</v>
      </c>
      <c r="AY30" s="60"/>
      <c r="AZ30" s="60"/>
      <c r="BA30" s="60"/>
      <c r="BB30" s="60"/>
      <c r="BC30" s="60"/>
      <c r="BD30" s="60"/>
      <c r="BE30" s="60" t="s">
        <v>439</v>
      </c>
      <c r="BF30" s="60" t="s">
        <v>439</v>
      </c>
      <c r="BG30" s="61" t="s">
        <v>439</v>
      </c>
      <c r="BH30" s="60"/>
      <c r="BI30" s="60"/>
      <c r="BJ30" s="60"/>
      <c r="BK30" s="60"/>
      <c r="BL30" s="60"/>
      <c r="BM30" s="60"/>
      <c r="BN30" s="60"/>
      <c r="BO30" s="60"/>
      <c r="BP30" s="60"/>
      <c r="BQ30" s="60"/>
      <c r="BR30" s="60"/>
      <c r="BS30" s="60"/>
      <c r="BT30" s="60"/>
      <c r="BU30" s="60"/>
    </row>
    <row r="31" spans="1:73" x14ac:dyDescent="0.25">
      <c r="A31" s="51" t="s">
        <v>472</v>
      </c>
      <c r="B31" s="59" t="s">
        <v>346</v>
      </c>
      <c r="C31">
        <v>4</v>
      </c>
      <c r="D31" s="60"/>
      <c r="E31" s="61"/>
      <c r="F31" s="61" t="s">
        <v>439</v>
      </c>
      <c r="G31" s="61" t="s">
        <v>439</v>
      </c>
      <c r="H31" s="61" t="s">
        <v>439</v>
      </c>
      <c r="I31" s="61" t="s">
        <v>439</v>
      </c>
      <c r="J31" s="61" t="s">
        <v>439</v>
      </c>
      <c r="K31" s="61" t="s">
        <v>439</v>
      </c>
      <c r="L31" s="61" t="s">
        <v>439</v>
      </c>
      <c r="M31" s="61" t="s">
        <v>439</v>
      </c>
      <c r="N31" s="61" t="s">
        <v>439</v>
      </c>
      <c r="O31" s="61" t="s">
        <v>439</v>
      </c>
      <c r="P31" s="61" t="s">
        <v>439</v>
      </c>
      <c r="Q31" s="61" t="s">
        <v>439</v>
      </c>
      <c r="R31" s="61" t="s">
        <v>439</v>
      </c>
      <c r="S31" s="61" t="s">
        <v>439</v>
      </c>
      <c r="T31" s="60" t="s">
        <v>439</v>
      </c>
      <c r="U31" s="60" t="s">
        <v>439</v>
      </c>
      <c r="V31" s="60" t="s">
        <v>439</v>
      </c>
      <c r="W31" s="60" t="s">
        <v>439</v>
      </c>
      <c r="X31" s="60" t="s">
        <v>439</v>
      </c>
      <c r="Y31" s="60"/>
      <c r="Z31" s="60" t="s">
        <v>439</v>
      </c>
      <c r="AA31" s="60" t="s">
        <v>439</v>
      </c>
      <c r="AB31" s="60"/>
      <c r="AC31" s="60"/>
      <c r="AD31" s="60"/>
      <c r="AE31" s="60"/>
      <c r="AF31" s="60" t="s">
        <v>439</v>
      </c>
      <c r="AG31" s="60" t="s">
        <v>439</v>
      </c>
      <c r="AH31" s="60" t="s">
        <v>439</v>
      </c>
      <c r="AI31" s="60" t="s">
        <v>439</v>
      </c>
      <c r="AJ31" s="60" t="s">
        <v>439</v>
      </c>
      <c r="AK31" s="60" t="s">
        <v>439</v>
      </c>
      <c r="AL31" s="60" t="s">
        <v>439</v>
      </c>
      <c r="AM31" s="60" t="s">
        <v>439</v>
      </c>
      <c r="AN31" s="60" t="s">
        <v>439</v>
      </c>
      <c r="AO31" s="60" t="s">
        <v>439</v>
      </c>
      <c r="AP31" s="60" t="s">
        <v>439</v>
      </c>
      <c r="AQ31" s="60" t="s">
        <v>439</v>
      </c>
      <c r="AR31" s="60" t="s">
        <v>439</v>
      </c>
      <c r="AS31" s="60" t="s">
        <v>439</v>
      </c>
      <c r="AT31" s="60" t="s">
        <v>439</v>
      </c>
      <c r="AU31" s="60" t="s">
        <v>439</v>
      </c>
      <c r="AV31" s="60" t="s">
        <v>439</v>
      </c>
      <c r="AW31" s="60" t="s">
        <v>439</v>
      </c>
      <c r="AX31" s="60" t="s">
        <v>439</v>
      </c>
      <c r="AY31" s="60"/>
      <c r="AZ31" s="60"/>
      <c r="BA31" s="60"/>
      <c r="BB31" s="60" t="s">
        <v>439</v>
      </c>
      <c r="BC31" s="60" t="s">
        <v>439</v>
      </c>
      <c r="BD31" s="60"/>
      <c r="BE31" s="60"/>
      <c r="BF31" s="60"/>
      <c r="BG31" s="61" t="s">
        <v>439</v>
      </c>
      <c r="BH31" s="60"/>
      <c r="BI31" s="60"/>
      <c r="BJ31" s="60"/>
      <c r="BK31" s="60"/>
      <c r="BL31" s="60"/>
      <c r="BM31" s="60"/>
      <c r="BN31" s="60"/>
      <c r="BO31" s="60"/>
      <c r="BP31" s="60"/>
      <c r="BQ31" s="60"/>
      <c r="BR31" s="60"/>
      <c r="BS31" s="60"/>
      <c r="BT31" s="60"/>
      <c r="BU31" s="60"/>
    </row>
    <row r="32" spans="1:73" x14ac:dyDescent="0.25">
      <c r="A32" s="51" t="s">
        <v>746</v>
      </c>
      <c r="B32" s="59" t="s">
        <v>346</v>
      </c>
      <c r="C32">
        <v>4</v>
      </c>
      <c r="D32" s="60"/>
      <c r="E32" s="61"/>
      <c r="F32" s="61" t="s">
        <v>439</v>
      </c>
      <c r="G32" s="61" t="s">
        <v>439</v>
      </c>
      <c r="H32" s="61" t="s">
        <v>439</v>
      </c>
      <c r="I32" s="61" t="s">
        <v>439</v>
      </c>
      <c r="J32" s="61" t="s">
        <v>439</v>
      </c>
      <c r="K32" s="61" t="s">
        <v>439</v>
      </c>
      <c r="L32" s="61" t="s">
        <v>439</v>
      </c>
      <c r="M32" s="61" t="s">
        <v>439</v>
      </c>
      <c r="N32" s="61" t="s">
        <v>439</v>
      </c>
      <c r="O32" s="61" t="s">
        <v>439</v>
      </c>
      <c r="P32" s="61" t="s">
        <v>439</v>
      </c>
      <c r="Q32" s="61" t="s">
        <v>439</v>
      </c>
      <c r="R32" s="61" t="s">
        <v>439</v>
      </c>
      <c r="S32" s="61" t="s">
        <v>439</v>
      </c>
      <c r="T32" s="60" t="s">
        <v>439</v>
      </c>
      <c r="U32" s="60" t="s">
        <v>439</v>
      </c>
      <c r="V32" s="60" t="s">
        <v>439</v>
      </c>
      <c r="W32" s="60" t="s">
        <v>439</v>
      </c>
      <c r="X32" s="60" t="s">
        <v>439</v>
      </c>
      <c r="Y32" s="60"/>
      <c r="Z32" s="60" t="s">
        <v>439</v>
      </c>
      <c r="AA32" s="60" t="s">
        <v>439</v>
      </c>
      <c r="AB32" s="60"/>
      <c r="AC32" s="60"/>
      <c r="AD32" s="60"/>
      <c r="AE32" s="60"/>
      <c r="AF32" s="60" t="s">
        <v>439</v>
      </c>
      <c r="AG32" s="60" t="s">
        <v>439</v>
      </c>
      <c r="AH32" s="60" t="s">
        <v>439</v>
      </c>
      <c r="AI32" s="60" t="s">
        <v>439</v>
      </c>
      <c r="AJ32" s="60" t="s">
        <v>439</v>
      </c>
      <c r="AK32" s="60" t="s">
        <v>439</v>
      </c>
      <c r="AL32" s="60" t="s">
        <v>439</v>
      </c>
      <c r="AM32" s="60" t="s">
        <v>439</v>
      </c>
      <c r="AN32" s="60" t="s">
        <v>439</v>
      </c>
      <c r="AO32" s="60" t="s">
        <v>439</v>
      </c>
      <c r="AP32" s="60" t="s">
        <v>439</v>
      </c>
      <c r="AQ32" s="60" t="s">
        <v>439</v>
      </c>
      <c r="AR32" s="60" t="s">
        <v>439</v>
      </c>
      <c r="AS32" s="60" t="s">
        <v>439</v>
      </c>
      <c r="AT32" s="60" t="s">
        <v>439</v>
      </c>
      <c r="AU32" s="60" t="s">
        <v>439</v>
      </c>
      <c r="AV32" s="60" t="s">
        <v>439</v>
      </c>
      <c r="AW32" s="60" t="s">
        <v>439</v>
      </c>
      <c r="AX32" s="60" t="s">
        <v>439</v>
      </c>
      <c r="AY32" s="60"/>
      <c r="AZ32" s="60"/>
      <c r="BA32" s="60"/>
      <c r="BB32" s="60" t="s">
        <v>439</v>
      </c>
      <c r="BC32" s="60" t="s">
        <v>439</v>
      </c>
      <c r="BD32" s="60"/>
      <c r="BE32" s="60"/>
      <c r="BF32" s="60"/>
      <c r="BG32" s="61" t="s">
        <v>439</v>
      </c>
      <c r="BH32" s="60"/>
      <c r="BI32" s="60"/>
      <c r="BJ32" s="60"/>
      <c r="BK32" s="60"/>
      <c r="BL32" s="60"/>
      <c r="BM32" s="60"/>
      <c r="BN32" s="60"/>
      <c r="BO32" s="60"/>
      <c r="BP32" s="60"/>
      <c r="BQ32" s="60"/>
      <c r="BR32" s="60"/>
      <c r="BS32" s="60"/>
      <c r="BT32" s="60"/>
      <c r="BU32" s="60"/>
    </row>
    <row r="33" spans="1:73" ht="25" x14ac:dyDescent="0.25">
      <c r="A33" s="51" t="s">
        <v>473</v>
      </c>
      <c r="B33" s="59" t="s">
        <v>346</v>
      </c>
      <c r="C33">
        <v>4</v>
      </c>
      <c r="D33" s="60"/>
      <c r="E33" s="61"/>
      <c r="F33" s="61" t="s">
        <v>439</v>
      </c>
      <c r="G33" s="61" t="s">
        <v>439</v>
      </c>
      <c r="H33" s="61" t="s">
        <v>439</v>
      </c>
      <c r="I33" s="61" t="s">
        <v>439</v>
      </c>
      <c r="J33" s="61" t="s">
        <v>439</v>
      </c>
      <c r="K33" s="61" t="s">
        <v>439</v>
      </c>
      <c r="L33" s="61" t="s">
        <v>439</v>
      </c>
      <c r="M33" s="61" t="s">
        <v>439</v>
      </c>
      <c r="N33" s="61" t="s">
        <v>439</v>
      </c>
      <c r="O33" s="61" t="s">
        <v>439</v>
      </c>
      <c r="P33" s="61" t="s">
        <v>439</v>
      </c>
      <c r="Q33" s="61" t="s">
        <v>439</v>
      </c>
      <c r="R33" s="61" t="s">
        <v>439</v>
      </c>
      <c r="S33" s="61" t="s">
        <v>439</v>
      </c>
      <c r="T33" s="60" t="s">
        <v>439</v>
      </c>
      <c r="U33" s="60" t="s">
        <v>439</v>
      </c>
      <c r="V33" s="60" t="s">
        <v>439</v>
      </c>
      <c r="W33" s="60" t="s">
        <v>439</v>
      </c>
      <c r="X33" s="60" t="s">
        <v>439</v>
      </c>
      <c r="Y33" s="60"/>
      <c r="Z33" s="60" t="s">
        <v>439</v>
      </c>
      <c r="AA33" s="60" t="s">
        <v>439</v>
      </c>
      <c r="AB33" s="60"/>
      <c r="AC33" s="60"/>
      <c r="AD33" s="60"/>
      <c r="AE33" s="60"/>
      <c r="AF33" s="60" t="s">
        <v>439</v>
      </c>
      <c r="AG33" s="60" t="s">
        <v>439</v>
      </c>
      <c r="AH33" s="60" t="s">
        <v>439</v>
      </c>
      <c r="AI33" s="60" t="s">
        <v>439</v>
      </c>
      <c r="AJ33" s="60" t="s">
        <v>439</v>
      </c>
      <c r="AK33" s="60" t="s">
        <v>439</v>
      </c>
      <c r="AL33" s="60" t="s">
        <v>439</v>
      </c>
      <c r="AM33" s="60" t="s">
        <v>439</v>
      </c>
      <c r="AN33" s="60" t="s">
        <v>439</v>
      </c>
      <c r="AO33" s="60" t="s">
        <v>439</v>
      </c>
      <c r="AP33" s="60" t="s">
        <v>439</v>
      </c>
      <c r="AQ33" s="60" t="s">
        <v>439</v>
      </c>
      <c r="AR33" s="60" t="s">
        <v>439</v>
      </c>
      <c r="AS33" s="60" t="s">
        <v>439</v>
      </c>
      <c r="AT33" s="60" t="s">
        <v>439</v>
      </c>
      <c r="AU33" s="60" t="s">
        <v>439</v>
      </c>
      <c r="AV33" s="60" t="s">
        <v>439</v>
      </c>
      <c r="AW33" s="60" t="s">
        <v>439</v>
      </c>
      <c r="AX33" s="60" t="s">
        <v>439</v>
      </c>
      <c r="AY33" s="60"/>
      <c r="AZ33" s="60"/>
      <c r="BA33" s="60"/>
      <c r="BB33" s="60" t="s">
        <v>439</v>
      </c>
      <c r="BC33" s="60" t="s">
        <v>439</v>
      </c>
      <c r="BD33" s="60"/>
      <c r="BE33" s="60"/>
      <c r="BF33" s="60"/>
      <c r="BG33" s="61" t="s">
        <v>439</v>
      </c>
      <c r="BH33" s="60"/>
      <c r="BI33" s="60"/>
      <c r="BJ33" s="60"/>
      <c r="BK33" s="60"/>
      <c r="BL33" s="60"/>
      <c r="BM33" s="60"/>
      <c r="BN33" s="60"/>
      <c r="BO33" s="60"/>
      <c r="BP33" s="60"/>
      <c r="BQ33" s="60"/>
      <c r="BR33" s="60"/>
      <c r="BS33" s="60"/>
      <c r="BT33" s="60"/>
      <c r="BU33" s="60"/>
    </row>
    <row r="34" spans="1:73" x14ac:dyDescent="0.25">
      <c r="A34" s="51" t="s">
        <v>474</v>
      </c>
      <c r="B34" s="59" t="s">
        <v>346</v>
      </c>
      <c r="C34">
        <v>4</v>
      </c>
      <c r="D34" s="60"/>
      <c r="E34" s="61"/>
      <c r="F34" s="61" t="s">
        <v>439</v>
      </c>
      <c r="G34" s="61" t="s">
        <v>439</v>
      </c>
      <c r="H34" s="61" t="s">
        <v>439</v>
      </c>
      <c r="I34" s="61" t="s">
        <v>439</v>
      </c>
      <c r="J34" s="61" t="s">
        <v>439</v>
      </c>
      <c r="K34" s="61" t="s">
        <v>439</v>
      </c>
      <c r="L34" s="61" t="s">
        <v>439</v>
      </c>
      <c r="M34" s="61" t="s">
        <v>439</v>
      </c>
      <c r="N34" s="61" t="s">
        <v>439</v>
      </c>
      <c r="O34" s="61" t="s">
        <v>439</v>
      </c>
      <c r="P34" s="61" t="s">
        <v>439</v>
      </c>
      <c r="Q34" s="61" t="s">
        <v>439</v>
      </c>
      <c r="R34" s="61" t="s">
        <v>439</v>
      </c>
      <c r="S34" s="61" t="s">
        <v>439</v>
      </c>
      <c r="T34" s="60" t="s">
        <v>439</v>
      </c>
      <c r="U34" s="60" t="s">
        <v>439</v>
      </c>
      <c r="V34" s="60" t="s">
        <v>439</v>
      </c>
      <c r="W34" s="60" t="s">
        <v>439</v>
      </c>
      <c r="X34" s="60" t="s">
        <v>439</v>
      </c>
      <c r="Y34" s="60"/>
      <c r="Z34" s="60" t="s">
        <v>439</v>
      </c>
      <c r="AA34" s="60" t="s">
        <v>439</v>
      </c>
      <c r="AB34" s="60"/>
      <c r="AC34" s="60"/>
      <c r="AD34" s="60"/>
      <c r="AE34" s="60"/>
      <c r="AF34" s="60" t="s">
        <v>439</v>
      </c>
      <c r="AG34" s="60" t="s">
        <v>439</v>
      </c>
      <c r="AH34" s="60" t="s">
        <v>439</v>
      </c>
      <c r="AI34" s="60" t="s">
        <v>439</v>
      </c>
      <c r="AJ34" s="60" t="s">
        <v>439</v>
      </c>
      <c r="AK34" s="60" t="s">
        <v>439</v>
      </c>
      <c r="AL34" s="60" t="s">
        <v>439</v>
      </c>
      <c r="AM34" s="60" t="s">
        <v>439</v>
      </c>
      <c r="AN34" s="60" t="s">
        <v>439</v>
      </c>
      <c r="AO34" s="60" t="s">
        <v>439</v>
      </c>
      <c r="AP34" s="60" t="s">
        <v>439</v>
      </c>
      <c r="AQ34" s="60" t="s">
        <v>439</v>
      </c>
      <c r="AR34" s="60" t="s">
        <v>439</v>
      </c>
      <c r="AS34" s="60" t="s">
        <v>439</v>
      </c>
      <c r="AT34" s="60" t="s">
        <v>439</v>
      </c>
      <c r="AU34" s="60" t="s">
        <v>439</v>
      </c>
      <c r="AV34" s="60" t="s">
        <v>439</v>
      </c>
      <c r="AW34" s="60" t="s">
        <v>439</v>
      </c>
      <c r="AX34" s="60" t="s">
        <v>439</v>
      </c>
      <c r="AY34" s="60"/>
      <c r="AZ34" s="60"/>
      <c r="BA34" s="60"/>
      <c r="BB34" s="60" t="s">
        <v>439</v>
      </c>
      <c r="BC34" s="60" t="s">
        <v>439</v>
      </c>
      <c r="BD34" s="60"/>
      <c r="BE34" s="60"/>
      <c r="BF34" s="60"/>
      <c r="BG34" s="61" t="s">
        <v>439</v>
      </c>
      <c r="BH34" s="60"/>
      <c r="BI34" s="60"/>
      <c r="BJ34" s="60"/>
      <c r="BK34" s="60"/>
      <c r="BL34" s="60"/>
      <c r="BM34" s="60"/>
      <c r="BN34" s="60"/>
      <c r="BO34" s="60"/>
      <c r="BP34" s="60"/>
      <c r="BQ34" s="60"/>
      <c r="BR34" s="60"/>
      <c r="BS34" s="60"/>
      <c r="BT34" s="60"/>
      <c r="BU34" s="60"/>
    </row>
    <row r="35" spans="1:73" x14ac:dyDescent="0.25">
      <c r="A35" s="51" t="s">
        <v>747</v>
      </c>
      <c r="B35" s="59" t="s">
        <v>346</v>
      </c>
      <c r="C35">
        <v>4</v>
      </c>
      <c r="D35" s="60"/>
      <c r="E35" s="61"/>
      <c r="F35" s="61" t="s">
        <v>439</v>
      </c>
      <c r="G35" s="61" t="s">
        <v>439</v>
      </c>
      <c r="H35" s="61" t="s">
        <v>439</v>
      </c>
      <c r="I35" s="61" t="s">
        <v>439</v>
      </c>
      <c r="J35" s="61" t="s">
        <v>439</v>
      </c>
      <c r="K35" s="61" t="s">
        <v>439</v>
      </c>
      <c r="L35" s="61" t="s">
        <v>439</v>
      </c>
      <c r="M35" s="61" t="s">
        <v>439</v>
      </c>
      <c r="N35" s="61" t="s">
        <v>439</v>
      </c>
      <c r="O35" s="61" t="s">
        <v>439</v>
      </c>
      <c r="P35" s="61" t="s">
        <v>439</v>
      </c>
      <c r="Q35" s="61" t="s">
        <v>439</v>
      </c>
      <c r="R35" s="61" t="s">
        <v>439</v>
      </c>
      <c r="S35" s="61" t="s">
        <v>439</v>
      </c>
      <c r="T35" s="60" t="s">
        <v>439</v>
      </c>
      <c r="U35" s="60" t="s">
        <v>439</v>
      </c>
      <c r="V35" s="60" t="s">
        <v>439</v>
      </c>
      <c r="W35" s="60" t="s">
        <v>439</v>
      </c>
      <c r="X35" s="60" t="s">
        <v>439</v>
      </c>
      <c r="Y35" s="60"/>
      <c r="Z35" s="60" t="s">
        <v>439</v>
      </c>
      <c r="AA35" s="60" t="s">
        <v>439</v>
      </c>
      <c r="AB35" s="60"/>
      <c r="AC35" s="60"/>
      <c r="AD35" s="60"/>
      <c r="AE35" s="60"/>
      <c r="AF35" s="60" t="s">
        <v>439</v>
      </c>
      <c r="AG35" s="60" t="s">
        <v>439</v>
      </c>
      <c r="AH35" s="60" t="s">
        <v>439</v>
      </c>
      <c r="AI35" s="60" t="s">
        <v>439</v>
      </c>
      <c r="AJ35" s="60" t="s">
        <v>439</v>
      </c>
      <c r="AK35" s="60" t="s">
        <v>439</v>
      </c>
      <c r="AL35" s="60" t="s">
        <v>439</v>
      </c>
      <c r="AM35" s="60" t="s">
        <v>439</v>
      </c>
      <c r="AN35" s="60" t="s">
        <v>439</v>
      </c>
      <c r="AO35" s="60" t="s">
        <v>439</v>
      </c>
      <c r="AP35" s="60" t="s">
        <v>439</v>
      </c>
      <c r="AQ35" s="60" t="s">
        <v>439</v>
      </c>
      <c r="AR35" s="60" t="s">
        <v>439</v>
      </c>
      <c r="AS35" s="60" t="s">
        <v>439</v>
      </c>
      <c r="AT35" s="60" t="s">
        <v>439</v>
      </c>
      <c r="AU35" s="60" t="s">
        <v>439</v>
      </c>
      <c r="AV35" s="60" t="s">
        <v>439</v>
      </c>
      <c r="AW35" s="60" t="s">
        <v>439</v>
      </c>
      <c r="AX35" s="60" t="s">
        <v>439</v>
      </c>
      <c r="AY35" s="60"/>
      <c r="AZ35" s="60"/>
      <c r="BA35" s="60"/>
      <c r="BB35" s="60"/>
      <c r="BC35" s="60"/>
      <c r="BD35" s="60"/>
      <c r="BE35" s="60"/>
      <c r="BF35" s="60"/>
      <c r="BG35" s="61" t="s">
        <v>439</v>
      </c>
      <c r="BH35" s="60"/>
      <c r="BI35" s="60"/>
      <c r="BJ35" s="60"/>
      <c r="BK35" s="60"/>
      <c r="BL35" s="60"/>
      <c r="BM35" s="60"/>
      <c r="BN35" s="60"/>
      <c r="BO35" s="60"/>
      <c r="BP35" s="60"/>
      <c r="BQ35" s="60"/>
      <c r="BR35" s="60"/>
      <c r="BS35" s="60"/>
      <c r="BT35" s="60"/>
      <c r="BU35" s="60"/>
    </row>
    <row r="36" spans="1:73" x14ac:dyDescent="0.25">
      <c r="A36" s="51" t="s">
        <v>475</v>
      </c>
      <c r="B36" s="59" t="s">
        <v>346</v>
      </c>
      <c r="C36">
        <v>4</v>
      </c>
      <c r="D36" s="60"/>
      <c r="E36" s="61"/>
      <c r="F36" s="61" t="s">
        <v>439</v>
      </c>
      <c r="G36" s="61" t="s">
        <v>439</v>
      </c>
      <c r="H36" s="61" t="s">
        <v>439</v>
      </c>
      <c r="I36" s="61" t="s">
        <v>439</v>
      </c>
      <c r="J36" s="61" t="s">
        <v>439</v>
      </c>
      <c r="K36" s="61" t="s">
        <v>439</v>
      </c>
      <c r="L36" s="61" t="s">
        <v>439</v>
      </c>
      <c r="M36" s="61" t="s">
        <v>439</v>
      </c>
      <c r="N36" s="61" t="s">
        <v>439</v>
      </c>
      <c r="O36" s="61" t="s">
        <v>439</v>
      </c>
      <c r="P36" s="61" t="s">
        <v>439</v>
      </c>
      <c r="Q36" s="61" t="s">
        <v>439</v>
      </c>
      <c r="R36" s="61" t="s">
        <v>439</v>
      </c>
      <c r="S36" s="61" t="s">
        <v>439</v>
      </c>
      <c r="T36" s="60" t="s">
        <v>439</v>
      </c>
      <c r="U36" s="60" t="s">
        <v>439</v>
      </c>
      <c r="V36" s="60" t="s">
        <v>439</v>
      </c>
      <c r="W36" s="60" t="s">
        <v>439</v>
      </c>
      <c r="X36" s="60" t="s">
        <v>439</v>
      </c>
      <c r="Y36" s="60"/>
      <c r="Z36" s="60" t="s">
        <v>439</v>
      </c>
      <c r="AA36" s="60" t="s">
        <v>439</v>
      </c>
      <c r="AB36" s="60"/>
      <c r="AC36" s="60"/>
      <c r="AD36" s="60"/>
      <c r="AE36" s="60"/>
      <c r="AF36" s="60" t="s">
        <v>439</v>
      </c>
      <c r="AG36" s="60" t="s">
        <v>439</v>
      </c>
      <c r="AH36" s="60" t="s">
        <v>439</v>
      </c>
      <c r="AI36" s="60" t="s">
        <v>439</v>
      </c>
      <c r="AJ36" s="60" t="s">
        <v>439</v>
      </c>
      <c r="AK36" s="60" t="s">
        <v>439</v>
      </c>
      <c r="AL36" s="60" t="s">
        <v>439</v>
      </c>
      <c r="AM36" s="60" t="s">
        <v>439</v>
      </c>
      <c r="AN36" s="60" t="s">
        <v>439</v>
      </c>
      <c r="AO36" s="60" t="s">
        <v>439</v>
      </c>
      <c r="AP36" s="60" t="s">
        <v>439</v>
      </c>
      <c r="AQ36" s="60" t="s">
        <v>439</v>
      </c>
      <c r="AR36" s="60" t="s">
        <v>439</v>
      </c>
      <c r="AS36" s="60" t="s">
        <v>439</v>
      </c>
      <c r="AT36" s="60" t="s">
        <v>439</v>
      </c>
      <c r="AU36" s="60" t="s">
        <v>439</v>
      </c>
      <c r="AV36" s="60" t="s">
        <v>439</v>
      </c>
      <c r="AW36" s="60" t="s">
        <v>439</v>
      </c>
      <c r="AX36" s="60" t="s">
        <v>439</v>
      </c>
      <c r="AY36" s="60"/>
      <c r="AZ36" s="60"/>
      <c r="BA36" s="60"/>
      <c r="BB36" s="60"/>
      <c r="BC36" s="60"/>
      <c r="BD36" s="60"/>
      <c r="BE36" s="60"/>
      <c r="BF36" s="60"/>
      <c r="BG36" s="61" t="s">
        <v>439</v>
      </c>
      <c r="BH36" s="60"/>
      <c r="BI36" s="60"/>
      <c r="BJ36" s="60"/>
      <c r="BK36" s="60"/>
      <c r="BL36" s="60"/>
      <c r="BM36" s="60"/>
      <c r="BN36" s="60"/>
      <c r="BO36" s="60"/>
      <c r="BP36" s="60"/>
      <c r="BQ36" s="60"/>
      <c r="BR36" s="60"/>
      <c r="BS36" s="60"/>
      <c r="BT36" s="60"/>
      <c r="BU36" s="60"/>
    </row>
    <row r="37" spans="1:73" x14ac:dyDescent="0.25">
      <c r="A37" s="51" t="s">
        <v>476</v>
      </c>
      <c r="B37" s="59" t="s">
        <v>346</v>
      </c>
      <c r="C37">
        <v>4</v>
      </c>
      <c r="D37" s="60"/>
      <c r="E37" s="61"/>
      <c r="F37" s="61" t="s">
        <v>439</v>
      </c>
      <c r="G37" s="61" t="s">
        <v>439</v>
      </c>
      <c r="H37" s="61" t="s">
        <v>439</v>
      </c>
      <c r="I37" s="61" t="s">
        <v>439</v>
      </c>
      <c r="J37" s="61" t="s">
        <v>439</v>
      </c>
      <c r="K37" s="61" t="s">
        <v>439</v>
      </c>
      <c r="L37" s="61" t="s">
        <v>439</v>
      </c>
      <c r="M37" s="61" t="s">
        <v>439</v>
      </c>
      <c r="N37" s="61" t="s">
        <v>439</v>
      </c>
      <c r="O37" s="61" t="s">
        <v>439</v>
      </c>
      <c r="P37" s="61" t="s">
        <v>439</v>
      </c>
      <c r="Q37" s="61" t="s">
        <v>439</v>
      </c>
      <c r="R37" s="61" t="s">
        <v>439</v>
      </c>
      <c r="S37" s="61" t="s">
        <v>439</v>
      </c>
      <c r="T37" s="60" t="s">
        <v>439</v>
      </c>
      <c r="U37" s="60" t="s">
        <v>439</v>
      </c>
      <c r="V37" s="60" t="s">
        <v>439</v>
      </c>
      <c r="W37" s="60" t="s">
        <v>439</v>
      </c>
      <c r="X37" s="60" t="s">
        <v>439</v>
      </c>
      <c r="Y37" s="60"/>
      <c r="Z37" s="60"/>
      <c r="AA37" s="60"/>
      <c r="AB37" s="60"/>
      <c r="AC37" s="60"/>
      <c r="AD37" s="60"/>
      <c r="AE37" s="60"/>
      <c r="AF37" s="60" t="s">
        <v>439</v>
      </c>
      <c r="AG37" s="60" t="s">
        <v>439</v>
      </c>
      <c r="AH37" s="60" t="s">
        <v>439</v>
      </c>
      <c r="AI37" s="60" t="s">
        <v>439</v>
      </c>
      <c r="AJ37" s="60" t="s">
        <v>439</v>
      </c>
      <c r="AK37" s="60" t="s">
        <v>439</v>
      </c>
      <c r="AL37" s="60" t="s">
        <v>439</v>
      </c>
      <c r="AM37" s="60" t="s">
        <v>439</v>
      </c>
      <c r="AN37" s="60" t="s">
        <v>439</v>
      </c>
      <c r="AO37" s="60" t="s">
        <v>439</v>
      </c>
      <c r="AP37" s="60" t="s">
        <v>439</v>
      </c>
      <c r="AQ37" s="60" t="s">
        <v>439</v>
      </c>
      <c r="AR37" s="60" t="s">
        <v>439</v>
      </c>
      <c r="AS37" s="60" t="s">
        <v>439</v>
      </c>
      <c r="AT37" s="60" t="s">
        <v>439</v>
      </c>
      <c r="AU37" s="60" t="s">
        <v>439</v>
      </c>
      <c r="AV37" s="60" t="s">
        <v>439</v>
      </c>
      <c r="AW37" s="60" t="s">
        <v>439</v>
      </c>
      <c r="AX37" s="60" t="s">
        <v>439</v>
      </c>
      <c r="AY37" s="60"/>
      <c r="AZ37" s="60"/>
      <c r="BA37" s="60"/>
      <c r="BB37" s="60"/>
      <c r="BC37" s="60"/>
      <c r="BD37" s="60"/>
      <c r="BE37" s="60"/>
      <c r="BF37" s="60"/>
      <c r="BG37" s="61" t="s">
        <v>439</v>
      </c>
      <c r="BH37" s="60"/>
      <c r="BI37" s="60"/>
      <c r="BJ37" s="60"/>
      <c r="BK37" s="60"/>
      <c r="BL37" s="60"/>
      <c r="BM37" s="60"/>
      <c r="BN37" s="60"/>
      <c r="BO37" s="60"/>
      <c r="BP37" s="60"/>
      <c r="BQ37" s="60"/>
      <c r="BR37" s="60"/>
      <c r="BS37" s="60"/>
      <c r="BT37" s="60"/>
      <c r="BU37" s="60"/>
    </row>
    <row r="38" spans="1:73" x14ac:dyDescent="0.25">
      <c r="A38" s="51" t="s">
        <v>477</v>
      </c>
      <c r="B38" s="59" t="s">
        <v>346</v>
      </c>
      <c r="C38">
        <v>4</v>
      </c>
      <c r="D38" s="60"/>
      <c r="E38" s="61"/>
      <c r="F38" s="61" t="s">
        <v>439</v>
      </c>
      <c r="G38" s="61" t="s">
        <v>439</v>
      </c>
      <c r="H38" s="61" t="s">
        <v>439</v>
      </c>
      <c r="I38" s="61" t="s">
        <v>439</v>
      </c>
      <c r="J38" s="61" t="s">
        <v>439</v>
      </c>
      <c r="K38" s="61" t="s">
        <v>439</v>
      </c>
      <c r="L38" s="61" t="s">
        <v>439</v>
      </c>
      <c r="M38" s="61" t="s">
        <v>439</v>
      </c>
      <c r="N38" s="61" t="s">
        <v>439</v>
      </c>
      <c r="O38" s="61" t="s">
        <v>439</v>
      </c>
      <c r="P38" s="61" t="s">
        <v>439</v>
      </c>
      <c r="Q38" s="61" t="s">
        <v>439</v>
      </c>
      <c r="R38" s="61" t="s">
        <v>439</v>
      </c>
      <c r="S38" s="61" t="s">
        <v>439</v>
      </c>
      <c r="T38" s="60" t="s">
        <v>439</v>
      </c>
      <c r="U38" s="60" t="s">
        <v>439</v>
      </c>
      <c r="V38" s="60" t="s">
        <v>439</v>
      </c>
      <c r="W38" s="60" t="s">
        <v>439</v>
      </c>
      <c r="X38" s="60" t="s">
        <v>439</v>
      </c>
      <c r="Y38" s="60"/>
      <c r="Z38" s="60"/>
      <c r="AA38" s="60"/>
      <c r="AB38" s="60"/>
      <c r="AC38" s="60"/>
      <c r="AD38" s="60"/>
      <c r="AE38" s="60"/>
      <c r="AF38" s="60" t="s">
        <v>439</v>
      </c>
      <c r="AG38" s="60" t="s">
        <v>439</v>
      </c>
      <c r="AH38" s="60" t="s">
        <v>439</v>
      </c>
      <c r="AI38" s="60" t="s">
        <v>439</v>
      </c>
      <c r="AJ38" s="60" t="s">
        <v>439</v>
      </c>
      <c r="AK38" s="60" t="s">
        <v>439</v>
      </c>
      <c r="AL38" s="60" t="s">
        <v>439</v>
      </c>
      <c r="AM38" s="60" t="s">
        <v>439</v>
      </c>
      <c r="AN38" s="60" t="s">
        <v>439</v>
      </c>
      <c r="AO38" s="60" t="s">
        <v>439</v>
      </c>
      <c r="AP38" s="60" t="s">
        <v>439</v>
      </c>
      <c r="AQ38" s="60" t="s">
        <v>439</v>
      </c>
      <c r="AR38" s="60" t="s">
        <v>439</v>
      </c>
      <c r="AS38" s="60" t="s">
        <v>439</v>
      </c>
      <c r="AT38" s="60" t="s">
        <v>439</v>
      </c>
      <c r="AU38" s="60" t="s">
        <v>439</v>
      </c>
      <c r="AV38" s="60" t="s">
        <v>439</v>
      </c>
      <c r="AW38" s="60" t="s">
        <v>439</v>
      </c>
      <c r="AX38" s="60" t="s">
        <v>439</v>
      </c>
      <c r="AY38" s="60"/>
      <c r="AZ38" s="60"/>
      <c r="BA38" s="60"/>
      <c r="BB38" s="60"/>
      <c r="BC38" s="60"/>
      <c r="BD38" s="60"/>
      <c r="BE38" s="60"/>
      <c r="BF38" s="60"/>
      <c r="BG38" s="61" t="s">
        <v>439</v>
      </c>
      <c r="BH38" s="60"/>
      <c r="BI38" s="60"/>
      <c r="BJ38" s="60"/>
      <c r="BK38" s="60"/>
      <c r="BL38" s="60"/>
      <c r="BM38" s="60"/>
      <c r="BN38" s="60"/>
      <c r="BO38" s="60"/>
      <c r="BP38" s="60"/>
      <c r="BQ38" s="60"/>
      <c r="BR38" s="60"/>
      <c r="BS38" s="60"/>
      <c r="BT38" s="60"/>
      <c r="BU38" s="60"/>
    </row>
    <row r="39" spans="1:73" x14ac:dyDescent="0.25">
      <c r="A39" s="51" t="s">
        <v>478</v>
      </c>
      <c r="B39" s="59" t="s">
        <v>346</v>
      </c>
      <c r="C39">
        <v>4</v>
      </c>
      <c r="D39" s="60"/>
      <c r="E39" s="61"/>
      <c r="F39" s="61" t="s">
        <v>439</v>
      </c>
      <c r="G39" s="61" t="s">
        <v>439</v>
      </c>
      <c r="H39" s="61" t="s">
        <v>439</v>
      </c>
      <c r="I39" s="61" t="s">
        <v>439</v>
      </c>
      <c r="J39" s="61" t="s">
        <v>439</v>
      </c>
      <c r="K39" s="61" t="s">
        <v>439</v>
      </c>
      <c r="L39" s="61" t="s">
        <v>439</v>
      </c>
      <c r="M39" s="61" t="s">
        <v>439</v>
      </c>
      <c r="N39" s="61" t="s">
        <v>439</v>
      </c>
      <c r="O39" s="61" t="s">
        <v>439</v>
      </c>
      <c r="P39" s="61" t="s">
        <v>439</v>
      </c>
      <c r="Q39" s="61" t="s">
        <v>439</v>
      </c>
      <c r="R39" s="61" t="s">
        <v>439</v>
      </c>
      <c r="S39" s="61" t="s">
        <v>439</v>
      </c>
      <c r="T39" s="60" t="s">
        <v>439</v>
      </c>
      <c r="U39" s="60" t="s">
        <v>439</v>
      </c>
      <c r="V39" s="60" t="s">
        <v>439</v>
      </c>
      <c r="W39" s="60" t="s">
        <v>439</v>
      </c>
      <c r="X39" s="60" t="s">
        <v>439</v>
      </c>
      <c r="Y39" s="60"/>
      <c r="Z39" s="60"/>
      <c r="AA39" s="60"/>
      <c r="AB39" s="60"/>
      <c r="AC39" s="60"/>
      <c r="AD39" s="60"/>
      <c r="AE39" s="60"/>
      <c r="AF39" s="60" t="s">
        <v>439</v>
      </c>
      <c r="AG39" s="60" t="s">
        <v>439</v>
      </c>
      <c r="AH39" s="60" t="s">
        <v>439</v>
      </c>
      <c r="AI39" s="60" t="s">
        <v>439</v>
      </c>
      <c r="AJ39" s="60" t="s">
        <v>439</v>
      </c>
      <c r="AK39" s="60" t="s">
        <v>439</v>
      </c>
      <c r="AL39" s="60" t="s">
        <v>439</v>
      </c>
      <c r="AM39" s="60" t="s">
        <v>439</v>
      </c>
      <c r="AN39" s="60" t="s">
        <v>439</v>
      </c>
      <c r="AO39" s="60" t="s">
        <v>439</v>
      </c>
      <c r="AP39" s="60" t="s">
        <v>439</v>
      </c>
      <c r="AQ39" s="60" t="s">
        <v>439</v>
      </c>
      <c r="AR39" s="60" t="s">
        <v>439</v>
      </c>
      <c r="AS39" s="60" t="s">
        <v>439</v>
      </c>
      <c r="AT39" s="60" t="s">
        <v>439</v>
      </c>
      <c r="AU39" s="60" t="s">
        <v>439</v>
      </c>
      <c r="AV39" s="60" t="s">
        <v>439</v>
      </c>
      <c r="AW39" s="60" t="s">
        <v>439</v>
      </c>
      <c r="AX39" s="60" t="s">
        <v>439</v>
      </c>
      <c r="AY39" s="60"/>
      <c r="AZ39" s="60"/>
      <c r="BA39" s="60"/>
      <c r="BB39" s="60"/>
      <c r="BC39" s="60"/>
      <c r="BD39" s="60"/>
      <c r="BE39" s="60"/>
      <c r="BF39" s="60"/>
      <c r="BG39" s="61" t="s">
        <v>439</v>
      </c>
      <c r="BH39" s="60"/>
      <c r="BI39" s="60"/>
      <c r="BJ39" s="60"/>
      <c r="BK39" s="60"/>
      <c r="BL39" s="60"/>
      <c r="BM39" s="60"/>
      <c r="BN39" s="60"/>
      <c r="BO39" s="60"/>
      <c r="BP39" s="60"/>
      <c r="BQ39" s="60"/>
      <c r="BR39" s="60"/>
      <c r="BS39" s="60"/>
      <c r="BT39" s="60"/>
      <c r="BU39" s="60"/>
    </row>
    <row r="40" spans="1:73" x14ac:dyDescent="0.25">
      <c r="A40" s="51" t="s">
        <v>479</v>
      </c>
      <c r="B40" s="59" t="s">
        <v>346</v>
      </c>
      <c r="C40">
        <v>4</v>
      </c>
      <c r="D40" s="60"/>
      <c r="E40" s="61"/>
      <c r="F40" s="61" t="s">
        <v>439</v>
      </c>
      <c r="G40" s="61" t="s">
        <v>439</v>
      </c>
      <c r="H40" s="61" t="s">
        <v>439</v>
      </c>
      <c r="I40" s="61" t="s">
        <v>439</v>
      </c>
      <c r="J40" s="61" t="s">
        <v>439</v>
      </c>
      <c r="K40" s="61" t="s">
        <v>439</v>
      </c>
      <c r="L40" s="61" t="s">
        <v>439</v>
      </c>
      <c r="M40" s="61" t="s">
        <v>439</v>
      </c>
      <c r="N40" s="61" t="s">
        <v>439</v>
      </c>
      <c r="O40" s="61" t="s">
        <v>439</v>
      </c>
      <c r="P40" s="61" t="s">
        <v>439</v>
      </c>
      <c r="Q40" s="61" t="s">
        <v>439</v>
      </c>
      <c r="R40" s="61" t="s">
        <v>439</v>
      </c>
      <c r="S40" s="61" t="s">
        <v>439</v>
      </c>
      <c r="T40" s="60" t="s">
        <v>439</v>
      </c>
      <c r="U40" s="60" t="s">
        <v>439</v>
      </c>
      <c r="V40" s="60" t="s">
        <v>439</v>
      </c>
      <c r="W40" s="60" t="s">
        <v>439</v>
      </c>
      <c r="X40" s="60" t="s">
        <v>439</v>
      </c>
      <c r="Y40" s="60"/>
      <c r="Z40" s="60"/>
      <c r="AA40" s="60"/>
      <c r="AB40" s="60"/>
      <c r="AC40" s="60"/>
      <c r="AD40" s="60" t="s">
        <v>439</v>
      </c>
      <c r="AE40" s="60"/>
      <c r="AF40" s="60" t="s">
        <v>439</v>
      </c>
      <c r="AG40" s="60" t="s">
        <v>439</v>
      </c>
      <c r="AH40" s="60" t="s">
        <v>439</v>
      </c>
      <c r="AI40" s="60" t="s">
        <v>439</v>
      </c>
      <c r="AJ40" s="60" t="s">
        <v>439</v>
      </c>
      <c r="AK40" s="60" t="s">
        <v>439</v>
      </c>
      <c r="AL40" s="60" t="s">
        <v>439</v>
      </c>
      <c r="AM40" s="60" t="s">
        <v>439</v>
      </c>
      <c r="AN40" s="60" t="s">
        <v>439</v>
      </c>
      <c r="AO40" s="60" t="s">
        <v>439</v>
      </c>
      <c r="AP40" s="60" t="s">
        <v>439</v>
      </c>
      <c r="AQ40" s="60" t="s">
        <v>439</v>
      </c>
      <c r="AR40" s="60" t="s">
        <v>439</v>
      </c>
      <c r="AS40" s="60" t="s">
        <v>439</v>
      </c>
      <c r="AT40" s="60" t="s">
        <v>439</v>
      </c>
      <c r="AU40" s="60" t="s">
        <v>439</v>
      </c>
      <c r="AV40" s="60" t="s">
        <v>439</v>
      </c>
      <c r="AW40" s="60" t="s">
        <v>439</v>
      </c>
      <c r="AX40" s="60" t="s">
        <v>439</v>
      </c>
      <c r="AY40" s="60"/>
      <c r="AZ40" s="60"/>
      <c r="BA40" s="60"/>
      <c r="BB40" s="60"/>
      <c r="BC40" s="60"/>
      <c r="BD40" s="60" t="s">
        <v>439</v>
      </c>
      <c r="BE40" s="60"/>
      <c r="BF40" s="60"/>
      <c r="BG40" s="61" t="s">
        <v>439</v>
      </c>
      <c r="BH40" s="60"/>
      <c r="BI40" s="60"/>
      <c r="BJ40" s="60"/>
      <c r="BK40" s="60"/>
      <c r="BL40" s="60"/>
      <c r="BM40" s="60"/>
      <c r="BN40" s="60"/>
      <c r="BO40" s="60"/>
      <c r="BP40" s="60"/>
      <c r="BQ40" s="60"/>
      <c r="BR40" s="60"/>
      <c r="BS40" s="60"/>
      <c r="BT40" s="60"/>
      <c r="BU40" s="60"/>
    </row>
    <row r="41" spans="1:73" x14ac:dyDescent="0.25">
      <c r="A41" s="51" t="s">
        <v>986</v>
      </c>
      <c r="B41" s="59" t="s">
        <v>346</v>
      </c>
      <c r="C41">
        <v>4</v>
      </c>
      <c r="D41" s="60"/>
      <c r="E41" s="61"/>
      <c r="F41" s="61" t="s">
        <v>439</v>
      </c>
      <c r="G41" s="61" t="s">
        <v>439</v>
      </c>
      <c r="H41" s="61" t="s">
        <v>439</v>
      </c>
      <c r="I41" s="61" t="s">
        <v>439</v>
      </c>
      <c r="J41" s="61" t="s">
        <v>439</v>
      </c>
      <c r="K41" s="61" t="s">
        <v>439</v>
      </c>
      <c r="L41" s="61" t="s">
        <v>439</v>
      </c>
      <c r="M41" s="61" t="s">
        <v>439</v>
      </c>
      <c r="N41" s="61" t="s">
        <v>439</v>
      </c>
      <c r="O41" s="61" t="s">
        <v>439</v>
      </c>
      <c r="P41" s="61" t="s">
        <v>439</v>
      </c>
      <c r="Q41" s="61" t="s">
        <v>439</v>
      </c>
      <c r="R41" s="61" t="s">
        <v>439</v>
      </c>
      <c r="S41" s="61" t="s">
        <v>439</v>
      </c>
      <c r="T41" s="60" t="s">
        <v>439</v>
      </c>
      <c r="U41" s="60" t="s">
        <v>439</v>
      </c>
      <c r="V41" s="60" t="s">
        <v>439</v>
      </c>
      <c r="W41" s="60" t="s">
        <v>439</v>
      </c>
      <c r="X41" s="60" t="s">
        <v>439</v>
      </c>
      <c r="Y41" s="60"/>
      <c r="Z41" s="60" t="s">
        <v>439</v>
      </c>
      <c r="AA41" s="60" t="s">
        <v>439</v>
      </c>
      <c r="AB41" s="60"/>
      <c r="AC41" s="60"/>
      <c r="AD41" s="60" t="s">
        <v>439</v>
      </c>
      <c r="AE41" s="60"/>
      <c r="AF41" s="60" t="s">
        <v>439</v>
      </c>
      <c r="AG41" s="60" t="s">
        <v>439</v>
      </c>
      <c r="AH41" s="60" t="s">
        <v>439</v>
      </c>
      <c r="AI41" s="60" t="s">
        <v>439</v>
      </c>
      <c r="AJ41" s="60" t="s">
        <v>439</v>
      </c>
      <c r="AK41" s="60" t="s">
        <v>439</v>
      </c>
      <c r="AL41" s="60" t="s">
        <v>439</v>
      </c>
      <c r="AM41" s="60" t="s">
        <v>439</v>
      </c>
      <c r="AN41" s="60" t="s">
        <v>439</v>
      </c>
      <c r="AO41" s="60" t="s">
        <v>439</v>
      </c>
      <c r="AP41" s="60" t="s">
        <v>439</v>
      </c>
      <c r="AQ41" s="60" t="s">
        <v>439</v>
      </c>
      <c r="AR41" s="60" t="s">
        <v>439</v>
      </c>
      <c r="AS41" s="60" t="s">
        <v>439</v>
      </c>
      <c r="AT41" s="60" t="s">
        <v>439</v>
      </c>
      <c r="AU41" s="60" t="s">
        <v>439</v>
      </c>
      <c r="AV41" s="60" t="s">
        <v>439</v>
      </c>
      <c r="AW41" s="60" t="s">
        <v>439</v>
      </c>
      <c r="AX41" s="60" t="s">
        <v>439</v>
      </c>
      <c r="AY41" s="60"/>
      <c r="AZ41" s="60"/>
      <c r="BA41" s="60"/>
      <c r="BB41" s="60"/>
      <c r="BC41" s="60"/>
      <c r="BD41" s="60" t="s">
        <v>439</v>
      </c>
      <c r="BE41" s="60"/>
      <c r="BF41" s="60"/>
      <c r="BG41" s="61" t="s">
        <v>439</v>
      </c>
      <c r="BH41" s="60"/>
      <c r="BI41" s="60"/>
      <c r="BJ41" s="60"/>
      <c r="BK41" s="60"/>
      <c r="BL41" s="60"/>
      <c r="BM41" s="60"/>
      <c r="BN41" s="60"/>
      <c r="BO41" s="60"/>
      <c r="BP41" s="60"/>
      <c r="BQ41" s="60"/>
      <c r="BR41" s="60"/>
      <c r="BS41" s="60"/>
      <c r="BT41" s="60"/>
      <c r="BU41" s="60"/>
    </row>
    <row r="42" spans="1:73" x14ac:dyDescent="0.25">
      <c r="A42" s="51" t="s">
        <v>480</v>
      </c>
      <c r="B42" s="59" t="s">
        <v>346</v>
      </c>
      <c r="C42">
        <v>4</v>
      </c>
      <c r="D42" s="60"/>
      <c r="E42" s="61"/>
      <c r="F42" s="61" t="s">
        <v>439</v>
      </c>
      <c r="G42" s="61" t="s">
        <v>439</v>
      </c>
      <c r="H42" s="61" t="s">
        <v>439</v>
      </c>
      <c r="I42" s="61" t="s">
        <v>439</v>
      </c>
      <c r="J42" s="61" t="s">
        <v>439</v>
      </c>
      <c r="K42" s="61" t="s">
        <v>439</v>
      </c>
      <c r="L42" s="61" t="s">
        <v>439</v>
      </c>
      <c r="M42" s="61" t="s">
        <v>439</v>
      </c>
      <c r="N42" s="61" t="s">
        <v>439</v>
      </c>
      <c r="O42" s="61" t="s">
        <v>439</v>
      </c>
      <c r="P42" s="61" t="s">
        <v>439</v>
      </c>
      <c r="Q42" s="61" t="s">
        <v>439</v>
      </c>
      <c r="R42" s="61" t="s">
        <v>439</v>
      </c>
      <c r="S42" s="61" t="s">
        <v>439</v>
      </c>
      <c r="T42" s="60" t="s">
        <v>439</v>
      </c>
      <c r="U42" s="60" t="s">
        <v>439</v>
      </c>
      <c r="V42" s="60" t="s">
        <v>439</v>
      </c>
      <c r="W42" s="60" t="s">
        <v>439</v>
      </c>
      <c r="X42" s="60" t="s">
        <v>439</v>
      </c>
      <c r="Y42" s="60"/>
      <c r="Z42" s="60" t="s">
        <v>439</v>
      </c>
      <c r="AA42" s="60" t="s">
        <v>439</v>
      </c>
      <c r="AB42" s="60"/>
      <c r="AC42" s="60"/>
      <c r="AD42" s="60" t="s">
        <v>439</v>
      </c>
      <c r="AE42" s="60"/>
      <c r="AF42" s="60" t="s">
        <v>439</v>
      </c>
      <c r="AG42" s="60" t="s">
        <v>439</v>
      </c>
      <c r="AH42" s="60" t="s">
        <v>439</v>
      </c>
      <c r="AI42" s="60" t="s">
        <v>439</v>
      </c>
      <c r="AJ42" s="60" t="s">
        <v>439</v>
      </c>
      <c r="AK42" s="60" t="s">
        <v>439</v>
      </c>
      <c r="AL42" s="60" t="s">
        <v>439</v>
      </c>
      <c r="AM42" s="60" t="s">
        <v>439</v>
      </c>
      <c r="AN42" s="60" t="s">
        <v>439</v>
      </c>
      <c r="AO42" s="60" t="s">
        <v>439</v>
      </c>
      <c r="AP42" s="60" t="s">
        <v>439</v>
      </c>
      <c r="AQ42" s="60" t="s">
        <v>439</v>
      </c>
      <c r="AR42" s="60" t="s">
        <v>439</v>
      </c>
      <c r="AS42" s="60" t="s">
        <v>439</v>
      </c>
      <c r="AT42" s="60" t="s">
        <v>439</v>
      </c>
      <c r="AU42" s="60" t="s">
        <v>439</v>
      </c>
      <c r="AV42" s="60" t="s">
        <v>439</v>
      </c>
      <c r="AW42" s="60" t="s">
        <v>439</v>
      </c>
      <c r="AX42" s="60" t="s">
        <v>439</v>
      </c>
      <c r="AY42" s="60"/>
      <c r="AZ42" s="60"/>
      <c r="BA42" s="60"/>
      <c r="BB42" s="60"/>
      <c r="BC42" s="60"/>
      <c r="BD42" s="60" t="s">
        <v>439</v>
      </c>
      <c r="BE42" s="60"/>
      <c r="BF42" s="60"/>
      <c r="BG42" s="61" t="s">
        <v>439</v>
      </c>
      <c r="BH42" s="60"/>
      <c r="BI42" s="60"/>
      <c r="BJ42" s="60"/>
      <c r="BK42" s="60"/>
      <c r="BL42" s="60"/>
      <c r="BM42" s="60"/>
      <c r="BN42" s="60"/>
      <c r="BO42" s="60"/>
      <c r="BP42" s="60"/>
      <c r="BQ42" s="60"/>
      <c r="BR42" s="60"/>
      <c r="BS42" s="60"/>
      <c r="BT42" s="60"/>
      <c r="BU42" s="60"/>
    </row>
    <row r="43" spans="1:73" x14ac:dyDescent="0.25">
      <c r="A43" s="51" t="s">
        <v>481</v>
      </c>
      <c r="B43" s="59" t="s">
        <v>346</v>
      </c>
      <c r="C43">
        <v>4</v>
      </c>
      <c r="D43" s="60"/>
      <c r="E43" s="61"/>
      <c r="F43" s="61" t="s">
        <v>439</v>
      </c>
      <c r="G43" s="61" t="s">
        <v>439</v>
      </c>
      <c r="H43" s="61" t="s">
        <v>439</v>
      </c>
      <c r="I43" s="61" t="s">
        <v>439</v>
      </c>
      <c r="J43" s="61" t="s">
        <v>439</v>
      </c>
      <c r="K43" s="61" t="s">
        <v>439</v>
      </c>
      <c r="L43" s="61" t="s">
        <v>439</v>
      </c>
      <c r="M43" s="61" t="s">
        <v>439</v>
      </c>
      <c r="N43" s="61" t="s">
        <v>439</v>
      </c>
      <c r="O43" s="61" t="s">
        <v>439</v>
      </c>
      <c r="P43" s="61" t="s">
        <v>439</v>
      </c>
      <c r="Q43" s="61" t="s">
        <v>439</v>
      </c>
      <c r="R43" s="61" t="s">
        <v>439</v>
      </c>
      <c r="S43" s="61" t="s">
        <v>439</v>
      </c>
      <c r="T43" s="60" t="s">
        <v>439</v>
      </c>
      <c r="U43" s="60" t="s">
        <v>439</v>
      </c>
      <c r="V43" s="60" t="s">
        <v>439</v>
      </c>
      <c r="W43" s="60" t="s">
        <v>439</v>
      </c>
      <c r="X43" s="60" t="s">
        <v>439</v>
      </c>
      <c r="Y43" s="60"/>
      <c r="Z43" s="60"/>
      <c r="AA43" s="60"/>
      <c r="AB43" s="60"/>
      <c r="AC43" s="60"/>
      <c r="AD43" s="60" t="s">
        <v>439</v>
      </c>
      <c r="AE43" s="60"/>
      <c r="AF43" s="60" t="s">
        <v>439</v>
      </c>
      <c r="AG43" s="60" t="s">
        <v>439</v>
      </c>
      <c r="AH43" s="60" t="s">
        <v>439</v>
      </c>
      <c r="AI43" s="60" t="s">
        <v>439</v>
      </c>
      <c r="AJ43" s="60" t="s">
        <v>439</v>
      </c>
      <c r="AK43" s="60" t="s">
        <v>439</v>
      </c>
      <c r="AL43" s="60" t="s">
        <v>439</v>
      </c>
      <c r="AM43" s="60" t="s">
        <v>439</v>
      </c>
      <c r="AN43" s="60" t="s">
        <v>439</v>
      </c>
      <c r="AO43" s="60" t="s">
        <v>439</v>
      </c>
      <c r="AP43" s="60" t="s">
        <v>439</v>
      </c>
      <c r="AQ43" s="60" t="s">
        <v>439</v>
      </c>
      <c r="AR43" s="60" t="s">
        <v>439</v>
      </c>
      <c r="AS43" s="60" t="s">
        <v>439</v>
      </c>
      <c r="AT43" s="60" t="s">
        <v>439</v>
      </c>
      <c r="AU43" s="60" t="s">
        <v>439</v>
      </c>
      <c r="AV43" s="60" t="s">
        <v>439</v>
      </c>
      <c r="AW43" s="60" t="s">
        <v>439</v>
      </c>
      <c r="AX43" s="60" t="s">
        <v>439</v>
      </c>
      <c r="AY43" s="60"/>
      <c r="AZ43" s="60"/>
      <c r="BA43" s="60"/>
      <c r="BB43" s="60"/>
      <c r="BC43" s="60"/>
      <c r="BD43" s="60" t="s">
        <v>439</v>
      </c>
      <c r="BE43" s="60"/>
      <c r="BF43" s="60"/>
      <c r="BG43" s="61" t="s">
        <v>439</v>
      </c>
      <c r="BH43" s="60"/>
      <c r="BI43" s="60"/>
      <c r="BJ43" s="60"/>
      <c r="BK43" s="60"/>
      <c r="BL43" s="60"/>
      <c r="BM43" s="60"/>
      <c r="BN43" s="60"/>
      <c r="BO43" s="60"/>
      <c r="BP43" s="60"/>
      <c r="BQ43" s="60"/>
      <c r="BR43" s="60"/>
      <c r="BS43" s="60"/>
      <c r="BT43" s="60"/>
      <c r="BU43" s="60"/>
    </row>
    <row r="44" spans="1:73" x14ac:dyDescent="0.25">
      <c r="A44" s="51" t="s">
        <v>482</v>
      </c>
      <c r="B44" s="59" t="s">
        <v>346</v>
      </c>
      <c r="C44">
        <v>4</v>
      </c>
      <c r="D44" s="60"/>
      <c r="E44" s="61"/>
      <c r="F44" s="61" t="s">
        <v>439</v>
      </c>
      <c r="G44" s="61" t="s">
        <v>439</v>
      </c>
      <c r="H44" s="61" t="s">
        <v>439</v>
      </c>
      <c r="I44" s="61" t="s">
        <v>439</v>
      </c>
      <c r="J44" s="61" t="s">
        <v>439</v>
      </c>
      <c r="K44" s="61" t="s">
        <v>439</v>
      </c>
      <c r="L44" s="61" t="s">
        <v>439</v>
      </c>
      <c r="M44" s="61" t="s">
        <v>439</v>
      </c>
      <c r="N44" s="61" t="s">
        <v>439</v>
      </c>
      <c r="O44" s="61" t="s">
        <v>439</v>
      </c>
      <c r="P44" s="61" t="s">
        <v>439</v>
      </c>
      <c r="Q44" s="61" t="s">
        <v>439</v>
      </c>
      <c r="R44" s="61" t="s">
        <v>439</v>
      </c>
      <c r="S44" s="61" t="s">
        <v>439</v>
      </c>
      <c r="T44" s="60" t="s">
        <v>439</v>
      </c>
      <c r="U44" s="60" t="s">
        <v>439</v>
      </c>
      <c r="V44" s="60" t="s">
        <v>439</v>
      </c>
      <c r="W44" s="60" t="s">
        <v>439</v>
      </c>
      <c r="X44" s="60" t="s">
        <v>439</v>
      </c>
      <c r="Y44" s="60"/>
      <c r="Z44" s="60"/>
      <c r="AA44" s="60"/>
      <c r="AB44" s="60"/>
      <c r="AC44" s="60"/>
      <c r="AD44" s="60"/>
      <c r="AE44" s="60"/>
      <c r="AF44" s="60" t="s">
        <v>439</v>
      </c>
      <c r="AG44" s="60" t="s">
        <v>439</v>
      </c>
      <c r="AH44" s="60" t="s">
        <v>439</v>
      </c>
      <c r="AI44" s="60" t="s">
        <v>439</v>
      </c>
      <c r="AJ44" s="60" t="s">
        <v>439</v>
      </c>
      <c r="AK44" s="60" t="s">
        <v>439</v>
      </c>
      <c r="AL44" s="60" t="s">
        <v>439</v>
      </c>
      <c r="AM44" s="60" t="s">
        <v>439</v>
      </c>
      <c r="AN44" s="60" t="s">
        <v>439</v>
      </c>
      <c r="AO44" s="60" t="s">
        <v>439</v>
      </c>
      <c r="AP44" s="60" t="s">
        <v>439</v>
      </c>
      <c r="AQ44" s="60" t="s">
        <v>439</v>
      </c>
      <c r="AR44" s="60" t="s">
        <v>439</v>
      </c>
      <c r="AS44" s="60" t="s">
        <v>439</v>
      </c>
      <c r="AT44" s="60" t="s">
        <v>439</v>
      </c>
      <c r="AU44" s="60" t="s">
        <v>439</v>
      </c>
      <c r="AV44" s="60" t="s">
        <v>439</v>
      </c>
      <c r="AW44" s="60" t="s">
        <v>439</v>
      </c>
      <c r="AX44" s="60" t="s">
        <v>439</v>
      </c>
      <c r="AY44" s="60"/>
      <c r="AZ44" s="60"/>
      <c r="BA44" s="60"/>
      <c r="BB44" s="60"/>
      <c r="BC44" s="60"/>
      <c r="BD44" s="60"/>
      <c r="BE44" s="60"/>
      <c r="BF44" s="60"/>
      <c r="BG44" s="61" t="s">
        <v>439</v>
      </c>
      <c r="BH44" s="60"/>
      <c r="BI44" s="60"/>
      <c r="BJ44" s="60"/>
      <c r="BK44" s="60"/>
      <c r="BL44" s="60"/>
      <c r="BM44" s="60"/>
      <c r="BN44" s="60"/>
      <c r="BO44" s="60"/>
      <c r="BP44" s="60"/>
      <c r="BQ44" s="60"/>
      <c r="BR44" s="60"/>
      <c r="BS44" s="60"/>
      <c r="BT44" s="60"/>
      <c r="BU44" s="60"/>
    </row>
    <row r="45" spans="1:73" x14ac:dyDescent="0.25">
      <c r="A45" s="51" t="s">
        <v>750</v>
      </c>
      <c r="B45" s="59" t="s">
        <v>346</v>
      </c>
      <c r="C45">
        <v>4</v>
      </c>
      <c r="D45" s="60"/>
      <c r="E45" s="61"/>
      <c r="F45" s="61" t="s">
        <v>439</v>
      </c>
      <c r="G45" s="61" t="s">
        <v>439</v>
      </c>
      <c r="H45" s="61" t="s">
        <v>439</v>
      </c>
      <c r="I45" s="61" t="s">
        <v>439</v>
      </c>
      <c r="J45" s="61" t="s">
        <v>439</v>
      </c>
      <c r="K45" s="61" t="s">
        <v>439</v>
      </c>
      <c r="L45" s="61" t="s">
        <v>439</v>
      </c>
      <c r="M45" s="61" t="s">
        <v>439</v>
      </c>
      <c r="N45" s="61" t="s">
        <v>439</v>
      </c>
      <c r="O45" s="61" t="s">
        <v>439</v>
      </c>
      <c r="P45" s="61" t="s">
        <v>439</v>
      </c>
      <c r="Q45" s="61" t="s">
        <v>439</v>
      </c>
      <c r="R45" s="61" t="s">
        <v>439</v>
      </c>
      <c r="S45" s="61" t="s">
        <v>439</v>
      </c>
      <c r="T45" s="60" t="s">
        <v>439</v>
      </c>
      <c r="U45" s="60" t="s">
        <v>439</v>
      </c>
      <c r="V45" s="60" t="s">
        <v>439</v>
      </c>
      <c r="W45" s="60" t="s">
        <v>439</v>
      </c>
      <c r="X45" s="60" t="s">
        <v>439</v>
      </c>
      <c r="Y45" s="60"/>
      <c r="Z45" s="60"/>
      <c r="AA45" s="60"/>
      <c r="AB45" s="60" t="s">
        <v>439</v>
      </c>
      <c r="AC45" s="60"/>
      <c r="AD45" s="60"/>
      <c r="AE45" s="60"/>
      <c r="AF45" s="60" t="s">
        <v>439</v>
      </c>
      <c r="AG45" s="60" t="s">
        <v>439</v>
      </c>
      <c r="AH45" s="60" t="s">
        <v>439</v>
      </c>
      <c r="AI45" s="60" t="s">
        <v>439</v>
      </c>
      <c r="AJ45" s="60" t="s">
        <v>439</v>
      </c>
      <c r="AK45" s="60" t="s">
        <v>439</v>
      </c>
      <c r="AL45" s="60" t="s">
        <v>439</v>
      </c>
      <c r="AM45" s="60" t="s">
        <v>439</v>
      </c>
      <c r="AN45" s="60" t="s">
        <v>439</v>
      </c>
      <c r="AO45" s="60" t="s">
        <v>439</v>
      </c>
      <c r="AP45" s="60" t="s">
        <v>439</v>
      </c>
      <c r="AQ45" s="60" t="s">
        <v>439</v>
      </c>
      <c r="AR45" s="60" t="s">
        <v>439</v>
      </c>
      <c r="AS45" s="60" t="s">
        <v>439</v>
      </c>
      <c r="AT45" s="60" t="s">
        <v>439</v>
      </c>
      <c r="AU45" s="60" t="s">
        <v>439</v>
      </c>
      <c r="AV45" s="60" t="s">
        <v>439</v>
      </c>
      <c r="AW45" s="60" t="s">
        <v>439</v>
      </c>
      <c r="AX45" s="60" t="s">
        <v>439</v>
      </c>
      <c r="AY45" s="60"/>
      <c r="AZ45" s="60"/>
      <c r="BA45" s="60"/>
      <c r="BB45" s="60"/>
      <c r="BC45" s="60"/>
      <c r="BD45" s="60"/>
      <c r="BE45" s="60"/>
      <c r="BF45" s="60"/>
      <c r="BG45" s="61" t="s">
        <v>439</v>
      </c>
      <c r="BH45" s="60"/>
      <c r="BI45" s="60"/>
      <c r="BJ45" s="60"/>
      <c r="BK45" s="60"/>
      <c r="BL45" s="60"/>
      <c r="BM45" s="60"/>
      <c r="BN45" s="60"/>
      <c r="BO45" s="60"/>
      <c r="BP45" s="60"/>
      <c r="BQ45" s="60"/>
      <c r="BR45" s="60"/>
      <c r="BS45" s="60"/>
      <c r="BT45" s="60"/>
      <c r="BU45" s="60"/>
    </row>
    <row r="46" spans="1:73" x14ac:dyDescent="0.25">
      <c r="A46" s="51" t="s">
        <v>985</v>
      </c>
      <c r="B46" s="59" t="s">
        <v>346</v>
      </c>
      <c r="C46">
        <v>4</v>
      </c>
      <c r="D46" s="60"/>
      <c r="E46" s="61"/>
      <c r="F46" s="61" t="s">
        <v>439</v>
      </c>
      <c r="G46" s="61" t="s">
        <v>439</v>
      </c>
      <c r="H46" s="61" t="s">
        <v>439</v>
      </c>
      <c r="I46" s="61" t="s">
        <v>439</v>
      </c>
      <c r="J46" s="61" t="s">
        <v>439</v>
      </c>
      <c r="K46" s="61" t="s">
        <v>439</v>
      </c>
      <c r="L46" s="61" t="s">
        <v>439</v>
      </c>
      <c r="M46" s="61" t="s">
        <v>439</v>
      </c>
      <c r="N46" s="61" t="s">
        <v>439</v>
      </c>
      <c r="O46" s="61" t="s">
        <v>439</v>
      </c>
      <c r="P46" s="61" t="s">
        <v>439</v>
      </c>
      <c r="Q46" s="61" t="s">
        <v>439</v>
      </c>
      <c r="R46" s="61" t="s">
        <v>439</v>
      </c>
      <c r="S46" s="61" t="s">
        <v>439</v>
      </c>
      <c r="T46" s="60" t="s">
        <v>439</v>
      </c>
      <c r="U46" s="60" t="s">
        <v>439</v>
      </c>
      <c r="V46" s="60" t="s">
        <v>439</v>
      </c>
      <c r="W46" s="60" t="s">
        <v>439</v>
      </c>
      <c r="X46" s="60" t="s">
        <v>439</v>
      </c>
      <c r="Y46" s="60"/>
      <c r="Z46" s="60" t="s">
        <v>439</v>
      </c>
      <c r="AA46" s="60" t="s">
        <v>439</v>
      </c>
      <c r="AB46" s="60" t="s">
        <v>439</v>
      </c>
      <c r="AC46" s="60"/>
      <c r="AD46" s="60"/>
      <c r="AE46" s="60"/>
      <c r="AF46" s="60" t="s">
        <v>439</v>
      </c>
      <c r="AG46" s="60" t="s">
        <v>439</v>
      </c>
      <c r="AH46" s="60" t="s">
        <v>439</v>
      </c>
      <c r="AI46" s="60" t="s">
        <v>439</v>
      </c>
      <c r="AJ46" s="60" t="s">
        <v>439</v>
      </c>
      <c r="AK46" s="60" t="s">
        <v>439</v>
      </c>
      <c r="AL46" s="60" t="s">
        <v>439</v>
      </c>
      <c r="AM46" s="60" t="s">
        <v>439</v>
      </c>
      <c r="AN46" s="60" t="s">
        <v>439</v>
      </c>
      <c r="AO46" s="60" t="s">
        <v>439</v>
      </c>
      <c r="AP46" s="60" t="s">
        <v>439</v>
      </c>
      <c r="AQ46" s="60" t="s">
        <v>439</v>
      </c>
      <c r="AR46" s="60" t="s">
        <v>439</v>
      </c>
      <c r="AS46" s="60" t="s">
        <v>439</v>
      </c>
      <c r="AT46" s="60" t="s">
        <v>439</v>
      </c>
      <c r="AU46" s="60" t="s">
        <v>439</v>
      </c>
      <c r="AV46" s="60" t="s">
        <v>439</v>
      </c>
      <c r="AW46" s="60" t="s">
        <v>439</v>
      </c>
      <c r="AX46" s="60" t="s">
        <v>439</v>
      </c>
      <c r="AY46" s="60"/>
      <c r="AZ46" s="60"/>
      <c r="BA46" s="60"/>
      <c r="BB46" s="60"/>
      <c r="BC46" s="60"/>
      <c r="BD46" s="60"/>
      <c r="BE46" s="60"/>
      <c r="BF46" s="60"/>
      <c r="BG46" s="61" t="s">
        <v>439</v>
      </c>
      <c r="BH46" s="60"/>
      <c r="BI46" s="60"/>
      <c r="BJ46" s="60"/>
      <c r="BK46" s="60"/>
      <c r="BL46" s="60"/>
      <c r="BM46" s="60"/>
      <c r="BN46" s="60"/>
      <c r="BO46" s="60"/>
      <c r="BP46" s="60"/>
      <c r="BQ46" s="60"/>
      <c r="BR46" s="60"/>
      <c r="BS46" s="60"/>
      <c r="BT46" s="60"/>
      <c r="BU46" s="60"/>
    </row>
    <row r="47" spans="1:73" x14ac:dyDescent="0.25">
      <c r="A47" s="51" t="s">
        <v>483</v>
      </c>
      <c r="B47" s="59" t="s">
        <v>346</v>
      </c>
      <c r="C47">
        <v>4</v>
      </c>
      <c r="D47" s="60"/>
      <c r="E47" s="61"/>
      <c r="F47" s="61" t="s">
        <v>439</v>
      </c>
      <c r="G47" s="61" t="s">
        <v>439</v>
      </c>
      <c r="H47" s="61" t="s">
        <v>439</v>
      </c>
      <c r="I47" s="61" t="s">
        <v>439</v>
      </c>
      <c r="J47" s="61" t="s">
        <v>439</v>
      </c>
      <c r="K47" s="61" t="s">
        <v>439</v>
      </c>
      <c r="L47" s="61" t="s">
        <v>439</v>
      </c>
      <c r="M47" s="61" t="s">
        <v>439</v>
      </c>
      <c r="N47" s="61" t="s">
        <v>439</v>
      </c>
      <c r="O47" s="61" t="s">
        <v>439</v>
      </c>
      <c r="P47" s="61" t="s">
        <v>439</v>
      </c>
      <c r="Q47" s="61" t="s">
        <v>439</v>
      </c>
      <c r="R47" s="61" t="s">
        <v>439</v>
      </c>
      <c r="S47" s="61" t="s">
        <v>439</v>
      </c>
      <c r="T47" s="60" t="s">
        <v>439</v>
      </c>
      <c r="U47" s="60" t="s">
        <v>439</v>
      </c>
      <c r="V47" s="60" t="s">
        <v>439</v>
      </c>
      <c r="W47" s="60" t="s">
        <v>439</v>
      </c>
      <c r="X47" s="60" t="s">
        <v>439</v>
      </c>
      <c r="Y47" s="60"/>
      <c r="Z47" s="60"/>
      <c r="AA47" s="60"/>
      <c r="AB47" s="60" t="s">
        <v>439</v>
      </c>
      <c r="AC47" s="60"/>
      <c r="AD47" s="60"/>
      <c r="AE47" s="60"/>
      <c r="AF47" s="60" t="s">
        <v>439</v>
      </c>
      <c r="AG47" s="60" t="s">
        <v>439</v>
      </c>
      <c r="AH47" s="60" t="s">
        <v>439</v>
      </c>
      <c r="AI47" s="60" t="s">
        <v>439</v>
      </c>
      <c r="AJ47" s="60" t="s">
        <v>439</v>
      </c>
      <c r="AK47" s="60" t="s">
        <v>439</v>
      </c>
      <c r="AL47" s="60" t="s">
        <v>439</v>
      </c>
      <c r="AM47" s="60" t="s">
        <v>439</v>
      </c>
      <c r="AN47" s="60" t="s">
        <v>439</v>
      </c>
      <c r="AO47" s="60" t="s">
        <v>439</v>
      </c>
      <c r="AP47" s="60" t="s">
        <v>439</v>
      </c>
      <c r="AQ47" s="60" t="s">
        <v>439</v>
      </c>
      <c r="AR47" s="60" t="s">
        <v>439</v>
      </c>
      <c r="AS47" s="60" t="s">
        <v>439</v>
      </c>
      <c r="AT47" s="60" t="s">
        <v>439</v>
      </c>
      <c r="AU47" s="60" t="s">
        <v>439</v>
      </c>
      <c r="AV47" s="60" t="s">
        <v>439</v>
      </c>
      <c r="AW47" s="60" t="s">
        <v>439</v>
      </c>
      <c r="AX47" s="60" t="s">
        <v>439</v>
      </c>
      <c r="AY47" s="60"/>
      <c r="AZ47" s="60"/>
      <c r="BA47" s="60"/>
      <c r="BB47" s="60"/>
      <c r="BC47" s="60"/>
      <c r="BD47" s="60"/>
      <c r="BE47" s="60"/>
      <c r="BF47" s="60"/>
      <c r="BG47" s="61" t="s">
        <v>439</v>
      </c>
      <c r="BH47" s="60"/>
      <c r="BI47" s="60"/>
      <c r="BJ47" s="60"/>
      <c r="BK47" s="60"/>
      <c r="BL47" s="60"/>
      <c r="BM47" s="60"/>
      <c r="BN47" s="60"/>
      <c r="BO47" s="60"/>
      <c r="BP47" s="60"/>
      <c r="BQ47" s="60"/>
      <c r="BR47" s="60"/>
      <c r="BS47" s="60"/>
      <c r="BT47" s="60"/>
      <c r="BU47" s="60"/>
    </row>
    <row r="48" spans="1:73" x14ac:dyDescent="0.25">
      <c r="A48" s="51" t="s">
        <v>484</v>
      </c>
      <c r="B48" s="59" t="s">
        <v>346</v>
      </c>
      <c r="C48">
        <v>4</v>
      </c>
      <c r="D48" s="60"/>
      <c r="E48" s="61"/>
      <c r="F48" s="61" t="s">
        <v>439</v>
      </c>
      <c r="G48" s="61" t="s">
        <v>439</v>
      </c>
      <c r="H48" s="61" t="s">
        <v>439</v>
      </c>
      <c r="I48" s="61" t="s">
        <v>439</v>
      </c>
      <c r="J48" s="61" t="s">
        <v>439</v>
      </c>
      <c r="K48" s="61" t="s">
        <v>439</v>
      </c>
      <c r="L48" s="61" t="s">
        <v>439</v>
      </c>
      <c r="M48" s="61" t="s">
        <v>439</v>
      </c>
      <c r="N48" s="61" t="s">
        <v>439</v>
      </c>
      <c r="O48" s="61" t="s">
        <v>439</v>
      </c>
      <c r="P48" s="61" t="s">
        <v>439</v>
      </c>
      <c r="Q48" s="61" t="s">
        <v>439</v>
      </c>
      <c r="R48" s="61" t="s">
        <v>439</v>
      </c>
      <c r="S48" s="61" t="s">
        <v>439</v>
      </c>
      <c r="T48" s="60" t="s">
        <v>439</v>
      </c>
      <c r="U48" s="60" t="s">
        <v>439</v>
      </c>
      <c r="V48" s="60" t="s">
        <v>439</v>
      </c>
      <c r="W48" s="60" t="s">
        <v>439</v>
      </c>
      <c r="X48" s="60" t="s">
        <v>439</v>
      </c>
      <c r="Y48" s="60"/>
      <c r="Z48" s="60" t="s">
        <v>439</v>
      </c>
      <c r="AA48" s="60" t="s">
        <v>439</v>
      </c>
      <c r="AB48" s="60" t="s">
        <v>439</v>
      </c>
      <c r="AC48" s="60"/>
      <c r="AD48" s="60"/>
      <c r="AE48" s="60"/>
      <c r="AF48" s="60" t="s">
        <v>439</v>
      </c>
      <c r="AG48" s="60" t="s">
        <v>439</v>
      </c>
      <c r="AH48" s="60" t="s">
        <v>439</v>
      </c>
      <c r="AI48" s="60" t="s">
        <v>439</v>
      </c>
      <c r="AJ48" s="60" t="s">
        <v>439</v>
      </c>
      <c r="AK48" s="60" t="s">
        <v>439</v>
      </c>
      <c r="AL48" s="60" t="s">
        <v>439</v>
      </c>
      <c r="AM48" s="60" t="s">
        <v>439</v>
      </c>
      <c r="AN48" s="60" t="s">
        <v>439</v>
      </c>
      <c r="AO48" s="60" t="s">
        <v>439</v>
      </c>
      <c r="AP48" s="60" t="s">
        <v>439</v>
      </c>
      <c r="AQ48" s="60" t="s">
        <v>439</v>
      </c>
      <c r="AR48" s="60" t="s">
        <v>439</v>
      </c>
      <c r="AS48" s="60" t="s">
        <v>439</v>
      </c>
      <c r="AT48" s="60" t="s">
        <v>439</v>
      </c>
      <c r="AU48" s="60" t="s">
        <v>439</v>
      </c>
      <c r="AV48" s="60" t="s">
        <v>439</v>
      </c>
      <c r="AW48" s="60" t="s">
        <v>439</v>
      </c>
      <c r="AX48" s="60" t="s">
        <v>439</v>
      </c>
      <c r="AY48" s="60"/>
      <c r="AZ48" s="60"/>
      <c r="BA48" s="60"/>
      <c r="BB48" s="60"/>
      <c r="BC48" s="60"/>
      <c r="BD48" s="60"/>
      <c r="BE48" s="60"/>
      <c r="BF48" s="60"/>
      <c r="BG48" s="61" t="s">
        <v>439</v>
      </c>
      <c r="BH48" s="60"/>
      <c r="BI48" s="60"/>
      <c r="BJ48" s="60"/>
      <c r="BK48" s="60"/>
      <c r="BL48" s="60"/>
      <c r="BM48" s="60"/>
      <c r="BN48" s="60"/>
      <c r="BO48" s="60"/>
      <c r="BP48" s="60"/>
      <c r="BQ48" s="60"/>
      <c r="BR48" s="60"/>
      <c r="BS48" s="60"/>
      <c r="BT48" s="60"/>
      <c r="BU48" s="60"/>
    </row>
    <row r="49" spans="1:73" x14ac:dyDescent="0.25">
      <c r="A49" s="51" t="s">
        <v>485</v>
      </c>
      <c r="B49" s="59" t="s">
        <v>346</v>
      </c>
      <c r="C49">
        <v>4</v>
      </c>
      <c r="D49" s="60"/>
      <c r="E49" s="61"/>
      <c r="F49" s="61" t="s">
        <v>439</v>
      </c>
      <c r="G49" s="61" t="s">
        <v>439</v>
      </c>
      <c r="H49" s="61" t="s">
        <v>439</v>
      </c>
      <c r="I49" s="61" t="s">
        <v>439</v>
      </c>
      <c r="J49" s="61" t="s">
        <v>439</v>
      </c>
      <c r="K49" s="61" t="s">
        <v>439</v>
      </c>
      <c r="L49" s="61" t="s">
        <v>439</v>
      </c>
      <c r="M49" s="61" t="s">
        <v>439</v>
      </c>
      <c r="N49" s="61" t="s">
        <v>439</v>
      </c>
      <c r="O49" s="61" t="s">
        <v>439</v>
      </c>
      <c r="P49" s="61" t="s">
        <v>439</v>
      </c>
      <c r="Q49" s="61" t="s">
        <v>439</v>
      </c>
      <c r="R49" s="61" t="s">
        <v>439</v>
      </c>
      <c r="S49" s="61" t="s">
        <v>439</v>
      </c>
      <c r="T49" s="60" t="s">
        <v>439</v>
      </c>
      <c r="U49" s="60" t="s">
        <v>439</v>
      </c>
      <c r="V49" s="60" t="s">
        <v>439</v>
      </c>
      <c r="W49" s="60" t="s">
        <v>439</v>
      </c>
      <c r="X49" s="60" t="s">
        <v>439</v>
      </c>
      <c r="Y49" s="60"/>
      <c r="Z49" s="60" t="s">
        <v>439</v>
      </c>
      <c r="AA49" s="60" t="s">
        <v>439</v>
      </c>
      <c r="AB49" s="60" t="s">
        <v>439</v>
      </c>
      <c r="AC49" s="60"/>
      <c r="AD49" s="60"/>
      <c r="AE49" s="60"/>
      <c r="AF49" s="60" t="s">
        <v>439</v>
      </c>
      <c r="AG49" s="60" t="s">
        <v>439</v>
      </c>
      <c r="AH49" s="60" t="s">
        <v>439</v>
      </c>
      <c r="AI49" s="60" t="s">
        <v>439</v>
      </c>
      <c r="AJ49" s="60" t="s">
        <v>439</v>
      </c>
      <c r="AK49" s="60" t="s">
        <v>439</v>
      </c>
      <c r="AL49" s="60" t="s">
        <v>439</v>
      </c>
      <c r="AM49" s="60" t="s">
        <v>439</v>
      </c>
      <c r="AN49" s="60" t="s">
        <v>439</v>
      </c>
      <c r="AO49" s="60" t="s">
        <v>439</v>
      </c>
      <c r="AP49" s="60" t="s">
        <v>439</v>
      </c>
      <c r="AQ49" s="60" t="s">
        <v>439</v>
      </c>
      <c r="AR49" s="60" t="s">
        <v>439</v>
      </c>
      <c r="AS49" s="60" t="s">
        <v>439</v>
      </c>
      <c r="AT49" s="60" t="s">
        <v>439</v>
      </c>
      <c r="AU49" s="60" t="s">
        <v>439</v>
      </c>
      <c r="AV49" s="60" t="s">
        <v>439</v>
      </c>
      <c r="AW49" s="60" t="s">
        <v>439</v>
      </c>
      <c r="AX49" s="60" t="s">
        <v>439</v>
      </c>
      <c r="AY49" s="60"/>
      <c r="AZ49" s="60"/>
      <c r="BA49" s="60"/>
      <c r="BB49" s="60"/>
      <c r="BC49" s="60"/>
      <c r="BD49" s="60"/>
      <c r="BE49" s="60"/>
      <c r="BF49" s="60"/>
      <c r="BG49" s="61" t="s">
        <v>439</v>
      </c>
      <c r="BH49" s="60"/>
      <c r="BI49" s="60"/>
      <c r="BJ49" s="60"/>
      <c r="BK49" s="60"/>
      <c r="BL49" s="60"/>
      <c r="BM49" s="60"/>
      <c r="BN49" s="60"/>
      <c r="BO49" s="60"/>
      <c r="BP49" s="60"/>
      <c r="BQ49" s="60"/>
      <c r="BR49" s="60"/>
      <c r="BS49" s="60"/>
      <c r="BT49" s="60"/>
      <c r="BU49" s="60"/>
    </row>
    <row r="50" spans="1:73" ht="25" x14ac:dyDescent="0.25">
      <c r="A50" s="51" t="s">
        <v>981</v>
      </c>
      <c r="B50" s="59" t="s">
        <v>346</v>
      </c>
      <c r="C50">
        <v>4</v>
      </c>
      <c r="D50" s="60"/>
      <c r="E50" s="61"/>
      <c r="F50" s="61" t="s">
        <v>439</v>
      </c>
      <c r="G50" s="61" t="s">
        <v>439</v>
      </c>
      <c r="H50" s="61" t="s">
        <v>439</v>
      </c>
      <c r="I50" s="61" t="s">
        <v>439</v>
      </c>
      <c r="J50" s="61" t="s">
        <v>439</v>
      </c>
      <c r="K50" s="61" t="s">
        <v>439</v>
      </c>
      <c r="L50" s="61" t="s">
        <v>439</v>
      </c>
      <c r="M50" s="61" t="s">
        <v>439</v>
      </c>
      <c r="N50" s="61" t="s">
        <v>439</v>
      </c>
      <c r="O50" s="61" t="s">
        <v>439</v>
      </c>
      <c r="P50" s="61" t="s">
        <v>439</v>
      </c>
      <c r="Q50" s="61" t="s">
        <v>439</v>
      </c>
      <c r="R50" s="61" t="s">
        <v>439</v>
      </c>
      <c r="S50" s="61" t="s">
        <v>439</v>
      </c>
      <c r="T50" s="60" t="s">
        <v>439</v>
      </c>
      <c r="U50" s="60" t="s">
        <v>439</v>
      </c>
      <c r="V50" s="60" t="s">
        <v>439</v>
      </c>
      <c r="W50" s="60" t="s">
        <v>439</v>
      </c>
      <c r="X50" s="60" t="s">
        <v>439</v>
      </c>
      <c r="Y50" s="60"/>
      <c r="Z50" s="60"/>
      <c r="AA50" s="60"/>
      <c r="AB50" s="60"/>
      <c r="AC50" s="60" t="s">
        <v>439</v>
      </c>
      <c r="AD50" s="60"/>
      <c r="AE50" s="60"/>
      <c r="AF50" s="60" t="s">
        <v>439</v>
      </c>
      <c r="AG50" s="60" t="s">
        <v>439</v>
      </c>
      <c r="AH50" s="60" t="s">
        <v>439</v>
      </c>
      <c r="AI50" s="60" t="s">
        <v>439</v>
      </c>
      <c r="AJ50" s="60" t="s">
        <v>439</v>
      </c>
      <c r="AK50" s="60" t="s">
        <v>439</v>
      </c>
      <c r="AL50" s="60" t="s">
        <v>439</v>
      </c>
      <c r="AM50" s="60" t="s">
        <v>439</v>
      </c>
      <c r="AN50" s="60" t="s">
        <v>439</v>
      </c>
      <c r="AO50" s="60" t="s">
        <v>439</v>
      </c>
      <c r="AP50" s="60" t="s">
        <v>439</v>
      </c>
      <c r="AQ50" s="60" t="s">
        <v>439</v>
      </c>
      <c r="AR50" s="60" t="s">
        <v>439</v>
      </c>
      <c r="AS50" s="60" t="s">
        <v>439</v>
      </c>
      <c r="AT50" s="60" t="s">
        <v>439</v>
      </c>
      <c r="AU50" s="60" t="s">
        <v>439</v>
      </c>
      <c r="AV50" s="60" t="s">
        <v>439</v>
      </c>
      <c r="AW50" s="60" t="s">
        <v>439</v>
      </c>
      <c r="AX50" s="60" t="s">
        <v>439</v>
      </c>
      <c r="AY50" s="60"/>
      <c r="AZ50" s="60"/>
      <c r="BA50" s="60"/>
      <c r="BB50" s="60"/>
      <c r="BC50" s="60"/>
      <c r="BD50" s="60"/>
      <c r="BE50" s="60"/>
      <c r="BF50" s="60"/>
      <c r="BG50" s="61" t="s">
        <v>439</v>
      </c>
      <c r="BH50" s="60"/>
      <c r="BI50" s="60"/>
      <c r="BJ50" s="60"/>
      <c r="BK50" s="60"/>
      <c r="BL50" s="60"/>
      <c r="BM50" s="60"/>
      <c r="BN50" s="60"/>
      <c r="BO50" s="60"/>
      <c r="BP50" s="60"/>
      <c r="BQ50" s="60"/>
      <c r="BR50" s="60"/>
      <c r="BS50" s="60"/>
      <c r="BT50" s="60"/>
      <c r="BU50" s="60"/>
    </row>
    <row r="51" spans="1:73" x14ac:dyDescent="0.25">
      <c r="A51" s="51" t="s">
        <v>995</v>
      </c>
      <c r="B51" s="59" t="s">
        <v>346</v>
      </c>
      <c r="C51">
        <v>4</v>
      </c>
      <c r="D51" s="60"/>
      <c r="E51" s="61"/>
      <c r="F51" s="61" t="s">
        <v>439</v>
      </c>
      <c r="G51" s="61" t="s">
        <v>439</v>
      </c>
      <c r="H51" s="61" t="s">
        <v>439</v>
      </c>
      <c r="I51" s="61" t="s">
        <v>439</v>
      </c>
      <c r="J51" s="61" t="s">
        <v>439</v>
      </c>
      <c r="K51" s="61" t="s">
        <v>439</v>
      </c>
      <c r="L51" s="61" t="s">
        <v>439</v>
      </c>
      <c r="M51" s="61" t="s">
        <v>439</v>
      </c>
      <c r="N51" s="61" t="s">
        <v>439</v>
      </c>
      <c r="O51" s="61" t="s">
        <v>439</v>
      </c>
      <c r="P51" s="61" t="s">
        <v>439</v>
      </c>
      <c r="Q51" s="61" t="s">
        <v>439</v>
      </c>
      <c r="R51" s="61" t="s">
        <v>439</v>
      </c>
      <c r="S51" s="61" t="s">
        <v>439</v>
      </c>
      <c r="T51" s="60" t="s">
        <v>439</v>
      </c>
      <c r="U51" s="60" t="s">
        <v>439</v>
      </c>
      <c r="V51" s="60" t="s">
        <v>439</v>
      </c>
      <c r="W51" s="60" t="s">
        <v>439</v>
      </c>
      <c r="X51" s="60" t="s">
        <v>439</v>
      </c>
      <c r="Y51" s="60"/>
      <c r="Z51" s="60"/>
      <c r="AA51" s="60"/>
      <c r="AB51" s="60"/>
      <c r="AC51" s="60"/>
      <c r="AD51" s="60"/>
      <c r="AE51" s="60"/>
      <c r="AF51" s="60" t="s">
        <v>439</v>
      </c>
      <c r="AG51" s="60" t="s">
        <v>439</v>
      </c>
      <c r="AH51" s="60" t="s">
        <v>439</v>
      </c>
      <c r="AI51" s="60" t="s">
        <v>439</v>
      </c>
      <c r="AJ51" s="60" t="s">
        <v>439</v>
      </c>
      <c r="AK51" s="60" t="s">
        <v>439</v>
      </c>
      <c r="AL51" s="60" t="s">
        <v>439</v>
      </c>
      <c r="AM51" s="60" t="s">
        <v>439</v>
      </c>
      <c r="AN51" s="60" t="s">
        <v>439</v>
      </c>
      <c r="AO51" s="60" t="s">
        <v>439</v>
      </c>
      <c r="AP51" s="60" t="s">
        <v>439</v>
      </c>
      <c r="AQ51" s="60" t="s">
        <v>439</v>
      </c>
      <c r="AR51" s="60" t="s">
        <v>439</v>
      </c>
      <c r="AS51" s="60" t="s">
        <v>439</v>
      </c>
      <c r="AT51" s="60" t="s">
        <v>439</v>
      </c>
      <c r="AU51" s="60" t="s">
        <v>439</v>
      </c>
      <c r="AV51" s="60" t="s">
        <v>439</v>
      </c>
      <c r="AW51" s="60" t="s">
        <v>439</v>
      </c>
      <c r="AX51" s="60" t="s">
        <v>439</v>
      </c>
      <c r="AY51" s="60"/>
      <c r="AZ51" s="60"/>
      <c r="BA51" s="60"/>
      <c r="BB51" s="60"/>
      <c r="BC51" s="60"/>
      <c r="BD51" s="60"/>
      <c r="BE51" s="60"/>
      <c r="BF51" s="60"/>
      <c r="BG51" s="61" t="s">
        <v>439</v>
      </c>
      <c r="BH51" s="60"/>
      <c r="BI51" s="60"/>
      <c r="BJ51" s="60"/>
      <c r="BK51" s="60"/>
      <c r="BL51" s="60"/>
      <c r="BM51" s="60"/>
      <c r="BN51" s="60"/>
      <c r="BO51" s="60"/>
      <c r="BP51" s="60"/>
      <c r="BQ51" s="60"/>
      <c r="BR51" s="60"/>
      <c r="BS51" s="60"/>
      <c r="BT51" s="60"/>
      <c r="BU51" s="60"/>
    </row>
    <row r="52" spans="1:73" x14ac:dyDescent="0.25">
      <c r="A52" s="51" t="s">
        <v>486</v>
      </c>
      <c r="B52" s="59" t="s">
        <v>346</v>
      </c>
      <c r="C52">
        <v>4</v>
      </c>
      <c r="D52" s="60"/>
      <c r="E52" s="61"/>
      <c r="F52" s="61" t="s">
        <v>439</v>
      </c>
      <c r="G52" s="61" t="s">
        <v>439</v>
      </c>
      <c r="H52" s="61" t="s">
        <v>439</v>
      </c>
      <c r="I52" s="61" t="s">
        <v>439</v>
      </c>
      <c r="J52" s="61" t="s">
        <v>439</v>
      </c>
      <c r="K52" s="61" t="s">
        <v>439</v>
      </c>
      <c r="L52" s="61" t="s">
        <v>439</v>
      </c>
      <c r="M52" s="61" t="s">
        <v>439</v>
      </c>
      <c r="N52" s="61" t="s">
        <v>439</v>
      </c>
      <c r="O52" s="61" t="s">
        <v>439</v>
      </c>
      <c r="P52" s="61" t="s">
        <v>439</v>
      </c>
      <c r="Q52" s="61" t="s">
        <v>439</v>
      </c>
      <c r="R52" s="61" t="s">
        <v>439</v>
      </c>
      <c r="S52" s="61" t="s">
        <v>439</v>
      </c>
      <c r="T52" s="60" t="s">
        <v>439</v>
      </c>
      <c r="U52" s="60" t="s">
        <v>439</v>
      </c>
      <c r="V52" s="60" t="s">
        <v>439</v>
      </c>
      <c r="W52" s="60" t="s">
        <v>439</v>
      </c>
      <c r="X52" s="60" t="s">
        <v>439</v>
      </c>
      <c r="Y52" s="60"/>
      <c r="Z52" s="60"/>
      <c r="AA52" s="60"/>
      <c r="AB52" s="60"/>
      <c r="AC52" s="60"/>
      <c r="AD52" s="60"/>
      <c r="AE52" s="60" t="s">
        <v>439</v>
      </c>
      <c r="AF52" s="60" t="s">
        <v>439</v>
      </c>
      <c r="AG52" s="60" t="s">
        <v>439</v>
      </c>
      <c r="AH52" s="60" t="s">
        <v>439</v>
      </c>
      <c r="AI52" s="60" t="s">
        <v>439</v>
      </c>
      <c r="AJ52" s="60" t="s">
        <v>439</v>
      </c>
      <c r="AK52" s="60" t="s">
        <v>439</v>
      </c>
      <c r="AL52" s="60" t="s">
        <v>439</v>
      </c>
      <c r="AM52" s="60" t="s">
        <v>439</v>
      </c>
      <c r="AN52" s="60" t="s">
        <v>439</v>
      </c>
      <c r="AO52" s="60" t="s">
        <v>439</v>
      </c>
      <c r="AP52" s="60" t="s">
        <v>439</v>
      </c>
      <c r="AQ52" s="60" t="s">
        <v>439</v>
      </c>
      <c r="AR52" s="60" t="s">
        <v>439</v>
      </c>
      <c r="AS52" s="60" t="s">
        <v>439</v>
      </c>
      <c r="AT52" s="60" t="s">
        <v>439</v>
      </c>
      <c r="AU52" s="60" t="s">
        <v>439</v>
      </c>
      <c r="AV52" s="60" t="s">
        <v>439</v>
      </c>
      <c r="AW52" s="60" t="s">
        <v>439</v>
      </c>
      <c r="AX52" s="60" t="s">
        <v>439</v>
      </c>
      <c r="AY52" s="60"/>
      <c r="AZ52" s="60"/>
      <c r="BA52" s="60"/>
      <c r="BB52" s="60"/>
      <c r="BC52" s="60"/>
      <c r="BD52" s="60"/>
      <c r="BE52" s="60"/>
      <c r="BF52" s="60"/>
      <c r="BG52" s="61" t="s">
        <v>439</v>
      </c>
      <c r="BH52" s="60"/>
      <c r="BI52" s="60"/>
      <c r="BJ52" s="60"/>
      <c r="BK52" s="60"/>
      <c r="BL52" s="60"/>
      <c r="BM52" s="60"/>
      <c r="BN52" s="60"/>
      <c r="BO52" s="60"/>
      <c r="BP52" s="60"/>
      <c r="BQ52" s="60"/>
      <c r="BR52" s="60"/>
      <c r="BS52" s="60"/>
      <c r="BT52" s="60"/>
      <c r="BU52" s="60"/>
    </row>
    <row r="53" spans="1:73" x14ac:dyDescent="0.25">
      <c r="A53" s="51" t="s">
        <v>487</v>
      </c>
      <c r="B53" s="59" t="s">
        <v>346</v>
      </c>
      <c r="C53">
        <v>4</v>
      </c>
      <c r="D53" s="60"/>
      <c r="E53" s="61"/>
      <c r="F53" s="61" t="s">
        <v>439</v>
      </c>
      <c r="G53" s="61" t="s">
        <v>439</v>
      </c>
      <c r="H53" s="61" t="s">
        <v>439</v>
      </c>
      <c r="I53" s="61" t="s">
        <v>439</v>
      </c>
      <c r="J53" s="61" t="s">
        <v>439</v>
      </c>
      <c r="K53" s="61" t="s">
        <v>439</v>
      </c>
      <c r="L53" s="61" t="s">
        <v>439</v>
      </c>
      <c r="M53" s="61" t="s">
        <v>439</v>
      </c>
      <c r="N53" s="61" t="s">
        <v>439</v>
      </c>
      <c r="O53" s="61" t="s">
        <v>439</v>
      </c>
      <c r="P53" s="61" t="s">
        <v>439</v>
      </c>
      <c r="Q53" s="61" t="s">
        <v>439</v>
      </c>
      <c r="R53" s="61" t="s">
        <v>439</v>
      </c>
      <c r="S53" s="61" t="s">
        <v>439</v>
      </c>
      <c r="T53" s="60" t="s">
        <v>439</v>
      </c>
      <c r="U53" s="60" t="s">
        <v>439</v>
      </c>
      <c r="V53" s="60" t="s">
        <v>439</v>
      </c>
      <c r="W53" s="60" t="s">
        <v>439</v>
      </c>
      <c r="X53" s="60" t="s">
        <v>439</v>
      </c>
      <c r="Y53" s="60"/>
      <c r="Z53" s="60" t="s">
        <v>439</v>
      </c>
      <c r="AA53" s="60" t="s">
        <v>439</v>
      </c>
      <c r="AB53" s="60"/>
      <c r="AC53" s="60"/>
      <c r="AD53" s="60"/>
      <c r="AE53" s="60"/>
      <c r="AF53" s="60" t="s">
        <v>439</v>
      </c>
      <c r="AG53" s="60" t="s">
        <v>439</v>
      </c>
      <c r="AH53" s="60" t="s">
        <v>439</v>
      </c>
      <c r="AI53" s="60" t="s">
        <v>439</v>
      </c>
      <c r="AJ53" s="60" t="s">
        <v>439</v>
      </c>
      <c r="AK53" s="60" t="s">
        <v>439</v>
      </c>
      <c r="AL53" s="60" t="s">
        <v>439</v>
      </c>
      <c r="AM53" s="60" t="s">
        <v>439</v>
      </c>
      <c r="AN53" s="60" t="s">
        <v>439</v>
      </c>
      <c r="AO53" s="60" t="s">
        <v>439</v>
      </c>
      <c r="AP53" s="60" t="s">
        <v>439</v>
      </c>
      <c r="AQ53" s="60" t="s">
        <v>439</v>
      </c>
      <c r="AR53" s="60" t="s">
        <v>439</v>
      </c>
      <c r="AS53" s="60" t="s">
        <v>439</v>
      </c>
      <c r="AT53" s="60" t="s">
        <v>439</v>
      </c>
      <c r="AU53" s="60" t="s">
        <v>439</v>
      </c>
      <c r="AV53" s="60" t="s">
        <v>439</v>
      </c>
      <c r="AW53" s="60" t="s">
        <v>439</v>
      </c>
      <c r="AX53" s="60" t="s">
        <v>439</v>
      </c>
      <c r="AY53" s="60"/>
      <c r="AZ53" s="60"/>
      <c r="BA53" s="60"/>
      <c r="BB53" s="60"/>
      <c r="BC53" s="60"/>
      <c r="BD53" s="60"/>
      <c r="BE53" s="60"/>
      <c r="BF53" s="60"/>
      <c r="BG53" s="61" t="s">
        <v>439</v>
      </c>
      <c r="BH53" s="60"/>
      <c r="BI53" s="60"/>
      <c r="BJ53" s="60"/>
      <c r="BK53" s="60"/>
      <c r="BL53" s="60"/>
      <c r="BM53" s="60"/>
      <c r="BN53" s="60"/>
      <c r="BO53" s="60"/>
      <c r="BP53" s="60"/>
      <c r="BQ53" s="60"/>
      <c r="BR53" s="60"/>
      <c r="BS53" s="60"/>
      <c r="BT53" s="60"/>
      <c r="BU53" s="60"/>
    </row>
    <row r="54" spans="1:73" ht="25" x14ac:dyDescent="0.25">
      <c r="A54" s="51" t="s">
        <v>989</v>
      </c>
      <c r="B54" s="59" t="s">
        <v>492</v>
      </c>
      <c r="C54">
        <v>5</v>
      </c>
      <c r="D54" s="60"/>
      <c r="E54" s="61"/>
      <c r="F54" s="61" t="s">
        <v>439</v>
      </c>
      <c r="G54" s="61" t="s">
        <v>439</v>
      </c>
      <c r="H54" s="61" t="s">
        <v>439</v>
      </c>
      <c r="I54" s="61" t="s">
        <v>439</v>
      </c>
      <c r="J54" s="61" t="s">
        <v>439</v>
      </c>
      <c r="K54" s="61" t="s">
        <v>439</v>
      </c>
      <c r="L54" s="61" t="s">
        <v>439</v>
      </c>
      <c r="M54" s="61" t="s">
        <v>439</v>
      </c>
      <c r="N54" s="61" t="s">
        <v>439</v>
      </c>
      <c r="O54" s="61" t="s">
        <v>439</v>
      </c>
      <c r="P54" s="61" t="s">
        <v>439</v>
      </c>
      <c r="Q54" s="61" t="s">
        <v>439</v>
      </c>
      <c r="R54" s="60" t="s">
        <v>439</v>
      </c>
      <c r="S54" s="60" t="s">
        <v>439</v>
      </c>
      <c r="T54" s="60"/>
      <c r="U54" s="60" t="s">
        <v>439</v>
      </c>
      <c r="V54" s="60" t="s">
        <v>439</v>
      </c>
      <c r="W54" s="60" t="s">
        <v>439</v>
      </c>
      <c r="X54" s="60" t="s">
        <v>439</v>
      </c>
      <c r="Y54" s="60" t="s">
        <v>439</v>
      </c>
      <c r="Z54" s="60" t="s">
        <v>439</v>
      </c>
      <c r="AA54" s="60" t="s">
        <v>439</v>
      </c>
      <c r="AB54" s="60" t="s">
        <v>439</v>
      </c>
      <c r="AC54" s="60" t="s">
        <v>439</v>
      </c>
      <c r="AD54" s="60" t="s">
        <v>439</v>
      </c>
      <c r="AE54" s="60" t="s">
        <v>439</v>
      </c>
      <c r="AF54" s="60" t="s">
        <v>439</v>
      </c>
      <c r="AG54" s="60" t="s">
        <v>439</v>
      </c>
      <c r="AH54" s="60" t="s">
        <v>439</v>
      </c>
      <c r="AI54" s="60" t="s">
        <v>439</v>
      </c>
      <c r="AJ54" s="60" t="s">
        <v>439</v>
      </c>
      <c r="AK54" s="60" t="s">
        <v>439</v>
      </c>
      <c r="AL54" s="60" t="s">
        <v>439</v>
      </c>
      <c r="AM54" s="60" t="s">
        <v>439</v>
      </c>
      <c r="AN54" s="61" t="s">
        <v>439</v>
      </c>
      <c r="AO54" s="60"/>
      <c r="AP54" s="60"/>
      <c r="AQ54" s="60"/>
      <c r="AR54" s="60"/>
      <c r="AS54" s="60"/>
      <c r="AT54" s="60"/>
      <c r="AU54" s="60"/>
      <c r="AV54" s="60"/>
      <c r="AW54" s="60"/>
      <c r="AX54" s="60"/>
      <c r="AY54" s="60"/>
      <c r="AZ54" s="60"/>
      <c r="BA54" s="60"/>
      <c r="BB54" s="60"/>
      <c r="BC54" s="60"/>
      <c r="BD54" s="60"/>
      <c r="BE54" s="60"/>
      <c r="BF54" s="60"/>
      <c r="BH54" s="60"/>
      <c r="BI54" s="60"/>
      <c r="BJ54" s="60"/>
      <c r="BK54" s="60"/>
      <c r="BL54" s="60"/>
      <c r="BM54" s="60"/>
      <c r="BN54" s="60"/>
      <c r="BO54" s="60"/>
      <c r="BP54" s="60"/>
      <c r="BQ54" s="60"/>
      <c r="BR54" s="60"/>
      <c r="BS54" s="60"/>
      <c r="BT54" s="60"/>
      <c r="BU54" s="60"/>
    </row>
    <row r="55" spans="1:73" x14ac:dyDescent="0.25">
      <c r="A55" s="51" t="s">
        <v>488</v>
      </c>
      <c r="B55" s="59" t="s">
        <v>492</v>
      </c>
      <c r="C55">
        <v>5</v>
      </c>
      <c r="D55" s="60"/>
      <c r="E55" s="61"/>
      <c r="F55" s="61" t="s">
        <v>439</v>
      </c>
      <c r="G55" s="61" t="s">
        <v>439</v>
      </c>
      <c r="H55" s="61" t="s">
        <v>439</v>
      </c>
      <c r="I55" s="61" t="s">
        <v>439</v>
      </c>
      <c r="J55" s="61" t="s">
        <v>439</v>
      </c>
      <c r="K55" s="61" t="s">
        <v>439</v>
      </c>
      <c r="L55" s="61" t="s">
        <v>439</v>
      </c>
      <c r="M55" s="61" t="s">
        <v>439</v>
      </c>
      <c r="N55" s="61" t="s">
        <v>439</v>
      </c>
      <c r="O55" s="61" t="s">
        <v>439</v>
      </c>
      <c r="P55" s="61" t="s">
        <v>439</v>
      </c>
      <c r="Q55" s="61" t="s">
        <v>439</v>
      </c>
      <c r="R55" s="60" t="s">
        <v>439</v>
      </c>
      <c r="S55" s="60"/>
      <c r="T55" s="60" t="s">
        <v>439</v>
      </c>
      <c r="U55" s="60" t="s">
        <v>439</v>
      </c>
      <c r="V55" s="60" t="s">
        <v>439</v>
      </c>
      <c r="W55" s="60" t="s">
        <v>439</v>
      </c>
      <c r="X55" s="60" t="s">
        <v>439</v>
      </c>
      <c r="Y55" s="60" t="s">
        <v>439</v>
      </c>
      <c r="Z55" s="60" t="s">
        <v>439</v>
      </c>
      <c r="AA55" s="60" t="s">
        <v>439</v>
      </c>
      <c r="AB55" s="60" t="s">
        <v>439</v>
      </c>
      <c r="AC55" s="60" t="s">
        <v>439</v>
      </c>
      <c r="AD55" s="60" t="s">
        <v>439</v>
      </c>
      <c r="AE55" s="60" t="s">
        <v>439</v>
      </c>
      <c r="AF55" s="60" t="s">
        <v>439</v>
      </c>
      <c r="AG55" s="60" t="s">
        <v>439</v>
      </c>
      <c r="AH55" s="60" t="s">
        <v>439</v>
      </c>
      <c r="AI55" s="60" t="s">
        <v>439</v>
      </c>
      <c r="AJ55" s="60" t="s">
        <v>439</v>
      </c>
      <c r="AK55" s="60" t="s">
        <v>439</v>
      </c>
      <c r="AL55" s="60" t="s">
        <v>439</v>
      </c>
      <c r="AM55" s="60" t="s">
        <v>439</v>
      </c>
      <c r="AN55" s="61" t="s">
        <v>439</v>
      </c>
      <c r="AO55" s="60"/>
      <c r="AP55" s="60"/>
      <c r="AQ55" s="60"/>
      <c r="AR55" s="60"/>
      <c r="AS55" s="60"/>
      <c r="AT55" s="60"/>
      <c r="AU55" s="60"/>
      <c r="AV55" s="60"/>
      <c r="AW55" s="60"/>
      <c r="AX55" s="60"/>
      <c r="AY55" s="60"/>
      <c r="AZ55" s="60"/>
      <c r="BA55" s="60"/>
      <c r="BB55" s="60"/>
      <c r="BC55" s="60"/>
      <c r="BD55" s="60"/>
      <c r="BE55" s="60"/>
      <c r="BF55" s="60"/>
      <c r="BH55" s="60"/>
      <c r="BI55" s="60"/>
      <c r="BJ55" s="60"/>
      <c r="BK55" s="60"/>
      <c r="BL55" s="60"/>
      <c r="BM55" s="60"/>
      <c r="BN55" s="60"/>
      <c r="BO55" s="60"/>
      <c r="BP55" s="60"/>
      <c r="BQ55" s="60"/>
      <c r="BR55" s="60"/>
      <c r="BS55" s="60"/>
      <c r="BT55" s="60"/>
      <c r="BU55" s="60"/>
    </row>
    <row r="56" spans="1:73" x14ac:dyDescent="0.25">
      <c r="A56" s="51" t="s">
        <v>489</v>
      </c>
      <c r="B56" s="59" t="s">
        <v>492</v>
      </c>
      <c r="C56">
        <v>5</v>
      </c>
      <c r="D56" s="60"/>
      <c r="E56" s="61"/>
      <c r="F56" s="61" t="s">
        <v>439</v>
      </c>
      <c r="G56" s="61" t="s">
        <v>439</v>
      </c>
      <c r="H56" s="61" t="s">
        <v>439</v>
      </c>
      <c r="I56" s="61" t="s">
        <v>439</v>
      </c>
      <c r="J56" s="61" t="s">
        <v>439</v>
      </c>
      <c r="K56" s="61" t="s">
        <v>439</v>
      </c>
      <c r="L56" s="61" t="s">
        <v>439</v>
      </c>
      <c r="M56" s="61" t="s">
        <v>439</v>
      </c>
      <c r="N56" s="61" t="s">
        <v>439</v>
      </c>
      <c r="O56" s="61" t="s">
        <v>439</v>
      </c>
      <c r="P56" s="61" t="s">
        <v>439</v>
      </c>
      <c r="Q56" s="61" t="s">
        <v>439</v>
      </c>
      <c r="R56" s="60" t="s">
        <v>439</v>
      </c>
      <c r="S56" s="60"/>
      <c r="T56" s="60"/>
      <c r="U56" s="60" t="s">
        <v>439</v>
      </c>
      <c r="V56" s="60" t="s">
        <v>439</v>
      </c>
      <c r="W56" s="60" t="s">
        <v>439</v>
      </c>
      <c r="X56" s="60" t="s">
        <v>439</v>
      </c>
      <c r="Y56" s="60" t="s">
        <v>439</v>
      </c>
      <c r="Z56" s="60" t="s">
        <v>439</v>
      </c>
      <c r="AA56" s="60" t="s">
        <v>439</v>
      </c>
      <c r="AB56" s="60" t="s">
        <v>439</v>
      </c>
      <c r="AC56" s="60" t="s">
        <v>439</v>
      </c>
      <c r="AD56" s="60" t="s">
        <v>439</v>
      </c>
      <c r="AE56" s="60" t="s">
        <v>439</v>
      </c>
      <c r="AF56" s="60" t="s">
        <v>439</v>
      </c>
      <c r="AG56" s="60" t="s">
        <v>439</v>
      </c>
      <c r="AH56" s="60" t="s">
        <v>439</v>
      </c>
      <c r="AI56" s="60" t="s">
        <v>439</v>
      </c>
      <c r="AJ56" s="60" t="s">
        <v>439</v>
      </c>
      <c r="AK56" s="60" t="s">
        <v>439</v>
      </c>
      <c r="AL56" s="60" t="s">
        <v>439</v>
      </c>
      <c r="AM56" s="60" t="s">
        <v>439</v>
      </c>
      <c r="AN56" s="61" t="s">
        <v>439</v>
      </c>
      <c r="AO56" s="60"/>
      <c r="AP56" s="60"/>
      <c r="AQ56" s="60"/>
      <c r="AR56" s="60"/>
      <c r="AS56" s="60"/>
      <c r="AT56" s="60"/>
      <c r="AU56" s="60"/>
      <c r="AV56" s="60"/>
      <c r="AW56" s="60"/>
      <c r="AX56" s="60"/>
      <c r="AY56" s="60"/>
      <c r="AZ56" s="60"/>
      <c r="BA56" s="60"/>
      <c r="BB56" s="60"/>
      <c r="BC56" s="60"/>
      <c r="BD56" s="60"/>
      <c r="BE56" s="60"/>
      <c r="BF56" s="60"/>
      <c r="BH56" s="60"/>
      <c r="BI56" s="60"/>
      <c r="BJ56" s="60"/>
      <c r="BK56" s="60"/>
      <c r="BL56" s="60"/>
      <c r="BM56" s="60"/>
      <c r="BN56" s="60"/>
      <c r="BO56" s="60"/>
      <c r="BP56" s="60"/>
      <c r="BQ56" s="60"/>
      <c r="BR56" s="60"/>
      <c r="BS56" s="60"/>
      <c r="BT56" s="60"/>
      <c r="BU56" s="60"/>
    </row>
    <row r="57" spans="1:73" x14ac:dyDescent="0.25">
      <c r="A57" s="51" t="s">
        <v>490</v>
      </c>
      <c r="B57" s="59" t="s">
        <v>492</v>
      </c>
      <c r="C57">
        <v>5</v>
      </c>
      <c r="D57" s="60"/>
      <c r="E57" s="61"/>
      <c r="F57" s="61" t="s">
        <v>439</v>
      </c>
      <c r="G57" s="61" t="s">
        <v>439</v>
      </c>
      <c r="H57" s="61" t="s">
        <v>439</v>
      </c>
      <c r="I57" s="61" t="s">
        <v>439</v>
      </c>
      <c r="J57" s="61" t="s">
        <v>439</v>
      </c>
      <c r="K57" s="61" t="s">
        <v>439</v>
      </c>
      <c r="L57" s="61" t="s">
        <v>439</v>
      </c>
      <c r="M57" s="61" t="s">
        <v>439</v>
      </c>
      <c r="N57" s="61" t="s">
        <v>439</v>
      </c>
      <c r="O57" s="61" t="s">
        <v>439</v>
      </c>
      <c r="P57" s="61" t="s">
        <v>439</v>
      </c>
      <c r="Q57" s="61" t="s">
        <v>439</v>
      </c>
      <c r="R57" s="60" t="s">
        <v>439</v>
      </c>
      <c r="S57" s="60"/>
      <c r="T57" s="60"/>
      <c r="U57" s="60" t="s">
        <v>439</v>
      </c>
      <c r="V57" s="60" t="s">
        <v>439</v>
      </c>
      <c r="W57" s="60" t="s">
        <v>439</v>
      </c>
      <c r="X57" s="60" t="s">
        <v>439</v>
      </c>
      <c r="Y57" s="60" t="s">
        <v>439</v>
      </c>
      <c r="Z57" s="60" t="s">
        <v>439</v>
      </c>
      <c r="AA57" s="60" t="s">
        <v>439</v>
      </c>
      <c r="AB57" s="60" t="s">
        <v>439</v>
      </c>
      <c r="AC57" s="60" t="s">
        <v>439</v>
      </c>
      <c r="AD57" s="60" t="s">
        <v>439</v>
      </c>
      <c r="AE57" s="60" t="s">
        <v>439</v>
      </c>
      <c r="AF57" s="60" t="s">
        <v>439</v>
      </c>
      <c r="AG57" s="60" t="s">
        <v>439</v>
      </c>
      <c r="AH57" s="60" t="s">
        <v>439</v>
      </c>
      <c r="AI57" s="60" t="s">
        <v>439</v>
      </c>
      <c r="AJ57" s="60" t="s">
        <v>439</v>
      </c>
      <c r="AK57" s="60" t="s">
        <v>439</v>
      </c>
      <c r="AL57" s="60" t="s">
        <v>439</v>
      </c>
      <c r="AM57" s="60" t="s">
        <v>439</v>
      </c>
      <c r="AN57" s="61" t="s">
        <v>439</v>
      </c>
      <c r="AO57" s="60"/>
      <c r="AP57" s="60"/>
      <c r="AQ57" s="60"/>
      <c r="AR57" s="60"/>
      <c r="AS57" s="60"/>
      <c r="AT57" s="60"/>
      <c r="AU57" s="60"/>
      <c r="AV57" s="60"/>
      <c r="AW57" s="60"/>
      <c r="AX57" s="60"/>
      <c r="AY57" s="60"/>
      <c r="AZ57" s="60"/>
      <c r="BA57" s="60"/>
      <c r="BB57" s="60"/>
      <c r="BC57" s="60"/>
      <c r="BD57" s="60"/>
      <c r="BE57" s="60"/>
      <c r="BF57" s="60"/>
      <c r="BH57" s="60"/>
      <c r="BI57" s="60"/>
      <c r="BJ57" s="60"/>
      <c r="BK57" s="60"/>
      <c r="BL57" s="60"/>
      <c r="BM57" s="60"/>
      <c r="BN57" s="60"/>
      <c r="BO57" s="60"/>
      <c r="BP57" s="60"/>
      <c r="BQ57" s="60"/>
      <c r="BR57" s="60"/>
      <c r="BS57" s="60"/>
      <c r="BT57" s="60"/>
      <c r="BU57" s="60"/>
    </row>
    <row r="58" spans="1:73" x14ac:dyDescent="0.25">
      <c r="A58" s="51" t="s">
        <v>491</v>
      </c>
      <c r="B58" s="59" t="s">
        <v>492</v>
      </c>
      <c r="C58">
        <v>5</v>
      </c>
      <c r="D58" s="60"/>
      <c r="E58" s="61"/>
      <c r="F58" s="61" t="s">
        <v>439</v>
      </c>
      <c r="G58" s="61" t="s">
        <v>439</v>
      </c>
      <c r="H58" s="61" t="s">
        <v>439</v>
      </c>
      <c r="I58" s="61" t="s">
        <v>439</v>
      </c>
      <c r="J58" s="61" t="s">
        <v>439</v>
      </c>
      <c r="K58" s="61" t="s">
        <v>439</v>
      </c>
      <c r="L58" s="61" t="s">
        <v>439</v>
      </c>
      <c r="M58" s="61" t="s">
        <v>439</v>
      </c>
      <c r="N58" s="61" t="s">
        <v>439</v>
      </c>
      <c r="O58" s="61" t="s">
        <v>439</v>
      </c>
      <c r="P58" s="61" t="s">
        <v>439</v>
      </c>
      <c r="Q58" s="61" t="s">
        <v>439</v>
      </c>
      <c r="R58" s="60" t="s">
        <v>439</v>
      </c>
      <c r="S58" s="60"/>
      <c r="T58" s="60"/>
      <c r="U58" s="60" t="s">
        <v>439</v>
      </c>
      <c r="V58" s="60" t="s">
        <v>439</v>
      </c>
      <c r="W58" s="60" t="s">
        <v>439</v>
      </c>
      <c r="X58" s="60" t="s">
        <v>439</v>
      </c>
      <c r="Y58" s="60" t="s">
        <v>439</v>
      </c>
      <c r="Z58" s="60" t="s">
        <v>439</v>
      </c>
      <c r="AA58" s="60" t="s">
        <v>439</v>
      </c>
      <c r="AB58" s="60" t="s">
        <v>439</v>
      </c>
      <c r="AC58" s="60" t="s">
        <v>439</v>
      </c>
      <c r="AD58" s="60" t="s">
        <v>439</v>
      </c>
      <c r="AE58" s="60" t="s">
        <v>439</v>
      </c>
      <c r="AF58" s="60" t="s">
        <v>439</v>
      </c>
      <c r="AG58" s="60" t="s">
        <v>439</v>
      </c>
      <c r="AH58" s="60" t="s">
        <v>439</v>
      </c>
      <c r="AI58" s="60" t="s">
        <v>439</v>
      </c>
      <c r="AJ58" s="60" t="s">
        <v>439</v>
      </c>
      <c r="AK58" s="60" t="s">
        <v>439</v>
      </c>
      <c r="AL58" s="60" t="s">
        <v>439</v>
      </c>
      <c r="AM58" s="60" t="s">
        <v>439</v>
      </c>
      <c r="AN58" s="61" t="s">
        <v>439</v>
      </c>
      <c r="AO58" s="60"/>
      <c r="AP58" s="60"/>
      <c r="AQ58" s="60"/>
      <c r="AR58" s="60"/>
      <c r="AS58" s="60"/>
      <c r="AT58" s="60"/>
      <c r="AU58" s="60"/>
      <c r="AV58" s="60"/>
      <c r="AW58" s="60"/>
      <c r="AX58" s="60"/>
      <c r="AY58" s="60"/>
      <c r="AZ58" s="60"/>
      <c r="BA58" s="60"/>
      <c r="BB58" s="60"/>
      <c r="BC58" s="60"/>
      <c r="BD58" s="60"/>
      <c r="BE58" s="60"/>
      <c r="BF58" s="60"/>
      <c r="BH58" s="60"/>
      <c r="BI58" s="60"/>
      <c r="BJ58" s="60"/>
      <c r="BK58" s="60"/>
      <c r="BL58" s="60"/>
      <c r="BM58" s="60"/>
      <c r="BN58" s="60"/>
      <c r="BO58" s="60"/>
      <c r="BP58" s="60"/>
      <c r="BQ58" s="60"/>
      <c r="BR58" s="60"/>
      <c r="BS58" s="60"/>
      <c r="BT58" s="60"/>
      <c r="BU58" s="60"/>
    </row>
    <row r="59" spans="1:73" x14ac:dyDescent="0.25">
      <c r="A59" s="51" t="s">
        <v>366</v>
      </c>
      <c r="B59" s="59" t="s">
        <v>348</v>
      </c>
      <c r="C59">
        <v>6</v>
      </c>
      <c r="D59" s="60"/>
      <c r="E59" s="61"/>
      <c r="F59" s="61" t="s">
        <v>439</v>
      </c>
      <c r="G59" s="61" t="s">
        <v>439</v>
      </c>
      <c r="H59" s="61" t="s">
        <v>439</v>
      </c>
      <c r="I59" s="61" t="s">
        <v>439</v>
      </c>
      <c r="J59" s="61" t="s">
        <v>439</v>
      </c>
      <c r="K59" s="61" t="s">
        <v>439</v>
      </c>
      <c r="L59" s="61" t="s">
        <v>439</v>
      </c>
      <c r="M59" s="61" t="s">
        <v>439</v>
      </c>
      <c r="N59" s="61" t="s">
        <v>439</v>
      </c>
      <c r="O59" s="61" t="s">
        <v>439</v>
      </c>
      <c r="P59" s="61" t="s">
        <v>439</v>
      </c>
      <c r="Q59" s="61" t="s">
        <v>439</v>
      </c>
      <c r="R59" s="60" t="s">
        <v>439</v>
      </c>
      <c r="S59" s="60" t="s">
        <v>439</v>
      </c>
      <c r="T59" s="60" t="s">
        <v>439</v>
      </c>
      <c r="U59" s="61" t="s">
        <v>439</v>
      </c>
      <c r="V59" s="60"/>
      <c r="W59" s="60"/>
      <c r="X59" s="60"/>
      <c r="Y59" s="60"/>
      <c r="Z59" s="60"/>
      <c r="AA59" s="60"/>
      <c r="AB59" s="60"/>
      <c r="AC59" s="60"/>
      <c r="AD59" s="60"/>
      <c r="AE59" s="60"/>
      <c r="AF59" s="60"/>
      <c r="AG59" s="60"/>
      <c r="AH59" s="60"/>
      <c r="AI59" s="60"/>
      <c r="AJ59" s="60"/>
      <c r="AK59" s="60"/>
      <c r="AL59" s="60"/>
      <c r="AM59" s="60"/>
      <c r="AN59" s="60"/>
      <c r="AO59" s="60"/>
      <c r="AP59" s="60"/>
      <c r="AQ59" s="60"/>
      <c r="AR59" s="60"/>
      <c r="AS59" s="60"/>
      <c r="AT59" s="60"/>
      <c r="AU59" s="60"/>
      <c r="AV59" s="60"/>
      <c r="AW59" s="60"/>
      <c r="AX59" s="60"/>
      <c r="AY59" s="60"/>
      <c r="AZ59" s="60"/>
      <c r="BA59" s="60"/>
      <c r="BB59" s="60"/>
      <c r="BC59" s="60"/>
      <c r="BD59" s="60"/>
      <c r="BE59" s="60"/>
      <c r="BF59" s="60"/>
      <c r="BH59" s="60"/>
      <c r="BI59" s="60"/>
      <c r="BJ59" s="60"/>
      <c r="BK59" s="60"/>
      <c r="BL59" s="60"/>
      <c r="BM59" s="60"/>
      <c r="BN59" s="60"/>
      <c r="BO59" s="60"/>
      <c r="BP59" s="60"/>
      <c r="BQ59" s="60"/>
      <c r="BR59" s="60"/>
      <c r="BS59" s="60"/>
      <c r="BT59" s="60"/>
      <c r="BU59" s="60"/>
    </row>
    <row r="60" spans="1:73" x14ac:dyDescent="0.25">
      <c r="A60" s="51" t="s">
        <v>367</v>
      </c>
      <c r="B60" s="59" t="s">
        <v>348</v>
      </c>
      <c r="C60">
        <v>6</v>
      </c>
      <c r="D60" s="60"/>
      <c r="E60" s="61"/>
      <c r="F60" s="61" t="s">
        <v>439</v>
      </c>
      <c r="G60" s="61" t="s">
        <v>439</v>
      </c>
      <c r="H60" s="61" t="s">
        <v>439</v>
      </c>
      <c r="I60" s="61" t="s">
        <v>439</v>
      </c>
      <c r="J60" s="61" t="s">
        <v>439</v>
      </c>
      <c r="K60" s="61" t="s">
        <v>439</v>
      </c>
      <c r="L60" s="61" t="s">
        <v>439</v>
      </c>
      <c r="M60" s="61" t="s">
        <v>439</v>
      </c>
      <c r="N60" s="61" t="s">
        <v>439</v>
      </c>
      <c r="O60" s="61" t="s">
        <v>439</v>
      </c>
      <c r="P60" s="61" t="s">
        <v>439</v>
      </c>
      <c r="Q60" s="61" t="s">
        <v>439</v>
      </c>
      <c r="R60" s="60" t="s">
        <v>439</v>
      </c>
      <c r="S60" s="60" t="s">
        <v>439</v>
      </c>
      <c r="T60" s="60" t="s">
        <v>439</v>
      </c>
      <c r="U60" s="61" t="s">
        <v>439</v>
      </c>
      <c r="V60" s="60"/>
      <c r="W60" s="60"/>
      <c r="X60" s="60"/>
      <c r="Y60" s="60"/>
      <c r="Z60" s="60"/>
      <c r="AA60" s="60"/>
      <c r="AB60" s="60"/>
      <c r="AC60" s="60"/>
      <c r="AD60" s="60"/>
      <c r="AE60" s="60"/>
      <c r="AF60" s="60"/>
      <c r="AG60" s="60"/>
      <c r="AH60" s="60"/>
      <c r="AI60" s="60"/>
      <c r="AJ60" s="60"/>
      <c r="AK60" s="60"/>
      <c r="AL60" s="60"/>
      <c r="AM60" s="60"/>
      <c r="AN60" s="60"/>
      <c r="AO60" s="60"/>
      <c r="AP60" s="60"/>
      <c r="AQ60" s="60"/>
      <c r="AR60" s="60"/>
      <c r="AS60" s="60"/>
      <c r="AT60" s="60"/>
      <c r="AU60" s="60"/>
      <c r="AV60" s="60"/>
      <c r="AW60" s="60"/>
      <c r="AX60" s="60"/>
      <c r="AY60" s="60"/>
      <c r="AZ60" s="60"/>
      <c r="BA60" s="60"/>
      <c r="BB60" s="60"/>
      <c r="BC60" s="60"/>
      <c r="BD60" s="60"/>
      <c r="BE60" s="60"/>
      <c r="BF60" s="60"/>
      <c r="BH60" s="60"/>
      <c r="BI60" s="60"/>
      <c r="BJ60" s="60"/>
      <c r="BK60" s="60"/>
      <c r="BL60" s="60"/>
      <c r="BM60" s="60"/>
      <c r="BN60" s="60"/>
      <c r="BO60" s="60"/>
      <c r="BP60" s="60"/>
      <c r="BQ60" s="60"/>
      <c r="BR60" s="60"/>
      <c r="BS60" s="60"/>
      <c r="BT60" s="60"/>
      <c r="BU60" s="60"/>
    </row>
    <row r="61" spans="1:73" x14ac:dyDescent="0.25">
      <c r="A61" s="51" t="s">
        <v>350</v>
      </c>
      <c r="B61" s="59" t="s">
        <v>349</v>
      </c>
      <c r="C61">
        <v>7</v>
      </c>
      <c r="D61" s="60"/>
      <c r="E61" s="61"/>
      <c r="F61" s="61" t="s">
        <v>439</v>
      </c>
      <c r="G61" s="61" t="s">
        <v>439</v>
      </c>
      <c r="H61" s="61" t="s">
        <v>439</v>
      </c>
      <c r="I61" s="61" t="s">
        <v>439</v>
      </c>
      <c r="J61" s="61" t="s">
        <v>439</v>
      </c>
      <c r="K61" s="61" t="s">
        <v>439</v>
      </c>
      <c r="L61" s="61" t="s">
        <v>439</v>
      </c>
      <c r="M61" s="61" t="s">
        <v>439</v>
      </c>
      <c r="N61" s="61" t="s">
        <v>439</v>
      </c>
      <c r="O61" s="61" t="s">
        <v>439</v>
      </c>
      <c r="P61" s="61" t="s">
        <v>439</v>
      </c>
      <c r="Q61" s="61" t="s">
        <v>439</v>
      </c>
      <c r="R61" s="61" t="s">
        <v>439</v>
      </c>
      <c r="S61" s="61" t="s">
        <v>439</v>
      </c>
      <c r="T61" s="61" t="s">
        <v>439</v>
      </c>
      <c r="U61" s="61" t="s">
        <v>439</v>
      </c>
      <c r="V61" s="61" t="s">
        <v>439</v>
      </c>
      <c r="W61" s="61" t="s">
        <v>439</v>
      </c>
      <c r="X61" s="61" t="s">
        <v>439</v>
      </c>
      <c r="Y61" s="61" t="s">
        <v>439</v>
      </c>
      <c r="Z61" s="61" t="s">
        <v>439</v>
      </c>
      <c r="AA61" s="61" t="s">
        <v>439</v>
      </c>
      <c r="AB61" s="61" t="s">
        <v>439</v>
      </c>
      <c r="AC61" s="61" t="s">
        <v>439</v>
      </c>
      <c r="AD61" s="61" t="s">
        <v>439</v>
      </c>
      <c r="AE61" s="61" t="s">
        <v>439</v>
      </c>
      <c r="AF61" s="61" t="s">
        <v>439</v>
      </c>
      <c r="AG61" s="61" t="s">
        <v>439</v>
      </c>
      <c r="AH61" s="61" t="s">
        <v>439</v>
      </c>
      <c r="AI61" s="60" t="s">
        <v>439</v>
      </c>
      <c r="AJ61" s="60" t="s">
        <v>439</v>
      </c>
      <c r="AK61" s="60"/>
      <c r="AL61" s="60"/>
      <c r="AM61" s="60"/>
      <c r="AN61" s="60" t="s">
        <v>439</v>
      </c>
      <c r="AO61" s="60" t="s">
        <v>439</v>
      </c>
      <c r="AP61" s="60"/>
      <c r="AQ61" s="60"/>
      <c r="AR61" s="60"/>
      <c r="AS61" s="60"/>
      <c r="AT61" s="60"/>
      <c r="AU61" s="60"/>
      <c r="AV61" s="60"/>
      <c r="AW61" s="60"/>
      <c r="AX61" s="60"/>
      <c r="AY61" s="60"/>
      <c r="AZ61" s="60"/>
      <c r="BA61" s="60"/>
      <c r="BB61" s="60"/>
      <c r="BD61" s="60"/>
      <c r="BE61" s="60"/>
      <c r="BF61" s="60"/>
      <c r="BH61" s="60"/>
      <c r="BI61" s="60"/>
      <c r="BJ61" s="60"/>
      <c r="BK61" s="60"/>
      <c r="BL61" s="60"/>
      <c r="BM61" s="60"/>
      <c r="BN61" s="60"/>
      <c r="BO61" s="60"/>
      <c r="BP61" s="60"/>
      <c r="BR61" s="61" t="s">
        <v>439</v>
      </c>
      <c r="BS61" s="60"/>
      <c r="BT61" s="60"/>
      <c r="BU61" s="60"/>
    </row>
    <row r="62" spans="1:73" x14ac:dyDescent="0.25">
      <c r="A62" s="51" t="s">
        <v>351</v>
      </c>
      <c r="B62" s="59" t="s">
        <v>349</v>
      </c>
      <c r="C62">
        <v>7</v>
      </c>
      <c r="D62" s="60"/>
      <c r="E62" s="61"/>
      <c r="F62" s="61" t="s">
        <v>439</v>
      </c>
      <c r="G62" s="61" t="s">
        <v>439</v>
      </c>
      <c r="H62" s="61" t="s">
        <v>439</v>
      </c>
      <c r="I62" s="61" t="s">
        <v>439</v>
      </c>
      <c r="J62" s="61" t="s">
        <v>439</v>
      </c>
      <c r="K62" s="61" t="s">
        <v>439</v>
      </c>
      <c r="L62" s="61" t="s">
        <v>439</v>
      </c>
      <c r="M62" s="61" t="s">
        <v>439</v>
      </c>
      <c r="N62" s="61" t="s">
        <v>439</v>
      </c>
      <c r="O62" s="61" t="s">
        <v>439</v>
      </c>
      <c r="P62" s="61" t="s">
        <v>439</v>
      </c>
      <c r="Q62" s="61" t="s">
        <v>439</v>
      </c>
      <c r="R62" s="61" t="s">
        <v>439</v>
      </c>
      <c r="S62" s="61" t="s">
        <v>439</v>
      </c>
      <c r="T62" s="61" t="s">
        <v>439</v>
      </c>
      <c r="U62" s="61" t="s">
        <v>439</v>
      </c>
      <c r="V62" s="61" t="s">
        <v>439</v>
      </c>
      <c r="W62" s="61" t="s">
        <v>439</v>
      </c>
      <c r="X62" s="61" t="s">
        <v>439</v>
      </c>
      <c r="Y62" s="61" t="s">
        <v>439</v>
      </c>
      <c r="Z62" s="61" t="s">
        <v>439</v>
      </c>
      <c r="AA62" s="61" t="s">
        <v>439</v>
      </c>
      <c r="AB62" s="61" t="s">
        <v>439</v>
      </c>
      <c r="AC62" s="61" t="s">
        <v>439</v>
      </c>
      <c r="AD62" s="61" t="s">
        <v>439</v>
      </c>
      <c r="AE62" s="61" t="s">
        <v>439</v>
      </c>
      <c r="AF62" s="61" t="s">
        <v>439</v>
      </c>
      <c r="AG62" s="61" t="s">
        <v>439</v>
      </c>
      <c r="AH62" s="61" t="s">
        <v>439</v>
      </c>
      <c r="AI62" s="60" t="s">
        <v>439</v>
      </c>
      <c r="AJ62" s="60" t="s">
        <v>439</v>
      </c>
      <c r="AK62" s="60"/>
      <c r="AL62" s="60"/>
      <c r="AM62" s="60"/>
      <c r="AN62" s="60" t="s">
        <v>439</v>
      </c>
      <c r="AO62" s="60" t="s">
        <v>439</v>
      </c>
      <c r="AP62" s="60"/>
      <c r="AQ62" s="60"/>
      <c r="AR62" s="60"/>
      <c r="AS62" s="60"/>
      <c r="AT62" s="60"/>
      <c r="AU62" s="60"/>
      <c r="AV62" s="60"/>
      <c r="AW62" s="60"/>
      <c r="AX62" s="60"/>
      <c r="AY62" s="60"/>
      <c r="AZ62" s="60"/>
      <c r="BA62" s="60"/>
      <c r="BB62" s="60"/>
      <c r="BD62" s="60"/>
      <c r="BE62" s="60"/>
      <c r="BF62" s="60"/>
      <c r="BH62" s="60"/>
      <c r="BI62" s="60"/>
      <c r="BJ62" s="60"/>
      <c r="BK62" s="60"/>
      <c r="BL62" s="60"/>
      <c r="BM62" s="60"/>
      <c r="BN62" s="60"/>
      <c r="BO62" s="60"/>
      <c r="BP62" s="60"/>
      <c r="BR62" s="61" t="s">
        <v>439</v>
      </c>
      <c r="BS62" s="60"/>
      <c r="BT62" s="60"/>
      <c r="BU62" s="60"/>
    </row>
    <row r="63" spans="1:73" x14ac:dyDescent="0.25">
      <c r="A63" s="51" t="s">
        <v>352</v>
      </c>
      <c r="B63" s="59" t="s">
        <v>349</v>
      </c>
      <c r="C63">
        <v>7</v>
      </c>
      <c r="D63" s="60"/>
      <c r="E63" s="61"/>
      <c r="F63" s="61" t="s">
        <v>439</v>
      </c>
      <c r="G63" s="61" t="s">
        <v>439</v>
      </c>
      <c r="H63" s="61" t="s">
        <v>439</v>
      </c>
      <c r="I63" s="61" t="s">
        <v>439</v>
      </c>
      <c r="J63" s="61" t="s">
        <v>439</v>
      </c>
      <c r="K63" s="61" t="s">
        <v>439</v>
      </c>
      <c r="L63" s="61" t="s">
        <v>439</v>
      </c>
      <c r="M63" s="61" t="s">
        <v>439</v>
      </c>
      <c r="N63" s="61" t="s">
        <v>439</v>
      </c>
      <c r="O63" s="61" t="s">
        <v>439</v>
      </c>
      <c r="P63" s="61" t="s">
        <v>439</v>
      </c>
      <c r="Q63" s="61" t="s">
        <v>439</v>
      </c>
      <c r="R63" s="61" t="s">
        <v>439</v>
      </c>
      <c r="S63" s="61" t="s">
        <v>439</v>
      </c>
      <c r="T63" s="61" t="s">
        <v>439</v>
      </c>
      <c r="U63" s="61" t="s">
        <v>439</v>
      </c>
      <c r="V63" s="61" t="s">
        <v>439</v>
      </c>
      <c r="W63" s="61" t="s">
        <v>439</v>
      </c>
      <c r="X63" s="61" t="s">
        <v>439</v>
      </c>
      <c r="Y63" s="61" t="s">
        <v>439</v>
      </c>
      <c r="Z63" s="61" t="s">
        <v>439</v>
      </c>
      <c r="AA63" s="61" t="s">
        <v>439</v>
      </c>
      <c r="AB63" s="61" t="s">
        <v>439</v>
      </c>
      <c r="AC63" s="61" t="s">
        <v>439</v>
      </c>
      <c r="AD63" s="61" t="s">
        <v>439</v>
      </c>
      <c r="AE63" s="61" t="s">
        <v>439</v>
      </c>
      <c r="AF63" s="61" t="s">
        <v>439</v>
      </c>
      <c r="AG63" s="61" t="s">
        <v>439</v>
      </c>
      <c r="AH63" s="61" t="s">
        <v>439</v>
      </c>
      <c r="AI63" s="60" t="s">
        <v>439</v>
      </c>
      <c r="AJ63" s="60" t="s">
        <v>439</v>
      </c>
      <c r="AK63" s="60"/>
      <c r="AL63" s="60"/>
      <c r="AM63" s="60"/>
      <c r="AN63" s="60" t="s">
        <v>439</v>
      </c>
      <c r="AO63" s="60" t="s">
        <v>439</v>
      </c>
      <c r="AP63" s="60"/>
      <c r="AQ63" s="60"/>
      <c r="AR63" s="60"/>
      <c r="AS63" s="60"/>
      <c r="AT63" s="60"/>
      <c r="AU63" s="60"/>
      <c r="AV63" s="60"/>
      <c r="AW63" s="60"/>
      <c r="AX63" s="60"/>
      <c r="AY63" s="60"/>
      <c r="AZ63" s="60"/>
      <c r="BA63" s="60"/>
      <c r="BB63" s="60"/>
      <c r="BD63" s="60"/>
      <c r="BE63" s="60"/>
      <c r="BF63" s="60"/>
      <c r="BH63" s="60"/>
      <c r="BI63" s="60"/>
      <c r="BJ63" s="60"/>
      <c r="BK63" s="60"/>
      <c r="BL63" s="60"/>
      <c r="BM63" s="60"/>
      <c r="BN63" s="60"/>
      <c r="BO63" s="60"/>
      <c r="BP63" s="60"/>
      <c r="BR63" s="61" t="s">
        <v>439</v>
      </c>
      <c r="BS63" s="60"/>
      <c r="BT63" s="60"/>
      <c r="BU63" s="60"/>
    </row>
    <row r="64" spans="1:73" x14ac:dyDescent="0.25">
      <c r="A64" s="51" t="s">
        <v>353</v>
      </c>
      <c r="B64" s="59" t="s">
        <v>349</v>
      </c>
      <c r="C64">
        <v>7</v>
      </c>
      <c r="D64" s="60"/>
      <c r="E64" s="61"/>
      <c r="F64" s="61" t="s">
        <v>439</v>
      </c>
      <c r="G64" s="61" t="s">
        <v>439</v>
      </c>
      <c r="H64" s="61" t="s">
        <v>439</v>
      </c>
      <c r="I64" s="61" t="s">
        <v>439</v>
      </c>
      <c r="J64" s="61" t="s">
        <v>439</v>
      </c>
      <c r="K64" s="61" t="s">
        <v>439</v>
      </c>
      <c r="L64" s="61" t="s">
        <v>439</v>
      </c>
      <c r="M64" s="61" t="s">
        <v>439</v>
      </c>
      <c r="N64" s="61" t="s">
        <v>439</v>
      </c>
      <c r="O64" s="61" t="s">
        <v>439</v>
      </c>
      <c r="P64" s="61" t="s">
        <v>439</v>
      </c>
      <c r="Q64" s="61" t="s">
        <v>439</v>
      </c>
      <c r="R64" s="61" t="s">
        <v>439</v>
      </c>
      <c r="S64" s="61" t="s">
        <v>439</v>
      </c>
      <c r="T64" s="61" t="s">
        <v>439</v>
      </c>
      <c r="U64" s="61" t="s">
        <v>439</v>
      </c>
      <c r="V64" s="61" t="s">
        <v>439</v>
      </c>
      <c r="W64" s="61" t="s">
        <v>439</v>
      </c>
      <c r="X64" s="61" t="s">
        <v>439</v>
      </c>
      <c r="Y64" s="61" t="s">
        <v>439</v>
      </c>
      <c r="Z64" s="61" t="s">
        <v>439</v>
      </c>
      <c r="AA64" s="61" t="s">
        <v>439</v>
      </c>
      <c r="AB64" s="61" t="s">
        <v>439</v>
      </c>
      <c r="AC64" s="61" t="s">
        <v>439</v>
      </c>
      <c r="AD64" s="61" t="s">
        <v>439</v>
      </c>
      <c r="AE64" s="61" t="s">
        <v>439</v>
      </c>
      <c r="AF64" s="61" t="s">
        <v>439</v>
      </c>
      <c r="AG64" s="61" t="s">
        <v>439</v>
      </c>
      <c r="AH64" s="61" t="s">
        <v>439</v>
      </c>
      <c r="AI64" s="60" t="s">
        <v>439</v>
      </c>
      <c r="AJ64" s="60" t="s">
        <v>439</v>
      </c>
      <c r="AK64" s="60"/>
      <c r="AL64" s="60"/>
      <c r="AM64" s="60"/>
      <c r="AN64" s="60" t="s">
        <v>439</v>
      </c>
      <c r="AO64" s="60" t="s">
        <v>439</v>
      </c>
      <c r="AP64" s="60"/>
      <c r="AQ64" s="60"/>
      <c r="AR64" s="60"/>
      <c r="AS64" s="60"/>
      <c r="AT64" s="60"/>
      <c r="AU64" s="60"/>
      <c r="AV64" s="60"/>
      <c r="AW64" s="60"/>
      <c r="AX64" s="60"/>
      <c r="AY64" s="60"/>
      <c r="AZ64" s="60"/>
      <c r="BA64" s="60"/>
      <c r="BB64" s="60"/>
      <c r="BD64" s="60"/>
      <c r="BE64" s="60"/>
      <c r="BF64" s="60"/>
      <c r="BH64" s="60"/>
      <c r="BI64" s="60"/>
      <c r="BJ64" s="60"/>
      <c r="BK64" s="60"/>
      <c r="BL64" s="60"/>
      <c r="BM64" s="60"/>
      <c r="BN64" s="60"/>
      <c r="BO64" s="60"/>
      <c r="BP64" s="60"/>
      <c r="BR64" s="61" t="s">
        <v>439</v>
      </c>
      <c r="BS64" s="60"/>
      <c r="BT64" s="60"/>
      <c r="BU64" s="60"/>
    </row>
    <row r="65" spans="1:73" x14ac:dyDescent="0.25">
      <c r="A65" s="51" t="s">
        <v>354</v>
      </c>
      <c r="B65" s="59" t="s">
        <v>349</v>
      </c>
      <c r="C65">
        <v>7</v>
      </c>
      <c r="D65" s="60"/>
      <c r="E65" s="61"/>
      <c r="F65" s="61" t="s">
        <v>439</v>
      </c>
      <c r="G65" s="61" t="s">
        <v>439</v>
      </c>
      <c r="H65" s="61" t="s">
        <v>439</v>
      </c>
      <c r="I65" s="61" t="s">
        <v>439</v>
      </c>
      <c r="J65" s="61" t="s">
        <v>439</v>
      </c>
      <c r="K65" s="61" t="s">
        <v>439</v>
      </c>
      <c r="L65" s="61" t="s">
        <v>439</v>
      </c>
      <c r="M65" s="61" t="s">
        <v>439</v>
      </c>
      <c r="N65" s="61" t="s">
        <v>439</v>
      </c>
      <c r="O65" s="61" t="s">
        <v>439</v>
      </c>
      <c r="P65" s="61" t="s">
        <v>439</v>
      </c>
      <c r="Q65" s="61" t="s">
        <v>439</v>
      </c>
      <c r="R65" s="61" t="s">
        <v>439</v>
      </c>
      <c r="S65" s="61" t="s">
        <v>439</v>
      </c>
      <c r="T65" s="61" t="s">
        <v>439</v>
      </c>
      <c r="U65" s="61" t="s">
        <v>439</v>
      </c>
      <c r="V65" s="61" t="s">
        <v>439</v>
      </c>
      <c r="W65" s="61" t="s">
        <v>439</v>
      </c>
      <c r="X65" s="61" t="s">
        <v>439</v>
      </c>
      <c r="Y65" s="61" t="s">
        <v>439</v>
      </c>
      <c r="Z65" s="61" t="s">
        <v>439</v>
      </c>
      <c r="AA65" s="61" t="s">
        <v>439</v>
      </c>
      <c r="AB65" s="61" t="s">
        <v>439</v>
      </c>
      <c r="AC65" s="61" t="s">
        <v>439</v>
      </c>
      <c r="AD65" s="61" t="s">
        <v>439</v>
      </c>
      <c r="AE65" s="61" t="s">
        <v>439</v>
      </c>
      <c r="AF65" s="61" t="s">
        <v>439</v>
      </c>
      <c r="AG65" s="61" t="s">
        <v>439</v>
      </c>
      <c r="AH65" s="61" t="s">
        <v>439</v>
      </c>
      <c r="AI65" s="60" t="s">
        <v>439</v>
      </c>
      <c r="AJ65" s="60" t="s">
        <v>439</v>
      </c>
      <c r="AK65" s="60"/>
      <c r="AL65" s="60"/>
      <c r="AM65" s="60"/>
      <c r="AN65" s="60" t="s">
        <v>439</v>
      </c>
      <c r="AO65" s="60" t="s">
        <v>439</v>
      </c>
      <c r="AP65" s="60"/>
      <c r="AQ65" s="60"/>
      <c r="AR65" s="60"/>
      <c r="AS65" s="60"/>
      <c r="AT65" s="60"/>
      <c r="AU65" s="60"/>
      <c r="AV65" s="60"/>
      <c r="AW65" s="60"/>
      <c r="AX65" s="60"/>
      <c r="AY65" s="60"/>
      <c r="AZ65" s="60"/>
      <c r="BA65" s="60"/>
      <c r="BB65" s="60"/>
      <c r="BD65" s="60"/>
      <c r="BE65" s="60"/>
      <c r="BF65" s="60"/>
      <c r="BH65" s="60"/>
      <c r="BI65" s="60"/>
      <c r="BJ65" s="60"/>
      <c r="BK65" s="60"/>
      <c r="BL65" s="60"/>
      <c r="BM65" s="60"/>
      <c r="BN65" s="60"/>
      <c r="BO65" s="60"/>
      <c r="BP65" s="60"/>
      <c r="BR65" s="61" t="s">
        <v>439</v>
      </c>
      <c r="BS65" s="60"/>
      <c r="BT65" s="60"/>
      <c r="BU65" s="60"/>
    </row>
    <row r="66" spans="1:73" x14ac:dyDescent="0.25">
      <c r="A66" s="51" t="s">
        <v>355</v>
      </c>
      <c r="B66" s="59" t="s">
        <v>349</v>
      </c>
      <c r="C66">
        <v>7</v>
      </c>
      <c r="D66" s="60"/>
      <c r="E66" s="61"/>
      <c r="F66" s="61" t="s">
        <v>439</v>
      </c>
      <c r="G66" s="61" t="s">
        <v>439</v>
      </c>
      <c r="H66" s="61" t="s">
        <v>439</v>
      </c>
      <c r="I66" s="61" t="s">
        <v>439</v>
      </c>
      <c r="J66" s="61" t="s">
        <v>439</v>
      </c>
      <c r="K66" s="61" t="s">
        <v>439</v>
      </c>
      <c r="L66" s="61" t="s">
        <v>439</v>
      </c>
      <c r="M66" s="61" t="s">
        <v>439</v>
      </c>
      <c r="N66" s="61" t="s">
        <v>439</v>
      </c>
      <c r="O66" s="61" t="s">
        <v>439</v>
      </c>
      <c r="P66" s="61" t="s">
        <v>439</v>
      </c>
      <c r="Q66" s="61" t="s">
        <v>439</v>
      </c>
      <c r="R66" s="61" t="s">
        <v>439</v>
      </c>
      <c r="S66" s="61" t="s">
        <v>439</v>
      </c>
      <c r="T66" s="61" t="s">
        <v>439</v>
      </c>
      <c r="U66" s="61" t="s">
        <v>439</v>
      </c>
      <c r="V66" s="61" t="s">
        <v>439</v>
      </c>
      <c r="W66" s="61" t="s">
        <v>439</v>
      </c>
      <c r="X66" s="61" t="s">
        <v>439</v>
      </c>
      <c r="Y66" s="61" t="s">
        <v>439</v>
      </c>
      <c r="Z66" s="61" t="s">
        <v>439</v>
      </c>
      <c r="AA66" s="61" t="s">
        <v>439</v>
      </c>
      <c r="AB66" s="61" t="s">
        <v>439</v>
      </c>
      <c r="AC66" s="61" t="s">
        <v>439</v>
      </c>
      <c r="AD66" s="61" t="s">
        <v>439</v>
      </c>
      <c r="AE66" s="61" t="s">
        <v>439</v>
      </c>
      <c r="AF66" s="61" t="s">
        <v>439</v>
      </c>
      <c r="AG66" s="61" t="s">
        <v>439</v>
      </c>
      <c r="AH66" s="61" t="s">
        <v>439</v>
      </c>
      <c r="AI66" s="60" t="s">
        <v>439</v>
      </c>
      <c r="AJ66" s="60" t="s">
        <v>439</v>
      </c>
      <c r="AK66" s="60"/>
      <c r="AL66" s="60"/>
      <c r="AM66" s="60"/>
      <c r="AN66" s="60" t="s">
        <v>439</v>
      </c>
      <c r="AO66" s="60" t="s">
        <v>439</v>
      </c>
      <c r="AP66" s="60"/>
      <c r="AQ66" s="60"/>
      <c r="AR66" s="60"/>
      <c r="AS66" s="60"/>
      <c r="AT66" s="60"/>
      <c r="AU66" s="60"/>
      <c r="AV66" s="60"/>
      <c r="AW66" s="60"/>
      <c r="AX66" s="60"/>
      <c r="AY66" s="60"/>
      <c r="AZ66" s="60"/>
      <c r="BA66" s="60"/>
      <c r="BB66" s="60"/>
      <c r="BD66" s="60"/>
      <c r="BE66" s="60"/>
      <c r="BF66" s="60"/>
      <c r="BH66" s="60"/>
      <c r="BI66" s="60"/>
      <c r="BJ66" s="60"/>
      <c r="BK66" s="60"/>
      <c r="BL66" s="60"/>
      <c r="BM66" s="60"/>
      <c r="BN66" s="60"/>
      <c r="BO66" s="60"/>
      <c r="BP66" s="60"/>
      <c r="BR66" s="61" t="s">
        <v>439</v>
      </c>
      <c r="BS66" s="60"/>
      <c r="BT66" s="60"/>
      <c r="BU66" s="60"/>
    </row>
    <row r="67" spans="1:73" x14ac:dyDescent="0.25">
      <c r="A67" s="51" t="s">
        <v>356</v>
      </c>
      <c r="B67" s="59" t="s">
        <v>349</v>
      </c>
      <c r="C67">
        <v>7</v>
      </c>
      <c r="D67" s="60"/>
      <c r="E67" s="61"/>
      <c r="F67" s="61" t="s">
        <v>439</v>
      </c>
      <c r="G67" s="61" t="s">
        <v>439</v>
      </c>
      <c r="H67" s="61" t="s">
        <v>439</v>
      </c>
      <c r="I67" s="61" t="s">
        <v>439</v>
      </c>
      <c r="J67" s="61" t="s">
        <v>439</v>
      </c>
      <c r="K67" s="61" t="s">
        <v>439</v>
      </c>
      <c r="L67" s="61" t="s">
        <v>439</v>
      </c>
      <c r="M67" s="61" t="s">
        <v>439</v>
      </c>
      <c r="N67" s="61" t="s">
        <v>439</v>
      </c>
      <c r="O67" s="61" t="s">
        <v>439</v>
      </c>
      <c r="P67" s="61" t="s">
        <v>439</v>
      </c>
      <c r="Q67" s="61" t="s">
        <v>439</v>
      </c>
      <c r="R67" s="61" t="s">
        <v>439</v>
      </c>
      <c r="S67" s="61" t="s">
        <v>439</v>
      </c>
      <c r="T67" s="61" t="s">
        <v>439</v>
      </c>
      <c r="U67" s="61" t="s">
        <v>439</v>
      </c>
      <c r="V67" s="61" t="s">
        <v>439</v>
      </c>
      <c r="W67" s="61" t="s">
        <v>439</v>
      </c>
      <c r="X67" s="61" t="s">
        <v>439</v>
      </c>
      <c r="Y67" s="61" t="s">
        <v>439</v>
      </c>
      <c r="Z67" s="61" t="s">
        <v>439</v>
      </c>
      <c r="AA67" s="61" t="s">
        <v>439</v>
      </c>
      <c r="AB67" s="61" t="s">
        <v>439</v>
      </c>
      <c r="AC67" s="61" t="s">
        <v>439</v>
      </c>
      <c r="AD67" s="61" t="s">
        <v>439</v>
      </c>
      <c r="AE67" s="61" t="s">
        <v>439</v>
      </c>
      <c r="AF67" s="61" t="s">
        <v>439</v>
      </c>
      <c r="AG67" s="61" t="s">
        <v>439</v>
      </c>
      <c r="AH67" s="61" t="s">
        <v>439</v>
      </c>
      <c r="AI67" s="60" t="s">
        <v>439</v>
      </c>
      <c r="AJ67" s="60" t="s">
        <v>439</v>
      </c>
      <c r="AK67" s="60"/>
      <c r="AL67" s="60"/>
      <c r="AM67" s="60"/>
      <c r="AN67" s="60" t="s">
        <v>439</v>
      </c>
      <c r="AO67" s="60" t="s">
        <v>439</v>
      </c>
      <c r="AP67" s="60"/>
      <c r="AQ67" s="60"/>
      <c r="AR67" s="60"/>
      <c r="AS67" s="60"/>
      <c r="AT67" s="60"/>
      <c r="AU67" s="60"/>
      <c r="AV67" s="60"/>
      <c r="AW67" s="60"/>
      <c r="AX67" s="60"/>
      <c r="AY67" s="60"/>
      <c r="AZ67" s="60"/>
      <c r="BA67" s="60"/>
      <c r="BB67" s="60"/>
      <c r="BD67" s="60"/>
      <c r="BE67" s="60"/>
      <c r="BF67" s="60"/>
      <c r="BH67" s="60"/>
      <c r="BI67" s="60"/>
      <c r="BJ67" s="60"/>
      <c r="BK67" s="60"/>
      <c r="BL67" s="60"/>
      <c r="BM67" s="60"/>
      <c r="BN67" s="60"/>
      <c r="BO67" s="60"/>
      <c r="BP67" s="60"/>
      <c r="BR67" s="61" t="s">
        <v>439</v>
      </c>
      <c r="BS67" s="60"/>
      <c r="BT67" s="60"/>
      <c r="BU67" s="60"/>
    </row>
    <row r="68" spans="1:73" x14ac:dyDescent="0.25">
      <c r="A68" s="51" t="s">
        <v>357</v>
      </c>
      <c r="B68" s="59" t="s">
        <v>349</v>
      </c>
      <c r="C68">
        <v>7</v>
      </c>
      <c r="D68" s="60"/>
      <c r="E68" s="61"/>
      <c r="F68" s="61" t="s">
        <v>439</v>
      </c>
      <c r="G68" s="61" t="s">
        <v>439</v>
      </c>
      <c r="H68" s="61" t="s">
        <v>439</v>
      </c>
      <c r="I68" s="61" t="s">
        <v>439</v>
      </c>
      <c r="J68" s="61" t="s">
        <v>439</v>
      </c>
      <c r="K68" s="61" t="s">
        <v>439</v>
      </c>
      <c r="L68" s="61" t="s">
        <v>439</v>
      </c>
      <c r="M68" s="61" t="s">
        <v>439</v>
      </c>
      <c r="N68" s="61" t="s">
        <v>439</v>
      </c>
      <c r="O68" s="61" t="s">
        <v>439</v>
      </c>
      <c r="P68" s="61" t="s">
        <v>439</v>
      </c>
      <c r="Q68" s="61" t="s">
        <v>439</v>
      </c>
      <c r="R68" s="61" t="s">
        <v>439</v>
      </c>
      <c r="S68" s="61" t="s">
        <v>439</v>
      </c>
      <c r="T68" s="61" t="s">
        <v>439</v>
      </c>
      <c r="U68" s="61" t="s">
        <v>439</v>
      </c>
      <c r="V68" s="61" t="s">
        <v>439</v>
      </c>
      <c r="W68" s="61" t="s">
        <v>439</v>
      </c>
      <c r="X68" s="61" t="s">
        <v>439</v>
      </c>
      <c r="Y68" s="61" t="s">
        <v>439</v>
      </c>
      <c r="Z68" s="61" t="s">
        <v>439</v>
      </c>
      <c r="AA68" s="61" t="s">
        <v>439</v>
      </c>
      <c r="AB68" s="61" t="s">
        <v>439</v>
      </c>
      <c r="AC68" s="61" t="s">
        <v>439</v>
      </c>
      <c r="AD68" s="61" t="s">
        <v>439</v>
      </c>
      <c r="AE68" s="61" t="s">
        <v>439</v>
      </c>
      <c r="AF68" s="61" t="s">
        <v>439</v>
      </c>
      <c r="AG68" s="61" t="s">
        <v>439</v>
      </c>
      <c r="AH68" s="61" t="s">
        <v>439</v>
      </c>
      <c r="AI68" s="60" t="s">
        <v>439</v>
      </c>
      <c r="AJ68" s="60" t="s">
        <v>439</v>
      </c>
      <c r="AK68" s="60"/>
      <c r="AL68" s="60"/>
      <c r="AM68" s="60"/>
      <c r="AN68" s="60" t="s">
        <v>439</v>
      </c>
      <c r="AO68" s="60" t="s">
        <v>439</v>
      </c>
      <c r="AP68" s="60"/>
      <c r="AQ68" s="60"/>
      <c r="AR68" s="60"/>
      <c r="AS68" s="60"/>
      <c r="AT68" s="60"/>
      <c r="AU68" s="60"/>
      <c r="AV68" s="60"/>
      <c r="AW68" s="60"/>
      <c r="AX68" s="60"/>
      <c r="AY68" s="60"/>
      <c r="AZ68" s="60"/>
      <c r="BA68" s="60"/>
      <c r="BB68" s="60"/>
      <c r="BD68" s="60"/>
      <c r="BE68" s="60"/>
      <c r="BF68" s="60"/>
      <c r="BH68" s="60"/>
      <c r="BI68" s="60"/>
      <c r="BJ68" s="60"/>
      <c r="BK68" s="60"/>
      <c r="BL68" s="60"/>
      <c r="BM68" s="60"/>
      <c r="BN68" s="60"/>
      <c r="BO68" s="60"/>
      <c r="BP68" s="60"/>
      <c r="BR68" s="61" t="s">
        <v>439</v>
      </c>
      <c r="BS68" s="60"/>
      <c r="BT68" s="60"/>
      <c r="BU68" s="60"/>
    </row>
    <row r="69" spans="1:73" x14ac:dyDescent="0.25">
      <c r="A69" s="51" t="s">
        <v>358</v>
      </c>
      <c r="B69" s="59" t="s">
        <v>349</v>
      </c>
      <c r="C69">
        <v>7</v>
      </c>
      <c r="D69" s="60"/>
      <c r="E69" s="61"/>
      <c r="F69" s="61" t="s">
        <v>439</v>
      </c>
      <c r="G69" s="61" t="s">
        <v>439</v>
      </c>
      <c r="H69" s="61" t="s">
        <v>439</v>
      </c>
      <c r="I69" s="61" t="s">
        <v>439</v>
      </c>
      <c r="J69" s="61" t="s">
        <v>439</v>
      </c>
      <c r="K69" s="61" t="s">
        <v>439</v>
      </c>
      <c r="L69" s="61" t="s">
        <v>439</v>
      </c>
      <c r="M69" s="61" t="s">
        <v>439</v>
      </c>
      <c r="N69" s="61" t="s">
        <v>439</v>
      </c>
      <c r="O69" s="61" t="s">
        <v>439</v>
      </c>
      <c r="P69" s="61" t="s">
        <v>439</v>
      </c>
      <c r="Q69" s="61" t="s">
        <v>439</v>
      </c>
      <c r="R69" s="61" t="s">
        <v>439</v>
      </c>
      <c r="S69" s="61" t="s">
        <v>439</v>
      </c>
      <c r="T69" s="61" t="s">
        <v>439</v>
      </c>
      <c r="U69" s="61" t="s">
        <v>439</v>
      </c>
      <c r="V69" s="61" t="s">
        <v>439</v>
      </c>
      <c r="W69" s="61" t="s">
        <v>439</v>
      </c>
      <c r="X69" s="61" t="s">
        <v>439</v>
      </c>
      <c r="Y69" s="61" t="s">
        <v>439</v>
      </c>
      <c r="Z69" s="61" t="s">
        <v>439</v>
      </c>
      <c r="AA69" s="61" t="s">
        <v>439</v>
      </c>
      <c r="AB69" s="61" t="s">
        <v>439</v>
      </c>
      <c r="AC69" s="61" t="s">
        <v>439</v>
      </c>
      <c r="AD69" s="61" t="s">
        <v>439</v>
      </c>
      <c r="AE69" s="61" t="s">
        <v>439</v>
      </c>
      <c r="AF69" s="61" t="s">
        <v>439</v>
      </c>
      <c r="AG69" s="61" t="s">
        <v>439</v>
      </c>
      <c r="AH69" s="61" t="s">
        <v>439</v>
      </c>
      <c r="AI69" s="60" t="s">
        <v>439</v>
      </c>
      <c r="AJ69" s="60" t="s">
        <v>439</v>
      </c>
      <c r="AK69" s="60"/>
      <c r="AL69" s="60"/>
      <c r="AM69" s="60"/>
      <c r="AN69" s="60" t="s">
        <v>439</v>
      </c>
      <c r="AO69" s="60" t="s">
        <v>439</v>
      </c>
      <c r="AP69" s="60"/>
      <c r="AQ69" s="60"/>
      <c r="AR69" s="60"/>
      <c r="AS69" s="60"/>
      <c r="AT69" s="60"/>
      <c r="AU69" s="60"/>
      <c r="AV69" s="60"/>
      <c r="AW69" s="60"/>
      <c r="AX69" s="60"/>
      <c r="AY69" s="60"/>
      <c r="AZ69" s="60"/>
      <c r="BA69" s="60"/>
      <c r="BB69" s="60"/>
      <c r="BD69" s="60"/>
      <c r="BE69" s="60"/>
      <c r="BF69" s="60"/>
      <c r="BH69" s="60"/>
      <c r="BI69" s="60"/>
      <c r="BJ69" s="60"/>
      <c r="BK69" s="60"/>
      <c r="BL69" s="60"/>
      <c r="BM69" s="60"/>
      <c r="BN69" s="60"/>
      <c r="BO69" s="60"/>
      <c r="BP69" s="60"/>
      <c r="BR69" s="61" t="s">
        <v>439</v>
      </c>
      <c r="BS69" s="60"/>
      <c r="BT69" s="60"/>
      <c r="BU69" s="60"/>
    </row>
    <row r="70" spans="1:73" x14ac:dyDescent="0.25">
      <c r="A70" s="51" t="s">
        <v>749</v>
      </c>
      <c r="B70" s="59" t="s">
        <v>349</v>
      </c>
      <c r="C70">
        <v>7</v>
      </c>
      <c r="D70" s="60"/>
      <c r="E70" s="61"/>
      <c r="F70" s="61" t="s">
        <v>439</v>
      </c>
      <c r="G70" s="61" t="s">
        <v>439</v>
      </c>
      <c r="H70" s="61" t="s">
        <v>439</v>
      </c>
      <c r="I70" s="61" t="s">
        <v>439</v>
      </c>
      <c r="J70" s="61" t="s">
        <v>439</v>
      </c>
      <c r="K70" s="61" t="s">
        <v>439</v>
      </c>
      <c r="L70" s="61" t="s">
        <v>439</v>
      </c>
      <c r="M70" s="61" t="s">
        <v>439</v>
      </c>
      <c r="N70" s="61" t="s">
        <v>439</v>
      </c>
      <c r="O70" s="61" t="s">
        <v>439</v>
      </c>
      <c r="P70" s="61" t="s">
        <v>439</v>
      </c>
      <c r="Q70" s="61" t="s">
        <v>439</v>
      </c>
      <c r="R70" s="61" t="s">
        <v>439</v>
      </c>
      <c r="S70" s="61" t="s">
        <v>439</v>
      </c>
      <c r="T70" s="61" t="s">
        <v>439</v>
      </c>
      <c r="U70" s="61" t="s">
        <v>439</v>
      </c>
      <c r="V70" s="61" t="s">
        <v>439</v>
      </c>
      <c r="W70" s="61" t="s">
        <v>439</v>
      </c>
      <c r="X70" s="61" t="s">
        <v>439</v>
      </c>
      <c r="Y70" s="61" t="s">
        <v>439</v>
      </c>
      <c r="Z70" s="61" t="s">
        <v>439</v>
      </c>
      <c r="AA70" s="61" t="s">
        <v>439</v>
      </c>
      <c r="AB70" s="61" t="s">
        <v>439</v>
      </c>
      <c r="AC70" s="61" t="s">
        <v>439</v>
      </c>
      <c r="AD70" s="61" t="s">
        <v>439</v>
      </c>
      <c r="AE70" s="61" t="s">
        <v>439</v>
      </c>
      <c r="AF70" s="61" t="s">
        <v>439</v>
      </c>
      <c r="AG70" s="61" t="s">
        <v>439</v>
      </c>
      <c r="AH70" s="61" t="s">
        <v>439</v>
      </c>
      <c r="AI70" s="60" t="s">
        <v>439</v>
      </c>
      <c r="AJ70" s="60" t="s">
        <v>439</v>
      </c>
      <c r="AK70" s="60"/>
      <c r="AL70" s="60"/>
      <c r="AM70" s="60"/>
      <c r="AN70" s="60" t="s">
        <v>439</v>
      </c>
      <c r="AO70" s="60" t="s">
        <v>439</v>
      </c>
      <c r="AP70" s="60"/>
      <c r="AQ70" s="60"/>
      <c r="AR70" s="60"/>
      <c r="AS70" s="60"/>
      <c r="AT70" s="60"/>
      <c r="AU70" s="60"/>
      <c r="AV70" s="60"/>
      <c r="AW70" s="60"/>
      <c r="AX70" s="60"/>
      <c r="AY70" s="60"/>
      <c r="AZ70" s="60"/>
      <c r="BA70" s="60"/>
      <c r="BB70" s="60"/>
      <c r="BD70" s="60"/>
      <c r="BE70" s="60"/>
      <c r="BF70" s="60"/>
      <c r="BH70" s="60"/>
      <c r="BI70" s="60"/>
      <c r="BJ70" s="60"/>
      <c r="BK70" s="60"/>
      <c r="BL70" s="60"/>
      <c r="BM70" s="60"/>
      <c r="BN70" s="60"/>
      <c r="BO70" s="60"/>
      <c r="BP70" s="60"/>
      <c r="BR70" s="61" t="s">
        <v>439</v>
      </c>
      <c r="BS70" s="60"/>
      <c r="BT70" s="60"/>
      <c r="BU70" s="60"/>
    </row>
    <row r="71" spans="1:73" x14ac:dyDescent="0.25">
      <c r="A71" s="51" t="s">
        <v>359</v>
      </c>
      <c r="B71" s="59" t="s">
        <v>349</v>
      </c>
      <c r="C71">
        <v>7</v>
      </c>
      <c r="D71" s="60"/>
      <c r="E71" s="61"/>
      <c r="F71" s="61" t="s">
        <v>439</v>
      </c>
      <c r="G71" s="61" t="s">
        <v>439</v>
      </c>
      <c r="H71" s="61" t="s">
        <v>439</v>
      </c>
      <c r="I71" s="61" t="s">
        <v>439</v>
      </c>
      <c r="J71" s="61" t="s">
        <v>439</v>
      </c>
      <c r="K71" s="61" t="s">
        <v>439</v>
      </c>
      <c r="L71" s="61" t="s">
        <v>439</v>
      </c>
      <c r="M71" s="61" t="s">
        <v>439</v>
      </c>
      <c r="N71" s="61" t="s">
        <v>439</v>
      </c>
      <c r="O71" s="61" t="s">
        <v>439</v>
      </c>
      <c r="P71" s="61" t="s">
        <v>439</v>
      </c>
      <c r="Q71" s="61" t="s">
        <v>439</v>
      </c>
      <c r="R71" s="61" t="s">
        <v>439</v>
      </c>
      <c r="S71" s="61" t="s">
        <v>439</v>
      </c>
      <c r="T71" s="61" t="s">
        <v>439</v>
      </c>
      <c r="U71" s="61" t="s">
        <v>439</v>
      </c>
      <c r="V71" s="61" t="s">
        <v>439</v>
      </c>
      <c r="W71" s="61" t="s">
        <v>439</v>
      </c>
      <c r="X71" s="61" t="s">
        <v>439</v>
      </c>
      <c r="Y71" s="61" t="s">
        <v>439</v>
      </c>
      <c r="Z71" s="61" t="s">
        <v>439</v>
      </c>
      <c r="AA71" s="61" t="s">
        <v>439</v>
      </c>
      <c r="AB71" s="61" t="s">
        <v>439</v>
      </c>
      <c r="AC71" s="61" t="s">
        <v>439</v>
      </c>
      <c r="AD71" s="61" t="s">
        <v>439</v>
      </c>
      <c r="AE71" s="61" t="s">
        <v>439</v>
      </c>
      <c r="AF71" s="61" t="s">
        <v>439</v>
      </c>
      <c r="AG71" s="61" t="s">
        <v>439</v>
      </c>
      <c r="AH71" s="61" t="s">
        <v>439</v>
      </c>
      <c r="AI71" s="60" t="s">
        <v>439</v>
      </c>
      <c r="AJ71" s="60" t="s">
        <v>439</v>
      </c>
      <c r="AK71" s="60"/>
      <c r="AL71" s="60"/>
      <c r="AM71" s="60"/>
      <c r="AN71" s="60" t="s">
        <v>439</v>
      </c>
      <c r="AO71" s="60" t="s">
        <v>439</v>
      </c>
      <c r="AP71" s="60"/>
      <c r="AQ71" s="60"/>
      <c r="AR71" s="60"/>
      <c r="AS71" s="60"/>
      <c r="AT71" s="60"/>
      <c r="AU71" s="60"/>
      <c r="AV71" s="60"/>
      <c r="AW71" s="60"/>
      <c r="AX71" s="60"/>
      <c r="AY71" s="60"/>
      <c r="AZ71" s="60"/>
      <c r="BA71" s="60"/>
      <c r="BB71" s="60"/>
      <c r="BD71" s="60"/>
      <c r="BE71" s="60"/>
      <c r="BF71" s="60"/>
      <c r="BH71" s="60"/>
      <c r="BI71" s="60"/>
      <c r="BJ71" s="60"/>
      <c r="BK71" s="60"/>
      <c r="BL71" s="60"/>
      <c r="BM71" s="60"/>
      <c r="BN71" s="60"/>
      <c r="BO71" s="60"/>
      <c r="BP71" s="60"/>
      <c r="BR71" s="61" t="s">
        <v>439</v>
      </c>
      <c r="BS71" s="60"/>
      <c r="BT71" s="60"/>
      <c r="BU71" s="60"/>
    </row>
    <row r="72" spans="1:73" x14ac:dyDescent="0.25">
      <c r="A72" s="51" t="s">
        <v>990</v>
      </c>
      <c r="B72" s="59" t="s">
        <v>349</v>
      </c>
      <c r="C72">
        <v>7</v>
      </c>
      <c r="D72" s="60"/>
      <c r="E72" s="61"/>
      <c r="F72" s="61" t="s">
        <v>439</v>
      </c>
      <c r="G72" s="61" t="s">
        <v>439</v>
      </c>
      <c r="H72" s="61" t="s">
        <v>439</v>
      </c>
      <c r="I72" s="61" t="s">
        <v>439</v>
      </c>
      <c r="J72" s="61" t="s">
        <v>439</v>
      </c>
      <c r="K72" s="61" t="s">
        <v>439</v>
      </c>
      <c r="L72" s="61" t="s">
        <v>439</v>
      </c>
      <c r="M72" s="61" t="s">
        <v>439</v>
      </c>
      <c r="N72" s="61" t="s">
        <v>439</v>
      </c>
      <c r="O72" s="61" t="s">
        <v>439</v>
      </c>
      <c r="P72" s="61" t="s">
        <v>439</v>
      </c>
      <c r="Q72" s="61" t="s">
        <v>439</v>
      </c>
      <c r="R72" s="61" t="s">
        <v>439</v>
      </c>
      <c r="S72" s="61" t="s">
        <v>439</v>
      </c>
      <c r="T72" s="61" t="s">
        <v>439</v>
      </c>
      <c r="U72" s="61" t="s">
        <v>439</v>
      </c>
      <c r="V72" s="61" t="s">
        <v>439</v>
      </c>
      <c r="W72" s="61" t="s">
        <v>439</v>
      </c>
      <c r="X72" s="61" t="s">
        <v>439</v>
      </c>
      <c r="Y72" s="61" t="s">
        <v>439</v>
      </c>
      <c r="Z72" s="61" t="s">
        <v>439</v>
      </c>
      <c r="AA72" s="61" t="s">
        <v>439</v>
      </c>
      <c r="AB72" s="61" t="s">
        <v>439</v>
      </c>
      <c r="AC72" s="61" t="s">
        <v>439</v>
      </c>
      <c r="AD72" s="61" t="s">
        <v>439</v>
      </c>
      <c r="AE72" s="61" t="s">
        <v>439</v>
      </c>
      <c r="AF72" s="61" t="s">
        <v>439</v>
      </c>
      <c r="AG72" s="61" t="s">
        <v>439</v>
      </c>
      <c r="AH72" s="61" t="s">
        <v>439</v>
      </c>
      <c r="AI72" s="60" t="s">
        <v>439</v>
      </c>
      <c r="AJ72" s="60" t="s">
        <v>439</v>
      </c>
      <c r="AK72" s="60"/>
      <c r="AL72" s="60"/>
      <c r="AM72" s="60"/>
      <c r="AN72" s="60" t="s">
        <v>439</v>
      </c>
      <c r="AO72" s="60" t="s">
        <v>439</v>
      </c>
      <c r="AP72" s="60"/>
      <c r="AQ72" s="60"/>
      <c r="AR72" s="60"/>
      <c r="AS72" s="60"/>
      <c r="AT72" s="60"/>
      <c r="AU72" s="60"/>
      <c r="AV72" s="60"/>
      <c r="AW72" s="60"/>
      <c r="AX72" s="60"/>
      <c r="AY72" s="60"/>
      <c r="AZ72" s="60"/>
      <c r="BA72" s="60"/>
      <c r="BB72" s="60"/>
      <c r="BD72" s="60"/>
      <c r="BE72" s="60"/>
      <c r="BF72" s="60"/>
      <c r="BH72" s="60"/>
      <c r="BI72" s="60"/>
      <c r="BJ72" s="60"/>
      <c r="BK72" s="60"/>
      <c r="BL72" s="60"/>
      <c r="BM72" s="60"/>
      <c r="BN72" s="60"/>
      <c r="BO72" s="60"/>
      <c r="BP72" s="60"/>
      <c r="BR72" s="61" t="s">
        <v>439</v>
      </c>
      <c r="BS72" s="60"/>
      <c r="BT72" s="60"/>
      <c r="BU72" s="60"/>
    </row>
    <row r="73" spans="1:73" x14ac:dyDescent="0.25">
      <c r="A73" s="51" t="s">
        <v>360</v>
      </c>
      <c r="B73" s="59" t="s">
        <v>349</v>
      </c>
      <c r="C73">
        <v>7</v>
      </c>
      <c r="D73" s="60"/>
      <c r="E73" s="61"/>
      <c r="F73" s="61" t="s">
        <v>439</v>
      </c>
      <c r="G73" s="61" t="s">
        <v>439</v>
      </c>
      <c r="H73" s="61" t="s">
        <v>439</v>
      </c>
      <c r="I73" s="61" t="s">
        <v>439</v>
      </c>
      <c r="J73" s="61" t="s">
        <v>439</v>
      </c>
      <c r="K73" s="61" t="s">
        <v>439</v>
      </c>
      <c r="L73" s="61" t="s">
        <v>439</v>
      </c>
      <c r="M73" s="61" t="s">
        <v>439</v>
      </c>
      <c r="N73" s="61" t="s">
        <v>439</v>
      </c>
      <c r="O73" s="61" t="s">
        <v>439</v>
      </c>
      <c r="P73" s="61" t="s">
        <v>439</v>
      </c>
      <c r="Q73" s="61" t="s">
        <v>439</v>
      </c>
      <c r="R73" s="61" t="s">
        <v>439</v>
      </c>
      <c r="S73" s="61" t="s">
        <v>439</v>
      </c>
      <c r="T73" s="61" t="s">
        <v>439</v>
      </c>
      <c r="U73" s="61" t="s">
        <v>439</v>
      </c>
      <c r="V73" s="61" t="s">
        <v>439</v>
      </c>
      <c r="W73" s="61" t="s">
        <v>439</v>
      </c>
      <c r="X73" s="61" t="s">
        <v>439</v>
      </c>
      <c r="Y73" s="61" t="s">
        <v>439</v>
      </c>
      <c r="Z73" s="61" t="s">
        <v>439</v>
      </c>
      <c r="AA73" s="61" t="s">
        <v>439</v>
      </c>
      <c r="AB73" s="61" t="s">
        <v>439</v>
      </c>
      <c r="AC73" s="61" t="s">
        <v>439</v>
      </c>
      <c r="AD73" s="61" t="s">
        <v>439</v>
      </c>
      <c r="AE73" s="61" t="s">
        <v>439</v>
      </c>
      <c r="AF73" s="61" t="s">
        <v>439</v>
      </c>
      <c r="AG73" s="61" t="s">
        <v>439</v>
      </c>
      <c r="AH73" s="61" t="s">
        <v>439</v>
      </c>
      <c r="AI73" s="60" t="s">
        <v>439</v>
      </c>
      <c r="AJ73" s="60" t="s">
        <v>439</v>
      </c>
      <c r="AK73" s="60"/>
      <c r="AL73" s="60"/>
      <c r="AM73" s="60"/>
      <c r="AN73" s="60" t="s">
        <v>439</v>
      </c>
      <c r="AO73" s="60" t="s">
        <v>439</v>
      </c>
      <c r="AP73" s="60"/>
      <c r="AQ73" s="60"/>
      <c r="AR73" s="60"/>
      <c r="AS73" s="60"/>
      <c r="AT73" s="60"/>
      <c r="AU73" s="60"/>
      <c r="AV73" s="60"/>
      <c r="AW73" s="60"/>
      <c r="AX73" s="60"/>
      <c r="AY73" s="60"/>
      <c r="AZ73" s="60"/>
      <c r="BA73" s="60"/>
      <c r="BB73" s="60"/>
      <c r="BD73" s="60"/>
      <c r="BE73" s="60"/>
      <c r="BF73" s="60"/>
      <c r="BH73" s="60"/>
      <c r="BI73" s="60"/>
      <c r="BJ73" s="60"/>
      <c r="BK73" s="60"/>
      <c r="BL73" s="60"/>
      <c r="BM73" s="60"/>
      <c r="BN73" s="60"/>
      <c r="BO73" s="60"/>
      <c r="BP73" s="60"/>
      <c r="BR73" s="61" t="s">
        <v>439</v>
      </c>
      <c r="BS73" s="60"/>
      <c r="BT73" s="60"/>
      <c r="BU73" s="60"/>
    </row>
    <row r="74" spans="1:73" x14ac:dyDescent="0.25">
      <c r="A74" s="51" t="s">
        <v>361</v>
      </c>
      <c r="B74" s="59" t="s">
        <v>349</v>
      </c>
      <c r="C74">
        <v>7</v>
      </c>
      <c r="D74" s="60"/>
      <c r="E74" s="61"/>
      <c r="F74" s="61" t="s">
        <v>439</v>
      </c>
      <c r="G74" s="61" t="s">
        <v>439</v>
      </c>
      <c r="H74" s="61" t="s">
        <v>439</v>
      </c>
      <c r="I74" s="61" t="s">
        <v>439</v>
      </c>
      <c r="J74" s="61" t="s">
        <v>439</v>
      </c>
      <c r="K74" s="61" t="s">
        <v>439</v>
      </c>
      <c r="L74" s="61" t="s">
        <v>439</v>
      </c>
      <c r="M74" s="61" t="s">
        <v>439</v>
      </c>
      <c r="N74" s="61" t="s">
        <v>439</v>
      </c>
      <c r="O74" s="61" t="s">
        <v>439</v>
      </c>
      <c r="P74" s="61" t="s">
        <v>439</v>
      </c>
      <c r="Q74" s="61" t="s">
        <v>439</v>
      </c>
      <c r="R74" s="61" t="s">
        <v>439</v>
      </c>
      <c r="S74" s="61" t="s">
        <v>439</v>
      </c>
      <c r="T74" s="61" t="s">
        <v>439</v>
      </c>
      <c r="U74" s="61" t="s">
        <v>439</v>
      </c>
      <c r="V74" s="61" t="s">
        <v>439</v>
      </c>
      <c r="W74" s="61" t="s">
        <v>439</v>
      </c>
      <c r="X74" s="61" t="s">
        <v>439</v>
      </c>
      <c r="Y74" s="61" t="s">
        <v>439</v>
      </c>
      <c r="Z74" s="61" t="s">
        <v>439</v>
      </c>
      <c r="AA74" s="61" t="s">
        <v>439</v>
      </c>
      <c r="AB74" s="61" t="s">
        <v>439</v>
      </c>
      <c r="AC74" s="61" t="s">
        <v>439</v>
      </c>
      <c r="AD74" s="61" t="s">
        <v>439</v>
      </c>
      <c r="AE74" s="61" t="s">
        <v>439</v>
      </c>
      <c r="AF74" s="61" t="s">
        <v>439</v>
      </c>
      <c r="AG74" s="61" t="s">
        <v>439</v>
      </c>
      <c r="AH74" s="61" t="s">
        <v>439</v>
      </c>
      <c r="AI74" s="60" t="s">
        <v>439</v>
      </c>
      <c r="AJ74" s="60" t="s">
        <v>439</v>
      </c>
      <c r="AK74" s="60"/>
      <c r="AL74" s="60"/>
      <c r="AM74" s="60"/>
      <c r="AN74" s="60" t="s">
        <v>439</v>
      </c>
      <c r="AO74" s="60" t="s">
        <v>439</v>
      </c>
      <c r="AP74" s="60"/>
      <c r="AQ74" s="60"/>
      <c r="AR74" s="60"/>
      <c r="AS74" s="60"/>
      <c r="AT74" s="60"/>
      <c r="AU74" s="60"/>
      <c r="AV74" s="60"/>
      <c r="AW74" s="60"/>
      <c r="AX74" s="60"/>
      <c r="AY74" s="60"/>
      <c r="AZ74" s="60"/>
      <c r="BA74" s="60"/>
      <c r="BB74" s="60"/>
      <c r="BD74" s="60"/>
      <c r="BE74" s="60"/>
      <c r="BF74" s="60"/>
      <c r="BH74" s="60"/>
      <c r="BI74" s="60"/>
      <c r="BJ74" s="60"/>
      <c r="BK74" s="60"/>
      <c r="BL74" s="60"/>
      <c r="BM74" s="60"/>
      <c r="BN74" s="60"/>
      <c r="BO74" s="60"/>
      <c r="BP74" s="60"/>
      <c r="BR74" s="61" t="s">
        <v>439</v>
      </c>
      <c r="BS74" s="60"/>
      <c r="BT74" s="60"/>
      <c r="BU74" s="60"/>
    </row>
    <row r="75" spans="1:73" x14ac:dyDescent="0.25">
      <c r="A75" s="51" t="s">
        <v>362</v>
      </c>
      <c r="B75" s="59" t="s">
        <v>349</v>
      </c>
      <c r="C75">
        <v>7</v>
      </c>
      <c r="D75" s="60"/>
      <c r="E75" s="61"/>
      <c r="F75" s="61" t="s">
        <v>439</v>
      </c>
      <c r="G75" s="61" t="s">
        <v>439</v>
      </c>
      <c r="H75" s="61" t="s">
        <v>439</v>
      </c>
      <c r="I75" s="61" t="s">
        <v>439</v>
      </c>
      <c r="J75" s="61" t="s">
        <v>439</v>
      </c>
      <c r="K75" s="61" t="s">
        <v>439</v>
      </c>
      <c r="L75" s="61" t="s">
        <v>439</v>
      </c>
      <c r="M75" s="61" t="s">
        <v>439</v>
      </c>
      <c r="N75" s="61" t="s">
        <v>439</v>
      </c>
      <c r="O75" s="61" t="s">
        <v>439</v>
      </c>
      <c r="P75" s="61" t="s">
        <v>439</v>
      </c>
      <c r="Q75" s="61" t="s">
        <v>439</v>
      </c>
      <c r="R75" s="61" t="s">
        <v>439</v>
      </c>
      <c r="S75" s="61" t="s">
        <v>439</v>
      </c>
      <c r="T75" s="61" t="s">
        <v>439</v>
      </c>
      <c r="U75" s="61" t="s">
        <v>439</v>
      </c>
      <c r="V75" s="61" t="s">
        <v>439</v>
      </c>
      <c r="W75" s="61" t="s">
        <v>439</v>
      </c>
      <c r="X75" s="61" t="s">
        <v>439</v>
      </c>
      <c r="Y75" s="61" t="s">
        <v>439</v>
      </c>
      <c r="Z75" s="61" t="s">
        <v>439</v>
      </c>
      <c r="AA75" s="61" t="s">
        <v>439</v>
      </c>
      <c r="AB75" s="61" t="s">
        <v>439</v>
      </c>
      <c r="AC75" s="61" t="s">
        <v>439</v>
      </c>
      <c r="AD75" s="61" t="s">
        <v>439</v>
      </c>
      <c r="AE75" s="61" t="s">
        <v>439</v>
      </c>
      <c r="AF75" s="61" t="s">
        <v>439</v>
      </c>
      <c r="AG75" s="61" t="s">
        <v>439</v>
      </c>
      <c r="AH75" s="61" t="s">
        <v>439</v>
      </c>
      <c r="AI75" s="60" t="s">
        <v>439</v>
      </c>
      <c r="AJ75" s="60" t="s">
        <v>439</v>
      </c>
      <c r="AK75" s="60"/>
      <c r="AL75" s="60"/>
      <c r="AM75" s="60"/>
      <c r="AN75" s="60" t="s">
        <v>439</v>
      </c>
      <c r="AO75" s="60" t="s">
        <v>439</v>
      </c>
      <c r="AP75" s="60"/>
      <c r="AQ75" s="60"/>
      <c r="AR75" s="60"/>
      <c r="AS75" s="60"/>
      <c r="AT75" s="60"/>
      <c r="AU75" s="60"/>
      <c r="AV75" s="60"/>
      <c r="AW75" s="60"/>
      <c r="AX75" s="60"/>
      <c r="AY75" s="60"/>
      <c r="AZ75" s="60"/>
      <c r="BA75" s="60"/>
      <c r="BB75" s="60"/>
      <c r="BD75" s="60"/>
      <c r="BE75" s="60"/>
      <c r="BF75" s="60"/>
      <c r="BH75" s="60"/>
      <c r="BI75" s="60"/>
      <c r="BJ75" s="60"/>
      <c r="BK75" s="60"/>
      <c r="BL75" s="60"/>
      <c r="BM75" s="60"/>
      <c r="BN75" s="60"/>
      <c r="BO75" s="60"/>
      <c r="BP75" s="60"/>
      <c r="BR75" s="61" t="s">
        <v>439</v>
      </c>
      <c r="BS75" s="60"/>
      <c r="BT75" s="60"/>
      <c r="BU75" s="60"/>
    </row>
    <row r="76" spans="1:73" x14ac:dyDescent="0.25">
      <c r="A76" s="51" t="s">
        <v>493</v>
      </c>
      <c r="B76" s="59" t="s">
        <v>349</v>
      </c>
      <c r="C76">
        <v>7</v>
      </c>
      <c r="D76" s="60"/>
      <c r="E76" s="61"/>
      <c r="F76" s="61" t="s">
        <v>439</v>
      </c>
      <c r="G76" s="61" t="s">
        <v>439</v>
      </c>
      <c r="H76" s="61" t="s">
        <v>439</v>
      </c>
      <c r="I76" s="61" t="s">
        <v>439</v>
      </c>
      <c r="J76" s="61" t="s">
        <v>439</v>
      </c>
      <c r="K76" s="61" t="s">
        <v>439</v>
      </c>
      <c r="L76" s="61" t="s">
        <v>439</v>
      </c>
      <c r="M76" s="61" t="s">
        <v>439</v>
      </c>
      <c r="N76" s="61" t="s">
        <v>439</v>
      </c>
      <c r="O76" s="61" t="s">
        <v>439</v>
      </c>
      <c r="P76" s="61" t="s">
        <v>439</v>
      </c>
      <c r="Q76" s="61" t="s">
        <v>439</v>
      </c>
      <c r="R76" s="61" t="s">
        <v>439</v>
      </c>
      <c r="S76" s="61" t="s">
        <v>439</v>
      </c>
      <c r="T76" s="61" t="s">
        <v>439</v>
      </c>
      <c r="U76" s="61" t="s">
        <v>439</v>
      </c>
      <c r="V76" s="61" t="s">
        <v>439</v>
      </c>
      <c r="W76" s="61" t="s">
        <v>439</v>
      </c>
      <c r="X76" s="61" t="s">
        <v>439</v>
      </c>
      <c r="Y76" s="61" t="s">
        <v>439</v>
      </c>
      <c r="Z76" s="61" t="s">
        <v>439</v>
      </c>
      <c r="AA76" s="61" t="s">
        <v>439</v>
      </c>
      <c r="AB76" s="61" t="s">
        <v>439</v>
      </c>
      <c r="AC76" s="61" t="s">
        <v>439</v>
      </c>
      <c r="AD76" s="61" t="s">
        <v>439</v>
      </c>
      <c r="AE76" s="61" t="s">
        <v>439</v>
      </c>
      <c r="AF76" s="61" t="s">
        <v>439</v>
      </c>
      <c r="AG76" s="61" t="s">
        <v>439</v>
      </c>
      <c r="AH76" s="61" t="s">
        <v>439</v>
      </c>
      <c r="AI76" s="60" t="s">
        <v>439</v>
      </c>
      <c r="AJ76" s="60" t="s">
        <v>439</v>
      </c>
      <c r="AK76" s="60"/>
      <c r="AL76" s="60"/>
      <c r="AM76" s="60"/>
      <c r="AN76" s="60" t="s">
        <v>439</v>
      </c>
      <c r="AO76" s="60" t="s">
        <v>439</v>
      </c>
      <c r="AP76" s="60"/>
      <c r="AQ76" s="60"/>
      <c r="AR76" s="60"/>
      <c r="AS76" s="60"/>
      <c r="AT76" s="60"/>
      <c r="AU76" s="60"/>
      <c r="AV76" s="60"/>
      <c r="AW76" s="60"/>
      <c r="AX76" s="60"/>
      <c r="AY76" s="60"/>
      <c r="AZ76" s="60"/>
      <c r="BA76" s="60"/>
      <c r="BB76" s="60"/>
      <c r="BD76" s="60"/>
      <c r="BE76" s="60"/>
      <c r="BF76" s="60"/>
      <c r="BH76" s="60"/>
      <c r="BI76" s="60"/>
      <c r="BJ76" s="60"/>
      <c r="BK76" s="60"/>
      <c r="BL76" s="60"/>
      <c r="BM76" s="60"/>
      <c r="BN76" s="60"/>
      <c r="BO76" s="60"/>
      <c r="BP76" s="60"/>
      <c r="BR76" s="61" t="s">
        <v>439</v>
      </c>
      <c r="BS76" s="60"/>
      <c r="BT76" s="60"/>
      <c r="BU76" s="60"/>
    </row>
    <row r="77" spans="1:73" x14ac:dyDescent="0.25">
      <c r="A77" s="51" t="s">
        <v>494</v>
      </c>
      <c r="B77" s="59" t="s">
        <v>349</v>
      </c>
      <c r="C77">
        <v>7</v>
      </c>
      <c r="D77" s="60"/>
      <c r="E77" s="61"/>
      <c r="F77" s="61" t="s">
        <v>439</v>
      </c>
      <c r="G77" s="61" t="s">
        <v>439</v>
      </c>
      <c r="H77" s="61" t="s">
        <v>439</v>
      </c>
      <c r="I77" s="61" t="s">
        <v>439</v>
      </c>
      <c r="J77" s="61" t="s">
        <v>439</v>
      </c>
      <c r="K77" s="61" t="s">
        <v>439</v>
      </c>
      <c r="L77" s="61" t="s">
        <v>439</v>
      </c>
      <c r="M77" s="61" t="s">
        <v>439</v>
      </c>
      <c r="N77" s="61" t="s">
        <v>439</v>
      </c>
      <c r="O77" s="61" t="s">
        <v>439</v>
      </c>
      <c r="P77" s="61" t="s">
        <v>439</v>
      </c>
      <c r="Q77" s="61" t="s">
        <v>439</v>
      </c>
      <c r="R77" s="61" t="s">
        <v>439</v>
      </c>
      <c r="S77" s="61" t="s">
        <v>439</v>
      </c>
      <c r="T77" s="61" t="s">
        <v>439</v>
      </c>
      <c r="U77" s="61" t="s">
        <v>439</v>
      </c>
      <c r="V77" s="61" t="s">
        <v>439</v>
      </c>
      <c r="W77" s="61" t="s">
        <v>439</v>
      </c>
      <c r="X77" s="61" t="s">
        <v>439</v>
      </c>
      <c r="Y77" s="61" t="s">
        <v>439</v>
      </c>
      <c r="Z77" s="61" t="s">
        <v>439</v>
      </c>
      <c r="AA77" s="61" t="s">
        <v>439</v>
      </c>
      <c r="AB77" s="61" t="s">
        <v>439</v>
      </c>
      <c r="AC77" s="61" t="s">
        <v>439</v>
      </c>
      <c r="AD77" s="61" t="s">
        <v>439</v>
      </c>
      <c r="AE77" s="61" t="s">
        <v>439</v>
      </c>
      <c r="AF77" s="61" t="s">
        <v>439</v>
      </c>
      <c r="AG77" s="61" t="s">
        <v>439</v>
      </c>
      <c r="AH77" s="61" t="s">
        <v>439</v>
      </c>
      <c r="AI77" s="60" t="s">
        <v>439</v>
      </c>
      <c r="AJ77" s="60" t="s">
        <v>439</v>
      </c>
      <c r="AK77" s="60"/>
      <c r="AL77" s="60"/>
      <c r="AM77" s="60"/>
      <c r="AN77" s="60" t="s">
        <v>439</v>
      </c>
      <c r="AO77" s="60" t="s">
        <v>439</v>
      </c>
      <c r="AP77" s="60"/>
      <c r="AQ77" s="60"/>
      <c r="AR77" s="60"/>
      <c r="AS77" s="60"/>
      <c r="AT77" s="60"/>
      <c r="AU77" s="60"/>
      <c r="AV77" s="60"/>
      <c r="AW77" s="60"/>
      <c r="AX77" s="60"/>
      <c r="AY77" s="60"/>
      <c r="AZ77" s="60"/>
      <c r="BA77" s="60"/>
      <c r="BB77" s="60"/>
      <c r="BD77" s="60"/>
      <c r="BE77" s="60"/>
      <c r="BF77" s="60"/>
      <c r="BH77" s="60"/>
      <c r="BI77" s="60"/>
      <c r="BJ77" s="60"/>
      <c r="BK77" s="60"/>
      <c r="BL77" s="60"/>
      <c r="BM77" s="60"/>
      <c r="BN77" s="60"/>
      <c r="BO77" s="60"/>
      <c r="BP77" s="60"/>
      <c r="BR77" s="61" t="s">
        <v>439</v>
      </c>
      <c r="BS77" s="60"/>
      <c r="BT77" s="60"/>
      <c r="BU77" s="60"/>
    </row>
    <row r="78" spans="1:73" x14ac:dyDescent="0.25">
      <c r="A78" s="51" t="s">
        <v>495</v>
      </c>
      <c r="B78" s="59" t="s">
        <v>349</v>
      </c>
      <c r="C78">
        <v>7</v>
      </c>
      <c r="D78" s="60"/>
      <c r="E78" s="61"/>
      <c r="F78" s="61" t="s">
        <v>439</v>
      </c>
      <c r="G78" s="61" t="s">
        <v>439</v>
      </c>
      <c r="H78" s="61" t="s">
        <v>439</v>
      </c>
      <c r="I78" s="61" t="s">
        <v>439</v>
      </c>
      <c r="J78" s="61" t="s">
        <v>439</v>
      </c>
      <c r="K78" s="61" t="s">
        <v>439</v>
      </c>
      <c r="L78" s="61" t="s">
        <v>439</v>
      </c>
      <c r="M78" s="61" t="s">
        <v>439</v>
      </c>
      <c r="N78" s="61" t="s">
        <v>439</v>
      </c>
      <c r="O78" s="61" t="s">
        <v>439</v>
      </c>
      <c r="P78" s="61" t="s">
        <v>439</v>
      </c>
      <c r="Q78" s="61" t="s">
        <v>439</v>
      </c>
      <c r="R78" s="61" t="s">
        <v>439</v>
      </c>
      <c r="S78" s="61" t="s">
        <v>439</v>
      </c>
      <c r="T78" s="61" t="s">
        <v>439</v>
      </c>
      <c r="U78" s="61" t="s">
        <v>439</v>
      </c>
      <c r="V78" s="61" t="s">
        <v>439</v>
      </c>
      <c r="W78" s="61" t="s">
        <v>439</v>
      </c>
      <c r="X78" s="61" t="s">
        <v>439</v>
      </c>
      <c r="Y78" s="61" t="s">
        <v>439</v>
      </c>
      <c r="Z78" s="61" t="s">
        <v>439</v>
      </c>
      <c r="AA78" s="61" t="s">
        <v>439</v>
      </c>
      <c r="AB78" s="61" t="s">
        <v>439</v>
      </c>
      <c r="AC78" s="61" t="s">
        <v>439</v>
      </c>
      <c r="AD78" s="61" t="s">
        <v>439</v>
      </c>
      <c r="AE78" s="61" t="s">
        <v>439</v>
      </c>
      <c r="AF78" s="61" t="s">
        <v>439</v>
      </c>
      <c r="AG78" s="61" t="s">
        <v>439</v>
      </c>
      <c r="AH78" s="61" t="s">
        <v>439</v>
      </c>
      <c r="AI78" s="60" t="s">
        <v>439</v>
      </c>
      <c r="AJ78" s="60" t="s">
        <v>439</v>
      </c>
      <c r="AK78" s="60"/>
      <c r="AL78" s="60"/>
      <c r="AM78" s="60"/>
      <c r="AN78" s="60" t="s">
        <v>439</v>
      </c>
      <c r="AO78" s="60" t="s">
        <v>439</v>
      </c>
      <c r="AP78" s="60"/>
      <c r="AQ78" s="60"/>
      <c r="AR78" s="60"/>
      <c r="AS78" s="60"/>
      <c r="AT78" s="60"/>
      <c r="AU78" s="60"/>
      <c r="AV78" s="60"/>
      <c r="AW78" s="60"/>
      <c r="AX78" s="60"/>
      <c r="AY78" s="60"/>
      <c r="AZ78" s="60"/>
      <c r="BA78" s="60"/>
      <c r="BB78" s="60"/>
      <c r="BD78" s="60"/>
      <c r="BE78" s="60"/>
      <c r="BF78" s="60"/>
      <c r="BH78" s="60"/>
      <c r="BI78" s="60"/>
      <c r="BJ78" s="60"/>
      <c r="BK78" s="60"/>
      <c r="BL78" s="60"/>
      <c r="BM78" s="60"/>
      <c r="BN78" s="60"/>
      <c r="BO78" s="60"/>
      <c r="BP78" s="60"/>
      <c r="BR78" s="61" t="s">
        <v>439</v>
      </c>
      <c r="BS78" s="60"/>
      <c r="BT78" s="60"/>
      <c r="BU78" s="60"/>
    </row>
    <row r="79" spans="1:73" x14ac:dyDescent="0.25">
      <c r="A79" s="51" t="s">
        <v>991</v>
      </c>
      <c r="B79" s="59" t="s">
        <v>349</v>
      </c>
      <c r="C79">
        <v>7</v>
      </c>
      <c r="D79" s="60"/>
      <c r="E79" s="61"/>
      <c r="F79" s="61" t="s">
        <v>439</v>
      </c>
      <c r="G79" s="61" t="s">
        <v>439</v>
      </c>
      <c r="H79" s="61" t="s">
        <v>439</v>
      </c>
      <c r="I79" s="61" t="s">
        <v>439</v>
      </c>
      <c r="J79" s="61" t="s">
        <v>439</v>
      </c>
      <c r="K79" s="61" t="s">
        <v>439</v>
      </c>
      <c r="L79" s="61" t="s">
        <v>439</v>
      </c>
      <c r="M79" s="61" t="s">
        <v>439</v>
      </c>
      <c r="N79" s="61" t="s">
        <v>439</v>
      </c>
      <c r="O79" s="61" t="s">
        <v>439</v>
      </c>
      <c r="P79" s="61" t="s">
        <v>439</v>
      </c>
      <c r="Q79" s="61" t="s">
        <v>439</v>
      </c>
      <c r="R79" s="61" t="s">
        <v>439</v>
      </c>
      <c r="S79" s="61"/>
      <c r="T79" s="61"/>
      <c r="U79" s="61" t="s">
        <v>439</v>
      </c>
      <c r="V79" s="61" t="s">
        <v>439</v>
      </c>
      <c r="W79" s="61" t="s">
        <v>439</v>
      </c>
      <c r="X79" s="61" t="s">
        <v>439</v>
      </c>
      <c r="Y79" s="61" t="s">
        <v>439</v>
      </c>
      <c r="Z79" s="61" t="s">
        <v>439</v>
      </c>
      <c r="AA79" s="61" t="s">
        <v>439</v>
      </c>
      <c r="AB79" s="61" t="s">
        <v>439</v>
      </c>
      <c r="AC79" s="61" t="s">
        <v>439</v>
      </c>
      <c r="AD79" s="61" t="s">
        <v>439</v>
      </c>
      <c r="AE79" s="61" t="s">
        <v>439</v>
      </c>
      <c r="AF79" s="61" t="s">
        <v>439</v>
      </c>
      <c r="AG79" s="61" t="s">
        <v>439</v>
      </c>
      <c r="AH79" s="61" t="s">
        <v>439</v>
      </c>
      <c r="AI79" s="60"/>
      <c r="AJ79" s="60"/>
      <c r="AK79" s="60" t="s">
        <v>439</v>
      </c>
      <c r="AL79" s="60" t="s">
        <v>439</v>
      </c>
      <c r="AM79" s="60" t="s">
        <v>439</v>
      </c>
      <c r="AN79" s="60"/>
      <c r="AO79" s="60"/>
      <c r="AP79" s="60" t="s">
        <v>439</v>
      </c>
      <c r="AQ79" s="60" t="s">
        <v>439</v>
      </c>
      <c r="AR79" s="60" t="s">
        <v>439</v>
      </c>
      <c r="AS79" s="60" t="s">
        <v>439</v>
      </c>
      <c r="AT79" s="60" t="s">
        <v>439</v>
      </c>
      <c r="AU79" s="60" t="s">
        <v>439</v>
      </c>
      <c r="AV79" s="60" t="s">
        <v>439</v>
      </c>
      <c r="AW79" s="60" t="s">
        <v>439</v>
      </c>
      <c r="AX79" s="60" t="s">
        <v>439</v>
      </c>
      <c r="AY79" s="60" t="s">
        <v>439</v>
      </c>
      <c r="AZ79" s="60" t="s">
        <v>439</v>
      </c>
      <c r="BA79" s="60"/>
      <c r="BB79" s="60"/>
      <c r="BC79" s="60" t="s">
        <v>439</v>
      </c>
      <c r="BD79" s="61" t="s">
        <v>439</v>
      </c>
      <c r="BE79" s="61" t="s">
        <v>439</v>
      </c>
      <c r="BF79" s="61" t="s">
        <v>439</v>
      </c>
      <c r="BG79" s="61" t="s">
        <v>439</v>
      </c>
      <c r="BH79" s="61" t="s">
        <v>439</v>
      </c>
      <c r="BI79" s="61" t="s">
        <v>439</v>
      </c>
      <c r="BJ79" s="61" t="s">
        <v>439</v>
      </c>
      <c r="BK79" s="61" t="s">
        <v>439</v>
      </c>
      <c r="BL79" s="61" t="s">
        <v>439</v>
      </c>
      <c r="BM79" s="61" t="s">
        <v>439</v>
      </c>
      <c r="BN79" s="61" t="s">
        <v>439</v>
      </c>
      <c r="BO79" s="61" t="s">
        <v>439</v>
      </c>
      <c r="BP79" s="61" t="s">
        <v>439</v>
      </c>
      <c r="BQ79" s="61" t="s">
        <v>439</v>
      </c>
      <c r="BR79" s="61" t="s">
        <v>439</v>
      </c>
      <c r="BS79" s="61" t="s">
        <v>439</v>
      </c>
      <c r="BT79" s="61" t="s">
        <v>439</v>
      </c>
      <c r="BU79" s="60"/>
    </row>
    <row r="80" spans="1:73" x14ac:dyDescent="0.25">
      <c r="A80" s="51" t="s">
        <v>496</v>
      </c>
      <c r="B80" s="59" t="s">
        <v>349</v>
      </c>
      <c r="C80">
        <v>7</v>
      </c>
      <c r="D80" s="60"/>
      <c r="E80" s="61"/>
      <c r="F80" s="61" t="s">
        <v>439</v>
      </c>
      <c r="G80" s="61" t="s">
        <v>439</v>
      </c>
      <c r="H80" s="61" t="s">
        <v>439</v>
      </c>
      <c r="I80" s="61" t="s">
        <v>439</v>
      </c>
      <c r="J80" s="61" t="s">
        <v>439</v>
      </c>
      <c r="K80" s="61" t="s">
        <v>439</v>
      </c>
      <c r="L80" s="61" t="s">
        <v>439</v>
      </c>
      <c r="M80" s="61" t="s">
        <v>439</v>
      </c>
      <c r="N80" s="61" t="s">
        <v>439</v>
      </c>
      <c r="O80" s="61" t="s">
        <v>439</v>
      </c>
      <c r="P80" s="61" t="s">
        <v>439</v>
      </c>
      <c r="Q80" s="61" t="s">
        <v>439</v>
      </c>
      <c r="R80" s="61" t="s">
        <v>439</v>
      </c>
      <c r="S80" s="61"/>
      <c r="T80" s="61"/>
      <c r="U80" s="61" t="s">
        <v>439</v>
      </c>
      <c r="V80" s="61" t="s">
        <v>439</v>
      </c>
      <c r="W80" s="61" t="s">
        <v>439</v>
      </c>
      <c r="X80" s="61" t="s">
        <v>439</v>
      </c>
      <c r="Y80" s="61" t="s">
        <v>439</v>
      </c>
      <c r="Z80" s="61" t="s">
        <v>439</v>
      </c>
      <c r="AA80" s="61" t="s">
        <v>439</v>
      </c>
      <c r="AB80" s="61" t="s">
        <v>439</v>
      </c>
      <c r="AC80" s="61" t="s">
        <v>439</v>
      </c>
      <c r="AD80" s="61" t="s">
        <v>439</v>
      </c>
      <c r="AE80" s="61" t="s">
        <v>439</v>
      </c>
      <c r="AF80" s="61" t="s">
        <v>439</v>
      </c>
      <c r="AG80" s="61" t="s">
        <v>439</v>
      </c>
      <c r="AH80" s="61" t="s">
        <v>439</v>
      </c>
      <c r="AI80" s="60"/>
      <c r="AJ80" s="60"/>
      <c r="AK80" s="60" t="s">
        <v>439</v>
      </c>
      <c r="AL80" s="60" t="s">
        <v>439</v>
      </c>
      <c r="AM80" s="60" t="s">
        <v>439</v>
      </c>
      <c r="AN80" s="60"/>
      <c r="AO80" s="60"/>
      <c r="AP80" s="60" t="s">
        <v>439</v>
      </c>
      <c r="AQ80" s="60" t="s">
        <v>439</v>
      </c>
      <c r="AR80" s="60" t="s">
        <v>439</v>
      </c>
      <c r="AS80" s="60" t="s">
        <v>439</v>
      </c>
      <c r="AT80" s="60" t="s">
        <v>439</v>
      </c>
      <c r="AU80" s="60" t="s">
        <v>439</v>
      </c>
      <c r="AV80" s="60" t="s">
        <v>439</v>
      </c>
      <c r="AW80" s="60" t="s">
        <v>439</v>
      </c>
      <c r="AX80" s="60" t="s">
        <v>439</v>
      </c>
      <c r="AY80" s="60" t="s">
        <v>439</v>
      </c>
      <c r="AZ80" s="60" t="s">
        <v>439</v>
      </c>
      <c r="BA80" s="60"/>
      <c r="BB80" s="60"/>
      <c r="BC80" s="60" t="s">
        <v>439</v>
      </c>
      <c r="BD80" s="61" t="s">
        <v>439</v>
      </c>
      <c r="BE80" s="61" t="s">
        <v>439</v>
      </c>
      <c r="BF80" s="61" t="s">
        <v>439</v>
      </c>
      <c r="BG80" s="61" t="s">
        <v>439</v>
      </c>
      <c r="BH80" s="61" t="s">
        <v>439</v>
      </c>
      <c r="BI80" s="61" t="s">
        <v>439</v>
      </c>
      <c r="BJ80" s="61" t="s">
        <v>439</v>
      </c>
      <c r="BK80" s="61" t="s">
        <v>439</v>
      </c>
      <c r="BL80" s="61" t="s">
        <v>439</v>
      </c>
      <c r="BM80" s="61" t="s">
        <v>439</v>
      </c>
      <c r="BN80" s="61" t="s">
        <v>439</v>
      </c>
      <c r="BO80" s="61" t="s">
        <v>439</v>
      </c>
      <c r="BP80" s="61" t="s">
        <v>439</v>
      </c>
      <c r="BQ80" s="61" t="s">
        <v>439</v>
      </c>
      <c r="BR80" s="61" t="s">
        <v>439</v>
      </c>
      <c r="BS80" s="61" t="s">
        <v>439</v>
      </c>
      <c r="BT80" s="61" t="s">
        <v>439</v>
      </c>
      <c r="BU80" s="60"/>
    </row>
    <row r="81" spans="1:73" x14ac:dyDescent="0.25">
      <c r="A81" s="51" t="s">
        <v>497</v>
      </c>
      <c r="B81" s="59" t="s">
        <v>349</v>
      </c>
      <c r="C81">
        <v>7</v>
      </c>
      <c r="D81" s="60"/>
      <c r="E81" s="61"/>
      <c r="F81" s="61" t="s">
        <v>439</v>
      </c>
      <c r="G81" s="61" t="s">
        <v>439</v>
      </c>
      <c r="H81" s="61" t="s">
        <v>439</v>
      </c>
      <c r="I81" s="61" t="s">
        <v>439</v>
      </c>
      <c r="J81" s="61" t="s">
        <v>439</v>
      </c>
      <c r="K81" s="61" t="s">
        <v>439</v>
      </c>
      <c r="L81" s="61" t="s">
        <v>439</v>
      </c>
      <c r="M81" s="61" t="s">
        <v>439</v>
      </c>
      <c r="N81" s="61" t="s">
        <v>439</v>
      </c>
      <c r="O81" s="61" t="s">
        <v>439</v>
      </c>
      <c r="P81" s="61" t="s">
        <v>439</v>
      </c>
      <c r="Q81" s="61" t="s">
        <v>439</v>
      </c>
      <c r="R81" s="61" t="s">
        <v>439</v>
      </c>
      <c r="S81" s="61"/>
      <c r="T81" s="61"/>
      <c r="U81" s="61" t="s">
        <v>439</v>
      </c>
      <c r="V81" s="61" t="s">
        <v>439</v>
      </c>
      <c r="W81" s="61" t="s">
        <v>439</v>
      </c>
      <c r="X81" s="61" t="s">
        <v>439</v>
      </c>
      <c r="Y81" s="61" t="s">
        <v>439</v>
      </c>
      <c r="Z81" s="61" t="s">
        <v>439</v>
      </c>
      <c r="AA81" s="61" t="s">
        <v>439</v>
      </c>
      <c r="AB81" s="61" t="s">
        <v>439</v>
      </c>
      <c r="AC81" s="61" t="s">
        <v>439</v>
      </c>
      <c r="AD81" s="61" t="s">
        <v>439</v>
      </c>
      <c r="AE81" s="61" t="s">
        <v>439</v>
      </c>
      <c r="AF81" s="61" t="s">
        <v>439</v>
      </c>
      <c r="AG81" s="61" t="s">
        <v>439</v>
      </c>
      <c r="AH81" s="61" t="s">
        <v>439</v>
      </c>
      <c r="AI81" s="61"/>
      <c r="AJ81" s="61"/>
      <c r="AK81" s="60" t="s">
        <v>439</v>
      </c>
      <c r="AL81" s="60" t="s">
        <v>439</v>
      </c>
      <c r="AM81" s="60" t="s">
        <v>439</v>
      </c>
      <c r="AN81" s="60"/>
      <c r="AO81" s="60"/>
      <c r="AP81" s="60" t="s">
        <v>439</v>
      </c>
      <c r="AQ81" s="60" t="s">
        <v>439</v>
      </c>
      <c r="AR81" s="60" t="s">
        <v>439</v>
      </c>
      <c r="AS81" s="60" t="s">
        <v>439</v>
      </c>
      <c r="AT81" s="60" t="s">
        <v>439</v>
      </c>
      <c r="AU81" s="60" t="s">
        <v>439</v>
      </c>
      <c r="AV81" s="60" t="s">
        <v>439</v>
      </c>
      <c r="AW81" s="60" t="s">
        <v>439</v>
      </c>
      <c r="AX81" s="60" t="s">
        <v>439</v>
      </c>
      <c r="AY81" s="60" t="s">
        <v>439</v>
      </c>
      <c r="AZ81" s="60" t="s">
        <v>439</v>
      </c>
      <c r="BA81" s="60"/>
      <c r="BB81" s="60"/>
      <c r="BC81" s="60" t="s">
        <v>439</v>
      </c>
      <c r="BD81" s="61" t="s">
        <v>439</v>
      </c>
      <c r="BE81" s="61" t="s">
        <v>439</v>
      </c>
      <c r="BF81" s="61" t="s">
        <v>439</v>
      </c>
      <c r="BG81" s="61" t="s">
        <v>439</v>
      </c>
      <c r="BH81" s="61" t="s">
        <v>439</v>
      </c>
      <c r="BI81" s="61" t="s">
        <v>439</v>
      </c>
      <c r="BJ81" s="61" t="s">
        <v>439</v>
      </c>
      <c r="BK81" s="61" t="s">
        <v>439</v>
      </c>
      <c r="BL81" s="61" t="s">
        <v>439</v>
      </c>
      <c r="BM81" s="61" t="s">
        <v>439</v>
      </c>
      <c r="BN81" s="61" t="s">
        <v>439</v>
      </c>
      <c r="BO81" s="61" t="s">
        <v>439</v>
      </c>
      <c r="BP81" s="61" t="s">
        <v>439</v>
      </c>
      <c r="BQ81" s="61" t="s">
        <v>439</v>
      </c>
      <c r="BR81" s="61" t="s">
        <v>439</v>
      </c>
      <c r="BS81" s="61" t="s">
        <v>439</v>
      </c>
      <c r="BT81" s="61" t="s">
        <v>439</v>
      </c>
      <c r="BU81" s="60"/>
    </row>
    <row r="82" spans="1:73" x14ac:dyDescent="0.25">
      <c r="A82" s="51" t="s">
        <v>373</v>
      </c>
      <c r="B82" s="59" t="s">
        <v>347</v>
      </c>
      <c r="C82">
        <v>8</v>
      </c>
      <c r="D82" s="60"/>
      <c r="E82" s="61"/>
      <c r="F82" s="61" t="s">
        <v>439</v>
      </c>
      <c r="G82" s="61" t="s">
        <v>439</v>
      </c>
      <c r="H82" s="61" t="s">
        <v>439</v>
      </c>
      <c r="I82" s="61" t="s">
        <v>439</v>
      </c>
      <c r="J82" s="61" t="s">
        <v>439</v>
      </c>
      <c r="K82" s="61" t="s">
        <v>439</v>
      </c>
      <c r="L82" s="61" t="s">
        <v>439</v>
      </c>
      <c r="M82" s="61" t="s">
        <v>439</v>
      </c>
      <c r="N82" s="61"/>
      <c r="O82" s="61"/>
      <c r="P82" s="61"/>
      <c r="Q82" s="60"/>
      <c r="R82" s="60"/>
      <c r="S82" s="60" t="s">
        <v>439</v>
      </c>
      <c r="T82" s="60" t="s">
        <v>439</v>
      </c>
      <c r="U82" s="60" t="s">
        <v>439</v>
      </c>
      <c r="V82" s="60"/>
      <c r="W82" s="60"/>
      <c r="X82" s="60"/>
      <c r="Y82" s="60"/>
      <c r="Z82" s="60"/>
      <c r="AA82" s="60"/>
      <c r="AB82" s="60"/>
      <c r="AC82" s="60"/>
      <c r="AD82" s="61" t="s">
        <v>439</v>
      </c>
      <c r="AE82" s="60"/>
      <c r="AF82" s="60"/>
      <c r="AG82" s="60"/>
      <c r="AH82" s="60"/>
      <c r="AI82" s="60"/>
      <c r="AJ82" s="60"/>
      <c r="AK82" s="60"/>
      <c r="AL82" s="60"/>
      <c r="AM82" s="60"/>
      <c r="AN82" s="60"/>
      <c r="AO82" s="60"/>
      <c r="AP82" s="60"/>
      <c r="AQ82" s="60"/>
      <c r="AR82" s="60"/>
      <c r="AS82" s="60"/>
      <c r="AT82" s="60"/>
      <c r="AU82" s="60"/>
      <c r="AV82" s="60"/>
      <c r="AW82" s="60"/>
      <c r="AX82" s="60"/>
      <c r="AY82" s="60"/>
      <c r="AZ82" s="60"/>
      <c r="BA82" s="60"/>
      <c r="BB82" s="60"/>
      <c r="BC82" s="60"/>
      <c r="BD82" s="60"/>
      <c r="BE82" s="60"/>
      <c r="BF82" s="60"/>
      <c r="BH82" s="60"/>
      <c r="BI82" s="60"/>
      <c r="BJ82" s="60"/>
      <c r="BK82" s="60"/>
      <c r="BL82" s="60"/>
      <c r="BM82" s="60"/>
      <c r="BN82" s="60"/>
      <c r="BO82" s="60"/>
      <c r="BP82" s="60"/>
      <c r="BQ82" s="60"/>
      <c r="BR82" s="60"/>
      <c r="BS82" s="60"/>
      <c r="BT82" s="60"/>
      <c r="BU82" s="60"/>
    </row>
    <row r="83" spans="1:73" x14ac:dyDescent="0.25">
      <c r="A83" s="51" t="s">
        <v>498</v>
      </c>
      <c r="B83" s="59" t="s">
        <v>347</v>
      </c>
      <c r="C83">
        <v>8</v>
      </c>
      <c r="D83" s="60"/>
      <c r="E83" s="61"/>
      <c r="F83" s="61" t="s">
        <v>439</v>
      </c>
      <c r="G83" s="61" t="s">
        <v>439</v>
      </c>
      <c r="H83" s="61" t="s">
        <v>439</v>
      </c>
      <c r="I83" s="61" t="s">
        <v>439</v>
      </c>
      <c r="J83" s="61" t="s">
        <v>439</v>
      </c>
      <c r="K83" s="61" t="s">
        <v>439</v>
      </c>
      <c r="L83" s="61" t="s">
        <v>439</v>
      </c>
      <c r="M83" s="61" t="s">
        <v>439</v>
      </c>
      <c r="N83" s="61"/>
      <c r="O83" s="61"/>
      <c r="P83" s="61"/>
      <c r="Q83" s="60"/>
      <c r="R83" s="60"/>
      <c r="S83" s="60" t="s">
        <v>439</v>
      </c>
      <c r="T83" s="60" t="s">
        <v>439</v>
      </c>
      <c r="U83" s="60" t="s">
        <v>439</v>
      </c>
      <c r="V83" s="60"/>
      <c r="W83" s="60"/>
      <c r="X83" s="60"/>
      <c r="Y83" s="60"/>
      <c r="Z83" s="60"/>
      <c r="AA83" s="60"/>
      <c r="AB83" s="60"/>
      <c r="AC83" s="60"/>
      <c r="AD83" s="61" t="s">
        <v>439</v>
      </c>
      <c r="AE83" s="60"/>
      <c r="AF83" s="60"/>
      <c r="AG83" s="60"/>
      <c r="AH83" s="60"/>
      <c r="AI83" s="60"/>
      <c r="AJ83" s="60"/>
      <c r="AK83" s="60"/>
      <c r="AL83" s="60"/>
      <c r="AM83" s="60"/>
      <c r="AN83" s="60"/>
      <c r="AO83" s="60"/>
      <c r="AP83" s="60"/>
      <c r="AQ83" s="60"/>
      <c r="AR83" s="60"/>
      <c r="AS83" s="60"/>
      <c r="AT83" s="60"/>
      <c r="AU83" s="60"/>
      <c r="AV83" s="60"/>
      <c r="AW83" s="60"/>
      <c r="AX83" s="60"/>
      <c r="AY83" s="60"/>
      <c r="AZ83" s="60"/>
      <c r="BA83" s="60"/>
      <c r="BB83" s="60"/>
      <c r="BC83" s="60"/>
      <c r="BD83" s="60"/>
      <c r="BE83" s="60"/>
      <c r="BF83" s="60"/>
    </row>
  </sheetData>
  <autoFilter ref="A2:C83" xr:uid="{60EDBF3C-0AF2-4FCE-9325-FF7D8D7802E2}"/>
  <pageMargins left="0.7" right="0.7" top="0.75" bottom="0.75" header="0.3" footer="0.3"/>
  <pageSetup orientation="portrait" r:id="rId1"/>
  <drawing r:id="rId2"/>
  <legacyDrawing r:id="rId3"/>
  <controls>
    <mc:AlternateContent xmlns:mc="http://schemas.openxmlformats.org/markup-compatibility/2006">
      <mc:Choice Requires="x14">
        <control shapeId="16388" r:id="rId4" name="Import">
          <controlPr defaultSize="0" autoLine="0" r:id="rId5">
            <anchor moveWithCells="1">
              <from>
                <xdr:col>0</xdr:col>
                <xdr:colOff>4064000</xdr:colOff>
                <xdr:row>0</xdr:row>
                <xdr:rowOff>12700</xdr:rowOff>
              </from>
              <to>
                <xdr:col>0</xdr:col>
                <xdr:colOff>5219700</xdr:colOff>
                <xdr:row>0</xdr:row>
                <xdr:rowOff>323850</xdr:rowOff>
              </to>
            </anchor>
          </controlPr>
        </control>
      </mc:Choice>
      <mc:Fallback>
        <control shapeId="16388" r:id="rId4" name="Import"/>
      </mc:Fallback>
    </mc:AlternateContent>
    <mc:AlternateContent xmlns:mc="http://schemas.openxmlformats.org/markup-compatibility/2006">
      <mc:Choice Requires="x14">
        <control shapeId="16387" r:id="rId6" name="UpdateValidation">
          <controlPr defaultSize="0" autoFill="0" autoLine="0" r:id="rId7">
            <anchor moveWithCells="1">
              <from>
                <xdr:col>0</xdr:col>
                <xdr:colOff>1270000</xdr:colOff>
                <xdr:row>0</xdr:row>
                <xdr:rowOff>12700</xdr:rowOff>
              </from>
              <to>
                <xdr:col>0</xdr:col>
                <xdr:colOff>2425700</xdr:colOff>
                <xdr:row>0</xdr:row>
                <xdr:rowOff>323850</xdr:rowOff>
              </to>
            </anchor>
          </controlPr>
        </control>
      </mc:Choice>
      <mc:Fallback>
        <control shapeId="16387" r:id="rId6" name="UpdateValidation"/>
      </mc:Fallback>
    </mc:AlternateContent>
    <mc:AlternateContent xmlns:mc="http://schemas.openxmlformats.org/markup-compatibility/2006">
      <mc:Choice Requires="x14">
        <control shapeId="16386" r:id="rId8" name="UpdateHelp">
          <controlPr defaultSize="0" autoLine="0" r:id="rId9">
            <anchor moveWithCells="1">
              <from>
                <xdr:col>0</xdr:col>
                <xdr:colOff>88900</xdr:colOff>
                <xdr:row>0</xdr:row>
                <xdr:rowOff>12700</xdr:rowOff>
              </from>
              <to>
                <xdr:col>0</xdr:col>
                <xdr:colOff>1244600</xdr:colOff>
                <xdr:row>0</xdr:row>
                <xdr:rowOff>323850</xdr:rowOff>
              </to>
            </anchor>
          </controlPr>
        </control>
      </mc:Choice>
      <mc:Fallback>
        <control shapeId="16386" r:id="rId8" name="UpdateHelp"/>
      </mc:Fallback>
    </mc:AlternateContent>
    <mc:AlternateContent xmlns:mc="http://schemas.openxmlformats.org/markup-compatibility/2006">
      <mc:Choice Requires="x14">
        <control shapeId="16385" r:id="rId10" name="Reset">
          <controlPr defaultSize="0" autoLine="0" r:id="rId11">
            <anchor moveWithCells="1">
              <from>
                <xdr:col>0</xdr:col>
                <xdr:colOff>2451100</xdr:colOff>
                <xdr:row>0</xdr:row>
                <xdr:rowOff>12700</xdr:rowOff>
              </from>
              <to>
                <xdr:col>0</xdr:col>
                <xdr:colOff>3606800</xdr:colOff>
                <xdr:row>0</xdr:row>
                <xdr:rowOff>323850</xdr:rowOff>
              </to>
            </anchor>
          </controlPr>
        </control>
      </mc:Choice>
      <mc:Fallback>
        <control shapeId="16385" r:id="rId10" name="Reset"/>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5B0BBC8-DA51-4C7B-B531-B5D861C4E48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13</vt:i4>
      </vt:variant>
    </vt:vector>
  </HeadingPairs>
  <TitlesOfParts>
    <vt:vector size="28" baseType="lpstr">
      <vt:lpstr>Certification</vt:lpstr>
      <vt:lpstr>Cover</vt:lpstr>
      <vt:lpstr>EC 1 - Public Health</vt:lpstr>
      <vt:lpstr>EC 2 - Negative Economic Impact</vt:lpstr>
      <vt:lpstr>EC 3 - Public Sector Capacity</vt:lpstr>
      <vt:lpstr>EC 4 - Premium Pay</vt:lpstr>
      <vt:lpstr>EC 5 - Infrastructure</vt:lpstr>
      <vt:lpstr>EC 7 - Admin</vt:lpstr>
      <vt:lpstr>Subrecipient</vt:lpstr>
      <vt:lpstr>Awards &gt; 50000</vt:lpstr>
      <vt:lpstr>Expenditures &gt; 50000</vt:lpstr>
      <vt:lpstr>Aggregate Awards &lt; 50000</vt:lpstr>
      <vt:lpstr>Summary</vt:lpstr>
      <vt:lpstr>Dropdowns</vt:lpstr>
      <vt:lpstr>Logic</vt:lpstr>
      <vt:lpstr>Agency</vt:lpstr>
      <vt:lpstr>Broadband</vt:lpstr>
      <vt:lpstr>CapExType</vt:lpstr>
      <vt:lpstr>Contracts</vt:lpstr>
      <vt:lpstr>Country</vt:lpstr>
      <vt:lpstr>Demographics</vt:lpstr>
      <vt:lpstr>FundingType</vt:lpstr>
      <vt:lpstr>Location</vt:lpstr>
      <vt:lpstr>Sectors</vt:lpstr>
      <vt:lpstr>State</vt:lpstr>
      <vt:lpstr>Status</vt:lpstr>
      <vt:lpstr>Subrecipient</vt:lpstr>
      <vt:lpstr>YesNo</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Joe Comeau</cp:lastModifiedBy>
  <cp:revision>1</cp:revision>
  <dcterms:created xsi:type="dcterms:W3CDTF">2022-11-06T19:50:56Z</dcterms:created>
  <dcterms:modified xsi:type="dcterms:W3CDTF">2023-04-19T22:42:57Z</dcterms:modified>
  <cp:category/>
  <cp:contentStatus/>
</cp:coreProperties>
</file>