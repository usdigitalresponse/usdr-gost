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d.docs.live.net/b5af53ceec432e9d/Documents/USDR/ARPA/Input Template/"/>
    </mc:Choice>
  </mc:AlternateContent>
  <xr:revisionPtr revIDLastSave="13330" documentId="8_{5E8AC235-B3D7-4F98-82EA-A98774EEA8E1}" xr6:coauthVersionLast="47" xr6:coauthVersionMax="47" xr10:uidLastSave="{A2BDD240-CD8B-4E6E-8C49-E2296F3200C9}"/>
  <workbookProtection workbookAlgorithmName="SHA-512" workbookHashValue="K8vL83DnvApHkG5tdBe+ilJy84LKkdmThNf0UGEpajnKH1ZIfnyuANrwzZfPx5/aWlJjUr8SyXStH2JC1WR87Q==" workbookSaltValue="JkCzUUGkk2hRbN/V+KB8Lg==" workbookSpinCount="100000" lockStructure="1"/>
  <bookViews>
    <workbookView xWindow="6290" yWindow="2090" windowWidth="29870" windowHeight="1597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Dropdowns!$I$3:$I$15</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13" i="29"/>
  <c r="E13" i="4"/>
  <c r="I13" i="4" s="1"/>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4" i="29" l="1"/>
  <c r="E13" i="29"/>
  <c r="C11" i="13"/>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0944214-B737-4996-9F53-163A66BA25F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F4090372-D0B2-44E8-8CD1-6E87B005CF3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33C43EC-E561-4D81-91FA-F339CEDE12B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015AFA9-3A63-4105-8126-125D5DE03BF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2A835F0-45FB-4C40-A427-7944958CC6B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7BEF31F-24FC-4917-B90B-DFCFE8CAD1B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BA8F10F4-A9EF-4D7F-8C6E-3C3CD6C792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932C474-421C-4704-82B3-44A12D0DC33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C837BA0-06F3-4DEC-AEA8-5DE29A0844C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FFE0E2E-A66A-4D58-B9C2-668CECF0A9E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FA5999F-1E92-42F3-9353-3D30739D47A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4421308-F476-47B5-800D-2B756E4F3F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E45959DE-CD02-4BE6-97EB-0A5DF89EF5F8}">
      <text>
        <r>
          <rPr>
            <b/>
            <i/>
            <sz val="9"/>
            <color indexed="81"/>
            <rFont val="Tahoma"/>
            <family val="2"/>
          </rPr>
          <t xml:space="preserve">Conditional
</t>
        </r>
        <r>
          <rPr>
            <b/>
            <sz val="9"/>
            <color indexed="81"/>
            <rFont val="Tahoma"/>
            <family val="2"/>
          </rPr>
          <t>String
Max Length = 250</t>
        </r>
      </text>
    </comment>
    <comment ref="P12" authorId="1" shapeId="0" xr:uid="{8B18A286-A874-4BED-AC5C-30906AB1EE51}">
      <text>
        <r>
          <rPr>
            <b/>
            <i/>
            <sz val="9"/>
            <color indexed="81"/>
            <rFont val="Tahoma"/>
            <family val="2"/>
          </rPr>
          <t xml:space="preserve">Optional
</t>
        </r>
        <r>
          <rPr>
            <b/>
            <sz val="9"/>
            <color indexed="81"/>
            <rFont val="Tahoma"/>
            <family val="2"/>
          </rPr>
          <t>Pick List
Max Length = N/A</t>
        </r>
      </text>
    </comment>
    <comment ref="Q12" authorId="1" shapeId="0" xr:uid="{6D88B939-3CA5-490B-8448-B032F6AFCEC4}">
      <text>
        <r>
          <rPr>
            <b/>
            <i/>
            <sz val="9"/>
            <color indexed="81"/>
            <rFont val="Tahoma"/>
            <family val="2"/>
          </rPr>
          <t xml:space="preserve">Conditional
</t>
        </r>
        <r>
          <rPr>
            <b/>
            <sz val="9"/>
            <color indexed="81"/>
            <rFont val="Tahoma"/>
            <family val="2"/>
          </rPr>
          <t>String
Max Length = 250</t>
        </r>
      </text>
    </comment>
    <comment ref="R12" authorId="1" shapeId="0" xr:uid="{117F5537-498C-470A-B1F6-5ACCED6960E9}">
      <text>
        <r>
          <rPr>
            <b/>
            <i/>
            <sz val="9"/>
            <color indexed="81"/>
            <rFont val="Tahoma"/>
            <family val="2"/>
          </rPr>
          <t xml:space="preserve">Optional
</t>
        </r>
        <r>
          <rPr>
            <b/>
            <sz val="9"/>
            <color indexed="81"/>
            <rFont val="Tahoma"/>
            <family val="2"/>
          </rPr>
          <t>Pick List
Max Length = N/A</t>
        </r>
      </text>
    </comment>
    <comment ref="S12" authorId="1" shapeId="0" xr:uid="{D344DC84-E956-4733-837B-DE4E8F6AB205}">
      <text>
        <r>
          <rPr>
            <b/>
            <i/>
            <sz val="9"/>
            <color indexed="81"/>
            <rFont val="Tahoma"/>
            <family val="2"/>
          </rPr>
          <t xml:space="preserve">Conditional
</t>
        </r>
        <r>
          <rPr>
            <b/>
            <sz val="9"/>
            <color indexed="81"/>
            <rFont val="Tahoma"/>
            <family val="2"/>
          </rPr>
          <t>String
Max Length = 250</t>
        </r>
      </text>
    </comment>
    <comment ref="T12" authorId="1" shapeId="0" xr:uid="{2363D0C2-7019-4BCF-9478-DF6B58BD51EC}">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BDBC66B7-84A1-4D7E-91D9-0FB0B477F420}">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E4F62CC4-EC5D-484E-BDDB-2711CEF1FD40}">
      <text>
        <r>
          <rPr>
            <b/>
            <i/>
            <sz val="9"/>
            <color indexed="81"/>
            <rFont val="Tahoma"/>
            <family val="2"/>
          </rPr>
          <t xml:space="preserve">Conditional
</t>
        </r>
        <r>
          <rPr>
            <b/>
            <sz val="9"/>
            <color indexed="81"/>
            <rFont val="Tahoma"/>
            <family val="2"/>
          </rPr>
          <t>Currency
Max Length = 12,2</t>
        </r>
      </text>
    </comment>
    <comment ref="W12" authorId="1" shapeId="0" xr:uid="{9B9DA303-36F4-402E-83F8-535BD086CFE3}">
      <text>
        <r>
          <rPr>
            <b/>
            <i/>
            <sz val="9"/>
            <color indexed="81"/>
            <rFont val="Tahoma"/>
            <family val="2"/>
          </rPr>
          <t xml:space="preserve">Conditional
</t>
        </r>
        <r>
          <rPr>
            <b/>
            <sz val="9"/>
            <color indexed="81"/>
            <rFont val="Tahoma"/>
            <family val="2"/>
          </rPr>
          <t>Pick List
Max Length = N/A</t>
        </r>
      </text>
    </comment>
    <comment ref="X12" authorId="1" shapeId="0" xr:uid="{0967FAA8-0314-4DF7-B251-B59394111E5D}">
      <text>
        <r>
          <rPr>
            <b/>
            <i/>
            <sz val="9"/>
            <color indexed="81"/>
            <rFont val="Tahoma"/>
            <family val="2"/>
          </rPr>
          <t xml:space="preserve">Conditional
</t>
        </r>
        <r>
          <rPr>
            <b/>
            <sz val="9"/>
            <color indexed="81"/>
            <rFont val="Tahoma"/>
            <family val="2"/>
          </rPr>
          <t>Numeric
Max Length = 9999999999</t>
        </r>
      </text>
    </comment>
    <comment ref="Y12" authorId="1" shapeId="0" xr:uid="{F82C5F2D-0F37-4FCA-9673-EB7B471F2E51}">
      <text>
        <r>
          <rPr>
            <b/>
            <i/>
            <sz val="9"/>
            <color indexed="81"/>
            <rFont val="Tahoma"/>
            <family val="2"/>
          </rPr>
          <t xml:space="preserve">Conditional
</t>
        </r>
        <r>
          <rPr>
            <b/>
            <sz val="9"/>
            <color indexed="81"/>
            <rFont val="Tahoma"/>
            <family val="2"/>
          </rPr>
          <t>Numeric
Max Length = 9999999999</t>
        </r>
      </text>
    </comment>
    <comment ref="Z12" authorId="1" shapeId="0" xr:uid="{011BEEC5-9BC6-45C1-B689-A49A59B3DB67}">
      <text>
        <r>
          <rPr>
            <b/>
            <i/>
            <sz val="9"/>
            <color indexed="81"/>
            <rFont val="Tahoma"/>
            <family val="2"/>
          </rPr>
          <t xml:space="preserve">Required
</t>
        </r>
        <r>
          <rPr>
            <b/>
            <sz val="9"/>
            <color indexed="81"/>
            <rFont val="Tahoma"/>
            <family val="2"/>
          </rPr>
          <t>Pick List
Max Length = N/A</t>
        </r>
      </text>
    </comment>
    <comment ref="AA12" authorId="1" shapeId="0" xr:uid="{14BD851A-6D02-4CCD-8963-1043D116D33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1036B99E-3CE5-4B59-9A04-7BAE682C0A13}">
      <text>
        <r>
          <rPr>
            <b/>
            <i/>
            <sz val="9"/>
            <color indexed="81"/>
            <rFont val="Tahoma"/>
            <family val="2"/>
          </rPr>
          <t xml:space="preserve">Conditional
</t>
        </r>
        <r>
          <rPr>
            <b/>
            <sz val="9"/>
            <color indexed="81"/>
            <rFont val="Tahoma"/>
            <family val="2"/>
          </rPr>
          <t>Pick List
Max Length = N/A</t>
        </r>
      </text>
    </comment>
    <comment ref="AC12" authorId="1" shapeId="0" xr:uid="{5B3D933B-2FE7-4793-A991-4B03430126E8}">
      <text>
        <r>
          <rPr>
            <b/>
            <i/>
            <sz val="9"/>
            <color indexed="81"/>
            <rFont val="Tahoma"/>
            <family val="2"/>
          </rPr>
          <t xml:space="preserve">Conditional
</t>
        </r>
        <r>
          <rPr>
            <b/>
            <sz val="9"/>
            <color indexed="81"/>
            <rFont val="Tahoma"/>
            <family val="2"/>
          </rPr>
          <t>String
Max Length = 255</t>
        </r>
      </text>
    </comment>
    <comment ref="AD12" authorId="1" shapeId="0" xr:uid="{8ED613DB-1125-4487-AA5D-065ED393AC6F}">
      <text>
        <r>
          <rPr>
            <b/>
            <i/>
            <sz val="9"/>
            <color indexed="81"/>
            <rFont val="Tahoma"/>
            <family val="2"/>
          </rPr>
          <t xml:space="preserve">Conditional
</t>
        </r>
        <r>
          <rPr>
            <b/>
            <sz val="9"/>
            <color indexed="81"/>
            <rFont val="Tahoma"/>
            <family val="2"/>
          </rPr>
          <t>String
Max Length = 1500</t>
        </r>
      </text>
    </comment>
    <comment ref="AE12" authorId="1" shapeId="0" xr:uid="{CEE72A7C-F927-4C93-A81B-99E404E60F2C}">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2B2BB663-11AC-49D0-8CB3-4CBFBAD34D48}">
      <text>
        <r>
          <rPr>
            <b/>
            <i/>
            <sz val="9"/>
            <color indexed="81"/>
            <rFont val="Tahoma"/>
            <family val="2"/>
          </rPr>
          <t xml:space="preserve">Required if Budget &gt; $10M
</t>
        </r>
        <r>
          <rPr>
            <b/>
            <sz val="9"/>
            <color indexed="81"/>
            <rFont val="Tahoma"/>
            <family val="2"/>
          </rPr>
          <t>Pick List
Max Length = N/A</t>
        </r>
      </text>
    </comment>
    <comment ref="AP12" authorId="1" shapeId="0" xr:uid="{A6CA6447-0149-489C-B2B8-E43252554CA3}">
      <text>
        <r>
          <rPr>
            <b/>
            <i/>
            <sz val="9"/>
            <color indexed="81"/>
            <rFont val="Tahoma"/>
            <family val="2"/>
          </rPr>
          <t xml:space="preserve">Required if Budget &gt; $10M
</t>
        </r>
        <r>
          <rPr>
            <b/>
            <sz val="9"/>
            <color indexed="81"/>
            <rFont val="Tahoma"/>
            <family val="2"/>
          </rPr>
          <t>Pick List
Max Length = N/A</t>
        </r>
      </text>
    </comment>
    <comment ref="AQ12" authorId="1" shapeId="0" xr:uid="{64E2AFBA-5FE9-4B3A-9D07-34A62AB616A5}">
      <text>
        <r>
          <rPr>
            <b/>
            <i/>
            <sz val="9"/>
            <color indexed="81"/>
            <rFont val="Tahoma"/>
            <family val="2"/>
          </rPr>
          <t xml:space="preserve">Required if Budget &gt; $10M
</t>
        </r>
        <r>
          <rPr>
            <b/>
            <sz val="9"/>
            <color indexed="81"/>
            <rFont val="Tahoma"/>
            <family val="2"/>
          </rPr>
          <t>Pick List
Max Length = N/A</t>
        </r>
      </text>
    </comment>
    <comment ref="AS12" authorId="1" shapeId="0" xr:uid="{2355E619-F094-4FAA-A96A-2014CEB891A0}">
      <text>
        <r>
          <rPr>
            <b/>
            <i/>
            <sz val="9"/>
            <color indexed="81"/>
            <rFont val="Tahoma"/>
            <family val="2"/>
          </rPr>
          <t xml:space="preserve">Conditional
</t>
        </r>
        <r>
          <rPr>
            <b/>
            <sz val="9"/>
            <color indexed="81"/>
            <rFont val="Tahoma"/>
            <family val="2"/>
          </rPr>
          <t>Numeric
Max Length = 9999999999</t>
        </r>
      </text>
    </comment>
    <comment ref="AT12" authorId="1" shapeId="0" xr:uid="{32DCF210-C48A-4BF0-84F1-E2EA4EE6FDA2}">
      <text>
        <r>
          <rPr>
            <b/>
            <i/>
            <sz val="9"/>
            <color indexed="81"/>
            <rFont val="Tahoma"/>
            <family val="2"/>
          </rPr>
          <t xml:space="preserve">Conditional
</t>
        </r>
        <r>
          <rPr>
            <b/>
            <sz val="9"/>
            <color indexed="81"/>
            <rFont val="Tahoma"/>
            <family val="2"/>
          </rPr>
          <t>Numeric
Max Length = 9999999999</t>
        </r>
      </text>
    </comment>
    <comment ref="AU12" authorId="1" shapeId="0" xr:uid="{FE9DF903-ABD2-4919-9E47-AFE27229489B}">
      <text>
        <r>
          <rPr>
            <b/>
            <i/>
            <sz val="9"/>
            <color indexed="81"/>
            <rFont val="Tahoma"/>
            <family val="2"/>
          </rPr>
          <t xml:space="preserve">Conditional
</t>
        </r>
        <r>
          <rPr>
            <b/>
            <sz val="9"/>
            <color indexed="81"/>
            <rFont val="Tahoma"/>
            <family val="2"/>
          </rPr>
          <t>Numeric
Max Length = 9999999999</t>
        </r>
      </text>
    </comment>
    <comment ref="AV12" authorId="1" shapeId="0" xr:uid="{21259484-6F5A-4358-B7F7-5783F1A4411A}">
      <text>
        <r>
          <rPr>
            <b/>
            <i/>
            <sz val="9"/>
            <color indexed="81"/>
            <rFont val="Tahoma"/>
            <family val="2"/>
          </rPr>
          <t xml:space="preserve">Conditional
</t>
        </r>
        <r>
          <rPr>
            <b/>
            <sz val="9"/>
            <color indexed="81"/>
            <rFont val="Tahoma"/>
            <family val="2"/>
          </rPr>
          <t>String
Max Length = 255</t>
        </r>
      </text>
    </comment>
    <comment ref="AW12" authorId="1" shapeId="0" xr:uid="{F57BD05C-FAD8-40C3-9C52-3E15261212A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6F4DD8CA-35A5-43E5-BF93-652CB7F8114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4595F98-54C2-461F-948D-8E5EBDCD9FCE}">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A86514B9-1993-4DE7-BBBE-D10CEE6A525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0D5908C-E3BD-49AC-9EC6-A61786C1EAA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753578F-BBD8-4AFD-8A98-D61FD99B929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5BED809-21EA-43C1-90BF-1EF7CC6849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38782EC-8175-4BE6-BF9B-74EDF41C287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ABBCCD-EF75-4233-9E67-C533FA1470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43D78AA-3F60-47EB-BB55-2422F5DE59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1E2EF9C-A174-4968-BCC2-7B91E37546E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02B8280-0281-4CBC-AC5C-D29BBB978EB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B21349C-0541-4DD0-8EEE-B570364E751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D39917E-A922-4CA3-BE1C-7D31FCB76AF8}">
      <text>
        <r>
          <rPr>
            <b/>
            <i/>
            <sz val="9"/>
            <color indexed="81"/>
            <rFont val="Tahoma"/>
            <family val="2"/>
          </rPr>
          <t xml:space="preserve">Conditional
</t>
        </r>
        <r>
          <rPr>
            <b/>
            <sz val="9"/>
            <color indexed="81"/>
            <rFont val="Tahoma"/>
            <family val="2"/>
          </rPr>
          <t>Pick List
Max Length = N/A</t>
        </r>
      </text>
    </comment>
    <comment ref="O12" authorId="1" shapeId="0" xr:uid="{DB9B093B-190D-43DF-A4C9-955693E1E030}">
      <text>
        <r>
          <rPr>
            <b/>
            <i/>
            <sz val="9"/>
            <color indexed="81"/>
            <rFont val="Tahoma"/>
            <family val="2"/>
          </rPr>
          <t xml:space="preserve">Conditional
</t>
        </r>
        <r>
          <rPr>
            <b/>
            <sz val="9"/>
            <color indexed="81"/>
            <rFont val="Tahoma"/>
            <family val="2"/>
          </rPr>
          <t>String
Max Length = 250</t>
        </r>
      </text>
    </comment>
    <comment ref="P12" authorId="1" shapeId="0" xr:uid="{B4C7EA8B-2943-4EC5-8CF1-383ACB3538D9}">
      <text>
        <r>
          <rPr>
            <b/>
            <i/>
            <sz val="9"/>
            <color indexed="81"/>
            <rFont val="Tahoma"/>
            <family val="2"/>
          </rPr>
          <t xml:space="preserve">Optional
</t>
        </r>
        <r>
          <rPr>
            <b/>
            <sz val="9"/>
            <color indexed="81"/>
            <rFont val="Tahoma"/>
            <family val="2"/>
          </rPr>
          <t>Pick List
Max Length = N/A</t>
        </r>
      </text>
    </comment>
    <comment ref="Q12" authorId="1" shapeId="0" xr:uid="{06084354-B1D9-48FC-A6F1-1E00B21BD9FD}">
      <text>
        <r>
          <rPr>
            <b/>
            <i/>
            <sz val="9"/>
            <color indexed="81"/>
            <rFont val="Tahoma"/>
            <family val="2"/>
          </rPr>
          <t xml:space="preserve">Conditional
</t>
        </r>
        <r>
          <rPr>
            <b/>
            <sz val="9"/>
            <color indexed="81"/>
            <rFont val="Tahoma"/>
            <family val="2"/>
          </rPr>
          <t>String
Max Length = 250</t>
        </r>
      </text>
    </comment>
    <comment ref="R12" authorId="1" shapeId="0" xr:uid="{7797FDDA-311D-4962-94FA-1953102FDB8E}">
      <text>
        <r>
          <rPr>
            <b/>
            <i/>
            <sz val="9"/>
            <color indexed="81"/>
            <rFont val="Tahoma"/>
            <family val="2"/>
          </rPr>
          <t xml:space="preserve">Optional
</t>
        </r>
        <r>
          <rPr>
            <b/>
            <sz val="9"/>
            <color indexed="81"/>
            <rFont val="Tahoma"/>
            <family val="2"/>
          </rPr>
          <t>Pick List
Max Length = N/A</t>
        </r>
      </text>
    </comment>
    <comment ref="S12" authorId="1" shapeId="0" xr:uid="{12F048B5-B9D4-4783-A173-11851E6B1FEE}">
      <text>
        <r>
          <rPr>
            <b/>
            <i/>
            <sz val="9"/>
            <color indexed="81"/>
            <rFont val="Tahoma"/>
            <family val="2"/>
          </rPr>
          <t xml:space="preserve">Conditional
</t>
        </r>
        <r>
          <rPr>
            <b/>
            <sz val="9"/>
            <color indexed="81"/>
            <rFont val="Tahoma"/>
            <family val="2"/>
          </rPr>
          <t>String
Max Length = 250</t>
        </r>
      </text>
    </comment>
    <comment ref="T12" authorId="1" shapeId="0" xr:uid="{B0F86E27-A85A-4993-859B-6E92FD2BF80F}">
      <text>
        <r>
          <rPr>
            <b/>
            <i/>
            <sz val="9"/>
            <color indexed="81"/>
            <rFont val="Tahoma"/>
            <family val="2"/>
          </rPr>
          <t xml:space="preserve">Conditional
</t>
        </r>
        <r>
          <rPr>
            <b/>
            <sz val="9"/>
            <color indexed="81"/>
            <rFont val="Tahoma"/>
            <family val="2"/>
          </rPr>
          <t>String
Max Length = 250</t>
        </r>
      </text>
    </comment>
    <comment ref="U12" authorId="1" shapeId="0" xr:uid="{B0ECB7C2-AC39-459E-B5F2-3B13B5FAFD55}">
      <text>
        <r>
          <rPr>
            <b/>
            <i/>
            <sz val="9"/>
            <color indexed="81"/>
            <rFont val="Tahoma"/>
            <family val="2"/>
          </rPr>
          <t xml:space="preserve">Conditional
</t>
        </r>
        <r>
          <rPr>
            <b/>
            <sz val="9"/>
            <color indexed="81"/>
            <rFont val="Tahoma"/>
            <family val="2"/>
          </rPr>
          <t>String
Max Length = 250</t>
        </r>
      </text>
    </comment>
    <comment ref="V12" authorId="1" shapeId="0" xr:uid="{07ED6BB4-0A1E-469D-9C34-BC080FC91074}">
      <text>
        <r>
          <rPr>
            <b/>
            <i/>
            <sz val="9"/>
            <color indexed="81"/>
            <rFont val="Tahoma"/>
            <family val="2"/>
          </rPr>
          <t xml:space="preserve">Conditional
</t>
        </r>
        <r>
          <rPr>
            <b/>
            <sz val="9"/>
            <color indexed="81"/>
            <rFont val="Tahoma"/>
            <family val="2"/>
          </rPr>
          <t>Numeric
Max Length = 9999999999</t>
        </r>
      </text>
    </comment>
    <comment ref="W12" authorId="1" shapeId="0" xr:uid="{ADEABFF1-D453-4BE4-9C0A-B2F87BCCC877}">
      <text>
        <r>
          <rPr>
            <b/>
            <i/>
            <sz val="9"/>
            <color indexed="81"/>
            <rFont val="Tahoma"/>
            <family val="2"/>
          </rPr>
          <t xml:space="preserve">Conditional
</t>
        </r>
        <r>
          <rPr>
            <b/>
            <sz val="9"/>
            <color indexed="81"/>
            <rFont val="Tahoma"/>
            <family val="2"/>
          </rPr>
          <t>Currency
Max Length = 12,2</t>
        </r>
      </text>
    </comment>
    <comment ref="X12" authorId="1" shapeId="0" xr:uid="{51F8A26C-D5C3-4526-8E27-20F63CDE1B5E}">
      <text>
        <r>
          <rPr>
            <b/>
            <i/>
            <sz val="9"/>
            <color indexed="81"/>
            <rFont val="Tahoma"/>
            <family val="2"/>
          </rPr>
          <t xml:space="preserve">Conditional
</t>
        </r>
        <r>
          <rPr>
            <b/>
            <sz val="9"/>
            <color indexed="81"/>
            <rFont val="Tahoma"/>
            <family val="2"/>
          </rPr>
          <t>Pick List
Max Length = N/A</t>
        </r>
      </text>
    </comment>
    <comment ref="Y12" authorId="1" shapeId="0" xr:uid="{153C583D-0522-4A42-81FF-4E82F88324B6}">
      <text>
        <r>
          <rPr>
            <b/>
            <i/>
            <sz val="9"/>
            <color indexed="81"/>
            <rFont val="Tahoma"/>
            <family val="2"/>
          </rPr>
          <t xml:space="preserve">Conditional
</t>
        </r>
        <r>
          <rPr>
            <b/>
            <sz val="9"/>
            <color indexed="81"/>
            <rFont val="Tahoma"/>
            <family val="2"/>
          </rPr>
          <t>Numeric
Max Length = 9999999999</t>
        </r>
      </text>
    </comment>
    <comment ref="Z12" authorId="1" shapeId="0" xr:uid="{94FA9D8F-0DE3-47AC-AAFA-A9B52756B851}">
      <text>
        <r>
          <rPr>
            <b/>
            <i/>
            <sz val="9"/>
            <color indexed="81"/>
            <rFont val="Tahoma"/>
            <family val="2"/>
          </rPr>
          <t xml:space="preserve">Conditional
</t>
        </r>
        <r>
          <rPr>
            <b/>
            <sz val="9"/>
            <color indexed="81"/>
            <rFont val="Tahoma"/>
            <family val="2"/>
          </rPr>
          <t>String
Max Length = 10</t>
        </r>
      </text>
    </comment>
    <comment ref="AA12" authorId="1" shapeId="0" xr:uid="{1CF347E0-F6E0-4FDF-B581-D6AD60688582}">
      <text>
        <r>
          <rPr>
            <b/>
            <i/>
            <sz val="9"/>
            <color indexed="81"/>
            <rFont val="Tahoma"/>
            <family val="2"/>
          </rPr>
          <t xml:space="preserve">Conditional
</t>
        </r>
        <r>
          <rPr>
            <b/>
            <sz val="9"/>
            <color indexed="81"/>
            <rFont val="Tahoma"/>
            <family val="2"/>
          </rPr>
          <t>String
Max Length = 750</t>
        </r>
      </text>
    </comment>
    <comment ref="AB12" authorId="1" shapeId="0" xr:uid="{DC6F8E69-B2B0-4F81-8E34-BD2A53DAF833}">
      <text>
        <r>
          <rPr>
            <b/>
            <i/>
            <sz val="9"/>
            <color indexed="81"/>
            <rFont val="Tahoma"/>
            <family val="2"/>
          </rPr>
          <t xml:space="preserve">Conditional
</t>
        </r>
        <r>
          <rPr>
            <b/>
            <sz val="9"/>
            <color indexed="81"/>
            <rFont val="Tahoma"/>
            <family val="2"/>
          </rPr>
          <t>String
Max Length = 250</t>
        </r>
      </text>
    </comment>
    <comment ref="AC12" authorId="1" shapeId="0" xr:uid="{C1E489EA-AF07-4F62-840D-98DF6CD434E5}">
      <text>
        <r>
          <rPr>
            <b/>
            <i/>
            <sz val="9"/>
            <color indexed="81"/>
            <rFont val="Tahoma"/>
            <family val="2"/>
          </rPr>
          <t xml:space="preserve">Required
</t>
        </r>
        <r>
          <rPr>
            <b/>
            <sz val="9"/>
            <color indexed="81"/>
            <rFont val="Tahoma"/>
            <family val="2"/>
          </rPr>
          <t>Pick List
Max Length = N/A</t>
        </r>
      </text>
    </comment>
    <comment ref="AD12" authorId="1" shapeId="0" xr:uid="{7320F4EB-0EF4-48B3-B1EC-FE5115F0BD6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86E36ED0-53B0-4A8A-B595-DE9F292E5F85}">
      <text>
        <r>
          <rPr>
            <b/>
            <i/>
            <sz val="9"/>
            <color indexed="81"/>
            <rFont val="Tahoma"/>
            <family val="2"/>
          </rPr>
          <t xml:space="preserve">Conditional
</t>
        </r>
        <r>
          <rPr>
            <b/>
            <sz val="9"/>
            <color indexed="81"/>
            <rFont val="Tahoma"/>
            <family val="2"/>
          </rPr>
          <t>Pick List
Max Length = N/A</t>
        </r>
      </text>
    </comment>
    <comment ref="AF12" authorId="1" shapeId="0" xr:uid="{06F8EBF0-C9DA-4BB5-9A88-96CD71C1D171}">
      <text>
        <r>
          <rPr>
            <b/>
            <i/>
            <sz val="9"/>
            <color indexed="81"/>
            <rFont val="Tahoma"/>
            <family val="2"/>
          </rPr>
          <t xml:space="preserve">Conditional
</t>
        </r>
        <r>
          <rPr>
            <b/>
            <sz val="9"/>
            <color indexed="81"/>
            <rFont val="Tahoma"/>
            <family val="2"/>
          </rPr>
          <t>String
Max Length = 255</t>
        </r>
      </text>
    </comment>
    <comment ref="AG12" authorId="1" shapeId="0" xr:uid="{D27A482A-C573-47C2-8839-88DFBE9A8298}">
      <text>
        <r>
          <rPr>
            <b/>
            <i/>
            <sz val="9"/>
            <color indexed="81"/>
            <rFont val="Tahoma"/>
            <family val="2"/>
          </rPr>
          <t xml:space="preserve">Conditional
</t>
        </r>
        <r>
          <rPr>
            <b/>
            <sz val="9"/>
            <color indexed="81"/>
            <rFont val="Tahoma"/>
            <family val="2"/>
          </rPr>
          <t>String
Max Length = 1500</t>
        </r>
      </text>
    </comment>
    <comment ref="AH12" authorId="1" shapeId="0" xr:uid="{4D732ABD-A551-4030-A80D-3B7655F5A8F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5541B779-3F33-4649-A713-092E7191D456}">
      <text>
        <r>
          <rPr>
            <b/>
            <i/>
            <sz val="9"/>
            <color indexed="81"/>
            <rFont val="Tahoma"/>
            <family val="2"/>
          </rPr>
          <t xml:space="preserve">Required if Budget &gt; $10M
</t>
        </r>
        <r>
          <rPr>
            <b/>
            <sz val="9"/>
            <color indexed="81"/>
            <rFont val="Tahoma"/>
            <family val="2"/>
          </rPr>
          <t>Pick List
Max Length = N/A</t>
        </r>
      </text>
    </comment>
    <comment ref="AS12" authorId="1" shapeId="0" xr:uid="{1F7040A4-1122-43AC-9895-2B3A7E5362A9}">
      <text>
        <r>
          <rPr>
            <b/>
            <i/>
            <sz val="9"/>
            <color indexed="81"/>
            <rFont val="Tahoma"/>
            <family val="2"/>
          </rPr>
          <t xml:space="preserve">Required if Budget &gt; $10M
</t>
        </r>
        <r>
          <rPr>
            <b/>
            <sz val="9"/>
            <color indexed="81"/>
            <rFont val="Tahoma"/>
            <family val="2"/>
          </rPr>
          <t>Pick List
Max Length = N/A</t>
        </r>
      </text>
    </comment>
    <comment ref="AT12" authorId="1" shapeId="0" xr:uid="{73C9E48B-D0B9-4639-8B85-5C13237460EC}">
      <text>
        <r>
          <rPr>
            <b/>
            <i/>
            <sz val="9"/>
            <color indexed="81"/>
            <rFont val="Tahoma"/>
            <family val="2"/>
          </rPr>
          <t xml:space="preserve">Required if Budget &gt; $10M
</t>
        </r>
        <r>
          <rPr>
            <b/>
            <sz val="9"/>
            <color indexed="81"/>
            <rFont val="Tahoma"/>
            <family val="2"/>
          </rPr>
          <t>Pick List
Max Length = N/A</t>
        </r>
      </text>
    </comment>
    <comment ref="AV12" authorId="1" shapeId="0" xr:uid="{6E3906A0-839F-4E86-A153-526F1788E379}">
      <text>
        <r>
          <rPr>
            <b/>
            <i/>
            <sz val="9"/>
            <color indexed="81"/>
            <rFont val="Tahoma"/>
            <family val="2"/>
          </rPr>
          <t xml:space="preserve">Conditional
</t>
        </r>
        <r>
          <rPr>
            <b/>
            <sz val="9"/>
            <color indexed="81"/>
            <rFont val="Tahoma"/>
            <family val="2"/>
          </rPr>
          <t>Numeric
Max Length = 9999999999</t>
        </r>
      </text>
    </comment>
    <comment ref="AW12" authorId="1" shapeId="0" xr:uid="{E22355B2-44FF-4ACF-9252-BE9073620BD1}">
      <text>
        <r>
          <rPr>
            <b/>
            <i/>
            <sz val="9"/>
            <color indexed="81"/>
            <rFont val="Tahoma"/>
            <family val="2"/>
          </rPr>
          <t xml:space="preserve">Conditional
</t>
        </r>
        <r>
          <rPr>
            <b/>
            <sz val="9"/>
            <color indexed="81"/>
            <rFont val="Tahoma"/>
            <family val="2"/>
          </rPr>
          <t>Numeric
Max Length = 9999999999</t>
        </r>
      </text>
    </comment>
    <comment ref="AX12" authorId="1" shapeId="0" xr:uid="{19C4A724-DCB8-4D96-B50B-A2C527149C43}">
      <text>
        <r>
          <rPr>
            <b/>
            <i/>
            <sz val="9"/>
            <color indexed="81"/>
            <rFont val="Tahoma"/>
            <family val="2"/>
          </rPr>
          <t xml:space="preserve">Conditional
</t>
        </r>
        <r>
          <rPr>
            <b/>
            <sz val="9"/>
            <color indexed="81"/>
            <rFont val="Tahoma"/>
            <family val="2"/>
          </rPr>
          <t>Numeric
Max Length = 9999999999</t>
        </r>
      </text>
    </comment>
    <comment ref="AY12" authorId="1" shapeId="0" xr:uid="{0C7E489B-0F99-483D-91A0-46D483E7B9C4}">
      <text>
        <r>
          <rPr>
            <b/>
            <i/>
            <sz val="9"/>
            <color indexed="81"/>
            <rFont val="Tahoma"/>
            <family val="2"/>
          </rPr>
          <t xml:space="preserve">Conditional
</t>
        </r>
        <r>
          <rPr>
            <b/>
            <sz val="9"/>
            <color indexed="81"/>
            <rFont val="Tahoma"/>
            <family val="2"/>
          </rPr>
          <t>Numeric
Max Length = 9999999999</t>
        </r>
      </text>
    </comment>
    <comment ref="AZ12" authorId="1" shapeId="0" xr:uid="{21341FB4-171F-4B76-B06E-B861A558E49F}">
      <text>
        <r>
          <rPr>
            <b/>
            <i/>
            <sz val="9"/>
            <color indexed="81"/>
            <rFont val="Tahoma"/>
            <family val="2"/>
          </rPr>
          <t xml:space="preserve">Conditional
</t>
        </r>
        <r>
          <rPr>
            <b/>
            <sz val="9"/>
            <color indexed="81"/>
            <rFont val="Tahoma"/>
            <family val="2"/>
          </rPr>
          <t>Numeric
Max Length = 9999999999</t>
        </r>
      </text>
    </comment>
    <comment ref="BA12" authorId="1" shapeId="0" xr:uid="{C7DE1C91-2A2F-4C5B-A4E2-09C93916D92F}">
      <text>
        <r>
          <rPr>
            <b/>
            <i/>
            <sz val="9"/>
            <color indexed="81"/>
            <rFont val="Tahoma"/>
            <family val="2"/>
          </rPr>
          <t xml:space="preserve">Conditional
</t>
        </r>
        <r>
          <rPr>
            <b/>
            <sz val="9"/>
            <color indexed="81"/>
            <rFont val="Tahoma"/>
            <family val="2"/>
          </rPr>
          <t>Numeric
Max Length = 9999999999</t>
        </r>
      </text>
    </comment>
    <comment ref="BB12" authorId="1" shapeId="0" xr:uid="{AAA3439C-8344-4D6A-AD02-356A9E5CA859}">
      <text>
        <r>
          <rPr>
            <b/>
            <i/>
            <sz val="9"/>
            <color indexed="81"/>
            <rFont val="Tahoma"/>
            <family val="2"/>
          </rPr>
          <t xml:space="preserve">Conditional
</t>
        </r>
        <r>
          <rPr>
            <b/>
            <sz val="9"/>
            <color indexed="81"/>
            <rFont val="Tahoma"/>
            <family val="2"/>
          </rPr>
          <t>Numeric
Max Length = 9999999999</t>
        </r>
      </text>
    </comment>
    <comment ref="BC12" authorId="1" shapeId="0" xr:uid="{A891C13C-82BF-466C-B0F4-FB14F768B378}">
      <text>
        <r>
          <rPr>
            <b/>
            <i/>
            <sz val="9"/>
            <color indexed="81"/>
            <rFont val="Tahoma"/>
            <family val="2"/>
          </rPr>
          <t xml:space="preserve">Conditional
</t>
        </r>
        <r>
          <rPr>
            <b/>
            <sz val="9"/>
            <color indexed="81"/>
            <rFont val="Tahoma"/>
            <family val="2"/>
          </rPr>
          <t>Numeric
Max Length = 9999999999</t>
        </r>
      </text>
    </comment>
    <comment ref="BD12" authorId="1" shapeId="0" xr:uid="{9D8BAEB8-CA5A-443C-AF2F-388AAFF24FB5}">
      <text>
        <r>
          <rPr>
            <b/>
            <i/>
            <sz val="9"/>
            <color indexed="81"/>
            <rFont val="Tahoma"/>
            <family val="2"/>
          </rPr>
          <t xml:space="preserve">Conditional
</t>
        </r>
        <r>
          <rPr>
            <b/>
            <sz val="9"/>
            <color indexed="81"/>
            <rFont val="Tahoma"/>
            <family val="2"/>
          </rPr>
          <t>String
Max Length = 255</t>
        </r>
      </text>
    </comment>
    <comment ref="BE12" authorId="1" shapeId="0" xr:uid="{3A29AFF9-9F6F-46B4-826C-0DCA56444CA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D843CD7C-8A35-4A4D-93AB-3559DD63032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2A2180D1-C20E-4018-A4B4-EC97930F72D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F8FE6926-4798-4936-931C-1B2119B267D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6A58E50-6373-40E9-9087-47B7DE2E320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2D3CCED-EAB4-4CA8-B28F-08F4F16080E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CF31B019-534A-4D4E-B7E8-D3A8984CBA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8F79613-2F29-40BC-BCC8-AC3BFBAD6CC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B326DCD-3300-437F-A093-3B34E8626F9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7261CFA-7C43-44A5-A0BB-2BD379EE29F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D0D91AD-4888-4C19-B32B-4E8EEFFA4E0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2EB8030-EC8E-4B4C-9700-21F09701CB1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4F128DD-1D51-4005-A413-7BFC44601A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2B1FD-2FEC-4B2E-8AD2-2CF859C093BB}">
      <text>
        <r>
          <rPr>
            <b/>
            <i/>
            <sz val="9"/>
            <color indexed="81"/>
            <rFont val="Tahoma"/>
            <family val="2"/>
          </rPr>
          <t xml:space="preserve">Conditional
</t>
        </r>
        <r>
          <rPr>
            <b/>
            <sz val="9"/>
            <color indexed="81"/>
            <rFont val="Tahoma"/>
            <family val="2"/>
          </rPr>
          <t>String
Max Length = 250</t>
        </r>
      </text>
    </comment>
    <comment ref="O12" authorId="1" shapeId="0" xr:uid="{5A816550-1DAC-4A2C-B6C0-7E3F825A1514}">
      <text>
        <r>
          <rPr>
            <b/>
            <i/>
            <sz val="9"/>
            <color indexed="81"/>
            <rFont val="Tahoma"/>
            <family val="2"/>
          </rPr>
          <t xml:space="preserve">Conditional
</t>
        </r>
        <r>
          <rPr>
            <b/>
            <sz val="9"/>
            <color indexed="81"/>
            <rFont val="Tahoma"/>
            <family val="2"/>
          </rPr>
          <t>String
Max Length = 250</t>
        </r>
      </text>
    </comment>
    <comment ref="P12" authorId="1" shapeId="0" xr:uid="{A9C6BF68-F709-4733-928E-7B006700FC94}">
      <text>
        <r>
          <rPr>
            <b/>
            <i/>
            <sz val="9"/>
            <color indexed="81"/>
            <rFont val="Tahoma"/>
            <family val="2"/>
          </rPr>
          <t xml:space="preserve">Conditional
</t>
        </r>
        <r>
          <rPr>
            <b/>
            <sz val="9"/>
            <color indexed="81"/>
            <rFont val="Tahoma"/>
            <family val="2"/>
          </rPr>
          <t>Numeric
Max Length = 9999999999</t>
        </r>
      </text>
    </comment>
    <comment ref="Q12" authorId="1" shapeId="0" xr:uid="{A1D75F0E-4A1C-46CC-941C-771D00A76AFB}">
      <text>
        <r>
          <rPr>
            <b/>
            <i/>
            <sz val="9"/>
            <color indexed="81"/>
            <rFont val="Tahoma"/>
            <family val="2"/>
          </rPr>
          <t xml:space="preserve">Conditional
</t>
        </r>
        <r>
          <rPr>
            <b/>
            <sz val="9"/>
            <color indexed="81"/>
            <rFont val="Tahoma"/>
            <family val="2"/>
          </rPr>
          <t>Numeric
Max Length = 9999999999</t>
        </r>
      </text>
    </comment>
    <comment ref="R12" authorId="1" shapeId="0" xr:uid="{397D5D4C-1321-44B2-ADA7-451B91276DF5}">
      <text>
        <r>
          <rPr>
            <b/>
            <i/>
            <sz val="9"/>
            <color indexed="81"/>
            <rFont val="Tahoma"/>
            <family val="2"/>
          </rPr>
          <t xml:space="preserve">Required
</t>
        </r>
        <r>
          <rPr>
            <b/>
            <sz val="9"/>
            <color indexed="81"/>
            <rFont val="Tahoma"/>
            <family val="2"/>
          </rPr>
          <t>Pick List
Max Length = N/A</t>
        </r>
      </text>
    </comment>
    <comment ref="S12" authorId="1" shapeId="0" xr:uid="{DB310D2D-4262-4496-9842-7E179F0BF17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E4C6EAF1-81E6-451E-96C3-BA55FF37971B}">
      <text>
        <r>
          <rPr>
            <b/>
            <i/>
            <sz val="9"/>
            <color indexed="81"/>
            <rFont val="Tahoma"/>
            <family val="2"/>
          </rPr>
          <t xml:space="preserve">Conditional
</t>
        </r>
        <r>
          <rPr>
            <b/>
            <sz val="9"/>
            <color indexed="81"/>
            <rFont val="Tahoma"/>
            <family val="2"/>
          </rPr>
          <t>Pick List
Max Length = N/A</t>
        </r>
      </text>
    </comment>
    <comment ref="U12" authorId="1" shapeId="0" xr:uid="{03C0CCC4-91C7-4C89-B322-1D1878A538D0}">
      <text>
        <r>
          <rPr>
            <b/>
            <i/>
            <sz val="9"/>
            <color indexed="81"/>
            <rFont val="Tahoma"/>
            <family val="2"/>
          </rPr>
          <t xml:space="preserve">Conditional
</t>
        </r>
        <r>
          <rPr>
            <b/>
            <sz val="9"/>
            <color indexed="81"/>
            <rFont val="Tahoma"/>
            <family val="2"/>
          </rPr>
          <t>String
Max Length = 255</t>
        </r>
      </text>
    </comment>
    <comment ref="V12" authorId="1" shapeId="0" xr:uid="{594CB61E-0AD5-4554-8D5F-9EBC2116F8C1}">
      <text>
        <r>
          <rPr>
            <b/>
            <i/>
            <sz val="9"/>
            <color indexed="81"/>
            <rFont val="Tahoma"/>
            <family val="2"/>
          </rPr>
          <t xml:space="preserve">Conditional
</t>
        </r>
        <r>
          <rPr>
            <b/>
            <sz val="9"/>
            <color indexed="81"/>
            <rFont val="Tahoma"/>
            <family val="2"/>
          </rPr>
          <t>String
Max Length = 1500</t>
        </r>
      </text>
    </comment>
    <comment ref="W12" authorId="1" shapeId="0" xr:uid="{29F1B3DE-1C3B-405A-B57A-9DC4D00056A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C85911D9-CE4A-4F78-B3AC-D4B3C1530978}">
      <text>
        <r>
          <rPr>
            <b/>
            <i/>
            <sz val="9"/>
            <color indexed="81"/>
            <rFont val="Tahoma"/>
            <family val="2"/>
          </rPr>
          <t xml:space="preserve">Required if Budget &gt; $10M
</t>
        </r>
        <r>
          <rPr>
            <b/>
            <sz val="9"/>
            <color indexed="81"/>
            <rFont val="Tahoma"/>
            <family val="2"/>
          </rPr>
          <t>Pick List
Max Length = N/A</t>
        </r>
      </text>
    </comment>
    <comment ref="AH12" authorId="1" shapeId="0" xr:uid="{B9980828-1C79-47B1-9095-34A29B082558}">
      <text>
        <r>
          <rPr>
            <b/>
            <i/>
            <sz val="9"/>
            <color indexed="81"/>
            <rFont val="Tahoma"/>
            <family val="2"/>
          </rPr>
          <t xml:space="preserve">Required if Budget &gt; $10M
</t>
        </r>
        <r>
          <rPr>
            <b/>
            <sz val="9"/>
            <color indexed="81"/>
            <rFont val="Tahoma"/>
            <family val="2"/>
          </rPr>
          <t>Pick List
Max Length = N/A</t>
        </r>
      </text>
    </comment>
    <comment ref="AI12" authorId="1" shapeId="0" xr:uid="{B7CF8B98-9653-4C35-BA99-83E434F0DDF7}">
      <text>
        <r>
          <rPr>
            <b/>
            <i/>
            <sz val="9"/>
            <color indexed="81"/>
            <rFont val="Tahoma"/>
            <family val="2"/>
          </rPr>
          <t xml:space="preserve">Required if Budget &gt; $10M
</t>
        </r>
        <r>
          <rPr>
            <b/>
            <sz val="9"/>
            <color indexed="81"/>
            <rFont val="Tahoma"/>
            <family val="2"/>
          </rPr>
          <t>Pick List
Max Length = N/A</t>
        </r>
      </text>
    </comment>
    <comment ref="AK12" authorId="1" shapeId="0" xr:uid="{C4FF1042-615F-4D22-AFCF-E27C15399E31}">
      <text>
        <r>
          <rPr>
            <b/>
            <i/>
            <sz val="9"/>
            <color indexed="81"/>
            <rFont val="Tahoma"/>
            <family val="2"/>
          </rPr>
          <t xml:space="preserve">Conditional
</t>
        </r>
        <r>
          <rPr>
            <b/>
            <sz val="9"/>
            <color indexed="81"/>
            <rFont val="Tahoma"/>
            <family val="2"/>
          </rPr>
          <t>String
Max Length = 255</t>
        </r>
      </text>
    </comment>
    <comment ref="AL12" authorId="1" shapeId="0" xr:uid="{08AEC931-0BFF-4A2E-8E60-89331695984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85DB7B26-C7D0-4E9F-B8B9-650FF988A35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4FFEEF43-A187-4B91-86BF-B2333A5D234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22322DD-50DC-4673-AA87-2CBA800917B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18B77C0-4662-47E8-92BC-0953D190BAB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A36E1EE-0578-43EE-8BAA-68000D2DC1B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1E8F20B-1131-4B68-876A-5726E26B255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D830267-69B2-41CE-AAE4-D9871905DC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772FB5F-1F17-47F6-ACED-0ADA7CCC60F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EBDE82F-3467-4A88-A891-8D2F4696BEB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F191BF19-837D-44BB-978A-57079E6034A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5C0D173-2D56-4CD6-BD98-E77125215F9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71DD7D7-08B7-4257-9E2A-2B2853D5295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924F252-545B-4096-B46A-E2EB783F9C1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945D4307-7E50-48BF-A446-4FD2FE25CA22}">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ADC3758D-5C7F-4FB4-99F8-65E135BF00C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216D6DD3-53E9-4F40-B991-33F95857752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A5E00441-D567-49E5-A1FF-C4152E507F3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4404D36E-A21A-4798-8146-149A6FE9C45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83022891-ABC1-45B5-8A9B-76289DBF309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2D2F6AD-F972-4C26-8671-EDFB1B35C70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20D1DB0-702A-4C71-A7F4-8DA29ADFDA2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A8AF726-C542-4F8A-A507-A3D0B7DFE0C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7AA9A09-86FD-441F-8D30-2EAF5F9ADCB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7F44604-8BBD-4FE4-8584-1C89634870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A1C84AA-D38B-4936-86D3-182C956D376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94B9C306-5BC4-4E99-81D2-4DDEE993DC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8D2E496-D131-4824-AD43-9D70644B64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D309AAB8-8E9F-488C-BFE6-72A687EDA2F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A8EDC11-319A-4477-B5B5-8AF3271522C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2486531-26BF-4AF1-865B-58C178CE8B3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D06C1BB-0DFE-4719-835A-1BD253AC6077}">
      <text>
        <r>
          <rPr>
            <b/>
            <i/>
            <sz val="9"/>
            <color indexed="81"/>
            <rFont val="Tahoma"/>
            <family val="2"/>
          </rPr>
          <t xml:space="preserve">Conditional
</t>
        </r>
        <r>
          <rPr>
            <b/>
            <sz val="9"/>
            <color indexed="81"/>
            <rFont val="Tahoma"/>
            <family val="2"/>
          </rPr>
          <t>Date
mm/dd/yyyy</t>
        </r>
      </text>
    </comment>
    <comment ref="O12" authorId="1" shapeId="0" xr:uid="{413899D0-5681-4867-89E1-4D1E2354C8E1}">
      <text>
        <r>
          <rPr>
            <b/>
            <i/>
            <sz val="9"/>
            <color indexed="81"/>
            <rFont val="Tahoma"/>
            <family val="2"/>
          </rPr>
          <t xml:space="preserve">Conditional
</t>
        </r>
        <r>
          <rPr>
            <b/>
            <sz val="9"/>
            <color indexed="81"/>
            <rFont val="Tahoma"/>
            <family val="2"/>
          </rPr>
          <t>Date
mm/dd/yyyy</t>
        </r>
      </text>
    </comment>
    <comment ref="P12" authorId="1" shapeId="0" xr:uid="{9F925B43-8CF6-4AAC-BB0F-8D0B9A09468D}">
      <text>
        <r>
          <rPr>
            <b/>
            <i/>
            <sz val="9"/>
            <color indexed="81"/>
            <rFont val="Tahoma"/>
            <family val="2"/>
          </rPr>
          <t xml:space="preserve">Conditional
</t>
        </r>
        <r>
          <rPr>
            <b/>
            <sz val="9"/>
            <color indexed="81"/>
            <rFont val="Tahoma"/>
            <family val="2"/>
          </rPr>
          <t>Pick List
Max Length = N/A</t>
        </r>
      </text>
    </comment>
    <comment ref="Q12" authorId="1" shapeId="0" xr:uid="{939EAB08-2D95-456D-95BE-33150DC23B1D}">
      <text>
        <r>
          <rPr>
            <b/>
            <i/>
            <sz val="9"/>
            <color indexed="81"/>
            <rFont val="Tahoma"/>
            <family val="2"/>
          </rPr>
          <t xml:space="preserve">Conditional
</t>
        </r>
        <r>
          <rPr>
            <b/>
            <sz val="9"/>
            <color indexed="81"/>
            <rFont val="Tahoma"/>
            <family val="2"/>
          </rPr>
          <t>String
Max Length = 255</t>
        </r>
      </text>
    </comment>
    <comment ref="R12" authorId="1" shapeId="0" xr:uid="{349C2E28-3E46-4CCC-823B-FE1EE16A5573}">
      <text>
        <r>
          <rPr>
            <b/>
            <i/>
            <sz val="9"/>
            <color indexed="81"/>
            <rFont val="Tahoma"/>
            <family val="2"/>
          </rPr>
          <t xml:space="preserve">Required if Budget &gt; $10M
</t>
        </r>
        <r>
          <rPr>
            <b/>
            <sz val="9"/>
            <color indexed="81"/>
            <rFont val="Tahoma"/>
            <family val="2"/>
          </rPr>
          <t>Pick List
Max Length = N/A</t>
        </r>
      </text>
    </comment>
    <comment ref="V12" authorId="1" shapeId="0" xr:uid="{9BEB9A8E-E55C-4879-AC69-0525140E5022}">
      <text>
        <r>
          <rPr>
            <b/>
            <i/>
            <sz val="9"/>
            <color indexed="81"/>
            <rFont val="Tahoma"/>
            <family val="2"/>
          </rPr>
          <t xml:space="preserve">Required if DB is No
</t>
        </r>
        <r>
          <rPr>
            <b/>
            <sz val="9"/>
            <color indexed="81"/>
            <rFont val="Tahoma"/>
            <family val="2"/>
          </rPr>
          <t>Pick List
Max Length = N/A</t>
        </r>
      </text>
    </comment>
    <comment ref="W12" authorId="1" shapeId="0" xr:uid="{FD9F52D6-E64C-496A-9F60-7B69F323D67E}">
      <text>
        <r>
          <rPr>
            <b/>
            <i/>
            <sz val="9"/>
            <color indexed="81"/>
            <rFont val="Tahoma"/>
            <family val="2"/>
          </rPr>
          <t xml:space="preserve">Required if Budget &gt; $10M
</t>
        </r>
        <r>
          <rPr>
            <b/>
            <sz val="9"/>
            <color indexed="81"/>
            <rFont val="Tahoma"/>
            <family val="2"/>
          </rPr>
          <t>Pick List
Max Length = N/A</t>
        </r>
      </text>
    </comment>
    <comment ref="AA12" authorId="1" shapeId="0" xr:uid="{1611BA7C-50E7-4E00-A52C-F13E99DEA61D}">
      <text>
        <r>
          <rPr>
            <b/>
            <i/>
            <sz val="9"/>
            <color indexed="81"/>
            <rFont val="Tahoma"/>
            <family val="2"/>
          </rPr>
          <t xml:space="preserve">Required if PLA is No
</t>
        </r>
        <r>
          <rPr>
            <b/>
            <sz val="9"/>
            <color indexed="81"/>
            <rFont val="Tahoma"/>
            <family val="2"/>
          </rPr>
          <t>Pick List
Max Length = N/A</t>
        </r>
      </text>
    </comment>
    <comment ref="AB12" authorId="1" shapeId="0" xr:uid="{30517E2E-7D53-4798-9802-4B711509344A}">
      <text>
        <r>
          <rPr>
            <b/>
            <i/>
            <sz val="9"/>
            <color indexed="81"/>
            <rFont val="Tahoma"/>
            <family val="2"/>
          </rPr>
          <t xml:space="preserve">Required if PLA is No
</t>
        </r>
        <r>
          <rPr>
            <b/>
            <sz val="9"/>
            <color indexed="81"/>
            <rFont val="Tahoma"/>
            <family val="2"/>
          </rPr>
          <t>Pick List
Max Length = N/A</t>
        </r>
      </text>
    </comment>
    <comment ref="AC12" authorId="1" shapeId="0" xr:uid="{064A161A-B61E-44C0-B0E4-2C76C9CD3052}">
      <text>
        <r>
          <rPr>
            <b/>
            <i/>
            <sz val="9"/>
            <color indexed="81"/>
            <rFont val="Tahoma"/>
            <family val="2"/>
          </rPr>
          <t xml:space="preserve">Required if Budget &gt; $10M
</t>
        </r>
        <r>
          <rPr>
            <b/>
            <sz val="9"/>
            <color indexed="81"/>
            <rFont val="Tahoma"/>
            <family val="2"/>
          </rPr>
          <t>Pick List
Max Length = N/A</t>
        </r>
      </text>
    </comment>
    <comment ref="AD12" authorId="1" shapeId="0" xr:uid="{9FADB42B-FF39-4ADD-9705-1E3C5AC068C4}">
      <text>
        <r>
          <rPr>
            <b/>
            <i/>
            <sz val="9"/>
            <color indexed="81"/>
            <rFont val="Tahoma"/>
            <family val="2"/>
          </rPr>
          <t xml:space="preserve">Required if Budget &gt; $10M
</t>
        </r>
        <r>
          <rPr>
            <b/>
            <sz val="9"/>
            <color indexed="81"/>
            <rFont val="Tahoma"/>
            <family val="2"/>
          </rPr>
          <t>Pick List
Max Length = N/A</t>
        </r>
      </text>
    </comment>
    <comment ref="AF12" authorId="1" shapeId="0" xr:uid="{9E78D643-5984-464F-AE8C-BC4D7EB08412}">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59EFB1B7-7F9F-4FA2-989B-4A7814BEACD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D5DC08F5-B0B5-42BA-A6AB-4A91E23F774F}">
      <text>
        <r>
          <rPr>
            <b/>
            <i/>
            <sz val="9"/>
            <color indexed="81"/>
            <rFont val="Tahoma"/>
            <family val="2"/>
          </rPr>
          <t xml:space="preserve">Required
</t>
        </r>
        <r>
          <rPr>
            <b/>
            <sz val="9"/>
            <color indexed="81"/>
            <rFont val="Tahoma"/>
            <family val="2"/>
          </rPr>
          <t>Pick List
Max Length = N/A</t>
        </r>
      </text>
    </comment>
    <comment ref="AI12" authorId="1" shapeId="0" xr:uid="{5274ECEF-9038-4080-803E-8D38C1F18053}">
      <text>
        <r>
          <rPr>
            <b/>
            <i/>
            <sz val="9"/>
            <color indexed="81"/>
            <rFont val="Tahoma"/>
            <family val="2"/>
          </rPr>
          <t xml:space="preserve">Conditional
</t>
        </r>
        <r>
          <rPr>
            <b/>
            <sz val="9"/>
            <color indexed="81"/>
            <rFont val="Tahoma"/>
            <family val="2"/>
          </rPr>
          <t>String
Max Length = 1500</t>
        </r>
      </text>
    </comment>
    <comment ref="AJ12" authorId="1" shapeId="0" xr:uid="{7D5830D9-E8CE-4F58-9E5E-3B1981517026}">
      <text>
        <r>
          <rPr>
            <b/>
            <i/>
            <sz val="9"/>
            <color indexed="81"/>
            <rFont val="Tahoma"/>
            <family val="2"/>
          </rPr>
          <t xml:space="preserve">Conditional
</t>
        </r>
        <r>
          <rPr>
            <b/>
            <sz val="9"/>
            <color indexed="81"/>
            <rFont val="Tahoma"/>
            <family val="2"/>
          </rPr>
          <t>Pick List
Max Length = N/A</t>
        </r>
      </text>
    </comment>
    <comment ref="AK12" authorId="1" shapeId="0" xr:uid="{0406A22E-C119-469D-90F7-BA3AC8B0DABF}">
      <text>
        <r>
          <rPr>
            <b/>
            <i/>
            <sz val="9"/>
            <color indexed="81"/>
            <rFont val="Tahoma"/>
            <family val="2"/>
          </rPr>
          <t xml:space="preserve">Conditional
</t>
        </r>
        <r>
          <rPr>
            <b/>
            <sz val="9"/>
            <color indexed="81"/>
            <rFont val="Tahoma"/>
            <family val="2"/>
          </rPr>
          <t>Currency
Max Length = 12,2</t>
        </r>
      </text>
    </comment>
    <comment ref="AL12" authorId="1" shapeId="0" xr:uid="{993AD4AA-475E-4C66-8862-DBE1624C083A}">
      <text>
        <r>
          <rPr>
            <b/>
            <i/>
            <sz val="9"/>
            <color indexed="81"/>
            <rFont val="Tahoma"/>
            <family val="2"/>
          </rPr>
          <t xml:space="preserve">Conditional
</t>
        </r>
        <r>
          <rPr>
            <b/>
            <sz val="9"/>
            <color indexed="81"/>
            <rFont val="Tahoma"/>
            <family val="2"/>
          </rPr>
          <t>Currency
Max Length = 12,2</t>
        </r>
      </text>
    </comment>
    <comment ref="AM12" authorId="1" shapeId="0" xr:uid="{1BDCF9C7-CF78-4346-B327-AA224D73A853}">
      <text>
        <r>
          <rPr>
            <b/>
            <i/>
            <sz val="9"/>
            <color indexed="81"/>
            <rFont val="Tahoma"/>
            <family val="2"/>
          </rPr>
          <t xml:space="preserve">Conditional
</t>
        </r>
        <r>
          <rPr>
            <b/>
            <sz val="9"/>
            <color indexed="81"/>
            <rFont val="Tahoma"/>
            <family val="2"/>
          </rPr>
          <t>Pick List
Max Length = N/A</t>
        </r>
      </text>
    </comment>
    <comment ref="AN12" authorId="1" shapeId="0" xr:uid="{3A5FFC67-8AA4-466C-98A9-2A75AD6EF1C7}">
      <text>
        <r>
          <rPr>
            <b/>
            <i/>
            <sz val="9"/>
            <color indexed="81"/>
            <rFont val="Tahoma"/>
            <family val="2"/>
          </rPr>
          <t xml:space="preserve">Required
</t>
        </r>
        <r>
          <rPr>
            <b/>
            <sz val="9"/>
            <color indexed="81"/>
            <rFont val="Tahoma"/>
            <family val="2"/>
          </rPr>
          <t>Pick List
Max Length = N/A</t>
        </r>
      </text>
    </comment>
    <comment ref="AO12" authorId="1" shapeId="0" xr:uid="{6370775C-370E-4370-82BD-ABD3A19C524B}">
      <text>
        <r>
          <rPr>
            <b/>
            <i/>
            <sz val="9"/>
            <color indexed="81"/>
            <rFont val="Tahoma"/>
            <family val="2"/>
          </rPr>
          <t xml:space="preserve">Conditional
</t>
        </r>
        <r>
          <rPr>
            <b/>
            <sz val="9"/>
            <color indexed="81"/>
            <rFont val="Tahoma"/>
            <family val="2"/>
          </rPr>
          <t>String
Max Length = 250</t>
        </r>
      </text>
    </comment>
    <comment ref="AP12" authorId="1" shapeId="0" xr:uid="{DB49382D-9E81-4159-AD56-CFA56B3EF0E6}">
      <text>
        <r>
          <rPr>
            <b/>
            <i/>
            <sz val="9"/>
            <color indexed="81"/>
            <rFont val="Tahoma"/>
            <family val="2"/>
          </rPr>
          <t xml:space="preserve">Conditional
</t>
        </r>
        <r>
          <rPr>
            <b/>
            <sz val="9"/>
            <color indexed="81"/>
            <rFont val="Tahoma"/>
            <family val="2"/>
          </rPr>
          <t>Pick List
Max Length = N/A</t>
        </r>
      </text>
    </comment>
    <comment ref="AQ12" authorId="1" shapeId="0" xr:uid="{D284F4CD-29C0-4302-A6B1-8EB547555028}">
      <text>
        <r>
          <rPr>
            <b/>
            <i/>
            <sz val="9"/>
            <color indexed="81"/>
            <rFont val="Tahoma"/>
            <family val="2"/>
          </rPr>
          <t xml:space="preserve">Conditional
</t>
        </r>
        <r>
          <rPr>
            <b/>
            <sz val="9"/>
            <color indexed="81"/>
            <rFont val="Tahoma"/>
            <family val="2"/>
          </rPr>
          <t>String
Max Length = 250</t>
        </r>
      </text>
    </comment>
    <comment ref="AR12" authorId="1" shapeId="0" xr:uid="{6889D984-7999-4CA1-939A-803C3CB34F6B}">
      <text>
        <r>
          <rPr>
            <b/>
            <i/>
            <sz val="9"/>
            <color indexed="81"/>
            <rFont val="Tahoma"/>
            <family val="2"/>
          </rPr>
          <t xml:space="preserve">Required
</t>
        </r>
        <r>
          <rPr>
            <b/>
            <sz val="9"/>
            <color indexed="81"/>
            <rFont val="Tahoma"/>
            <family val="2"/>
          </rPr>
          <t>Numeric
Max Length = 9999999999</t>
        </r>
      </text>
    </comment>
    <comment ref="AS12" authorId="1" shapeId="0" xr:uid="{895389E5-78C9-472E-A213-983B3EEEA547}">
      <text>
        <r>
          <rPr>
            <b/>
            <i/>
            <sz val="9"/>
            <color indexed="81"/>
            <rFont val="Tahoma"/>
            <family val="2"/>
          </rPr>
          <t xml:space="preserve">Conditional
</t>
        </r>
        <r>
          <rPr>
            <b/>
            <sz val="9"/>
            <color indexed="81"/>
            <rFont val="Tahoma"/>
            <family val="2"/>
          </rPr>
          <t>Numeric
Max Length = 9999999999</t>
        </r>
      </text>
    </comment>
    <comment ref="AT12" authorId="1" shapeId="0" xr:uid="{351A1F0C-1B72-4430-9565-FBBE68C81062}">
      <text>
        <r>
          <rPr>
            <b/>
            <i/>
            <sz val="9"/>
            <color indexed="81"/>
            <rFont val="Tahoma"/>
            <family val="2"/>
          </rPr>
          <t xml:space="preserve">Required
</t>
        </r>
        <r>
          <rPr>
            <b/>
            <sz val="9"/>
            <color indexed="81"/>
            <rFont val="Tahoma"/>
            <family val="2"/>
          </rPr>
          <t>Numeric
Max Length = 9999999999</t>
        </r>
      </text>
    </comment>
    <comment ref="AU12" authorId="1" shapeId="0" xr:uid="{0A0A9061-A5F9-4699-A821-7C9C6BC4C41A}">
      <text>
        <r>
          <rPr>
            <b/>
            <i/>
            <sz val="9"/>
            <color indexed="81"/>
            <rFont val="Tahoma"/>
            <family val="2"/>
          </rPr>
          <t xml:space="preserve">Conditional
</t>
        </r>
        <r>
          <rPr>
            <b/>
            <sz val="9"/>
            <color indexed="81"/>
            <rFont val="Tahoma"/>
            <family val="2"/>
          </rPr>
          <t>Numeric
Max Length = 9999999999</t>
        </r>
      </text>
    </comment>
    <comment ref="AV12" authorId="1" shapeId="0" xr:uid="{2EE6D89F-2CB3-4FF7-9C86-99C051B63429}">
      <text>
        <r>
          <rPr>
            <b/>
            <i/>
            <sz val="9"/>
            <color indexed="81"/>
            <rFont val="Tahoma"/>
            <family val="2"/>
          </rPr>
          <t xml:space="preserve">Required
</t>
        </r>
        <r>
          <rPr>
            <b/>
            <sz val="9"/>
            <color indexed="81"/>
            <rFont val="Tahoma"/>
            <family val="2"/>
          </rPr>
          <t>Numeric
Max Length = 9999999999</t>
        </r>
      </text>
    </comment>
    <comment ref="AW12" authorId="1" shapeId="0" xr:uid="{65BD5497-529A-4A82-BE0F-10579CCEA8ED}">
      <text>
        <r>
          <rPr>
            <b/>
            <i/>
            <sz val="9"/>
            <color indexed="81"/>
            <rFont val="Tahoma"/>
            <family val="2"/>
          </rPr>
          <t xml:space="preserve">Required
</t>
        </r>
        <r>
          <rPr>
            <b/>
            <sz val="9"/>
            <color indexed="81"/>
            <rFont val="Tahoma"/>
            <family val="2"/>
          </rPr>
          <t>Numeric
Max Length = 9999999999</t>
        </r>
      </text>
    </comment>
    <comment ref="AX12" authorId="1" shapeId="0" xr:uid="{94F0AD55-E8E2-4564-A6AE-6F1E1F68464A}">
      <text>
        <r>
          <rPr>
            <b/>
            <i/>
            <sz val="9"/>
            <color indexed="81"/>
            <rFont val="Tahoma"/>
            <family val="2"/>
          </rPr>
          <t xml:space="preserve">Conditional
</t>
        </r>
        <r>
          <rPr>
            <b/>
            <sz val="9"/>
            <color indexed="81"/>
            <rFont val="Tahoma"/>
            <family val="2"/>
          </rPr>
          <t>Numeric
Max Length = 9999999999</t>
        </r>
      </text>
    </comment>
    <comment ref="AY12" authorId="1" shapeId="0" xr:uid="{C418526C-516A-4339-A0B3-D73DC5F1A7D4}">
      <text>
        <r>
          <rPr>
            <b/>
            <i/>
            <sz val="9"/>
            <color indexed="81"/>
            <rFont val="Tahoma"/>
            <family val="2"/>
          </rPr>
          <t xml:space="preserve">Conditional
</t>
        </r>
        <r>
          <rPr>
            <b/>
            <sz val="9"/>
            <color indexed="81"/>
            <rFont val="Tahoma"/>
            <family val="2"/>
          </rPr>
          <t>Numeric
Max Length = 9999999999</t>
        </r>
      </text>
    </comment>
    <comment ref="AZ12" authorId="1" shapeId="0" xr:uid="{A5BD8EC2-DC9C-49DF-BFEA-271A68586255}">
      <text>
        <r>
          <rPr>
            <b/>
            <i/>
            <sz val="9"/>
            <color indexed="81"/>
            <rFont val="Tahoma"/>
            <family val="2"/>
          </rPr>
          <t xml:space="preserve">Required
</t>
        </r>
        <r>
          <rPr>
            <b/>
            <sz val="9"/>
            <color indexed="81"/>
            <rFont val="Tahoma"/>
            <family val="2"/>
          </rPr>
          <t>Numeric
Max Length = 9999999999</t>
        </r>
      </text>
    </comment>
    <comment ref="BA12" authorId="1" shapeId="0" xr:uid="{F44A0E71-4179-4719-BDFD-9AE5AF7F8D0B}">
      <text>
        <r>
          <rPr>
            <b/>
            <i/>
            <sz val="9"/>
            <color indexed="81"/>
            <rFont val="Tahoma"/>
            <family val="2"/>
          </rPr>
          <t xml:space="preserve">Conditional
</t>
        </r>
        <r>
          <rPr>
            <b/>
            <sz val="9"/>
            <color indexed="81"/>
            <rFont val="Tahoma"/>
            <family val="2"/>
          </rPr>
          <t>Numeric
Max Length = 9999999999</t>
        </r>
      </text>
    </comment>
    <comment ref="BB12" authorId="1" shapeId="0" xr:uid="{ADDFE3AC-0C52-4D58-AF93-7618E590E15F}">
      <text>
        <r>
          <rPr>
            <b/>
            <i/>
            <sz val="9"/>
            <color indexed="81"/>
            <rFont val="Tahoma"/>
            <family val="2"/>
          </rPr>
          <t xml:space="preserve">Required
</t>
        </r>
        <r>
          <rPr>
            <b/>
            <sz val="9"/>
            <color indexed="81"/>
            <rFont val="Tahoma"/>
            <family val="2"/>
          </rPr>
          <t>Numeric
Max Length = 9999999999</t>
        </r>
      </text>
    </comment>
    <comment ref="BC12" authorId="1" shapeId="0" xr:uid="{3D5A2261-5D18-45D1-A100-CDC29F79BF2F}">
      <text>
        <r>
          <rPr>
            <b/>
            <i/>
            <sz val="9"/>
            <color indexed="81"/>
            <rFont val="Tahoma"/>
            <family val="2"/>
          </rPr>
          <t xml:space="preserve">Conditional
</t>
        </r>
        <r>
          <rPr>
            <b/>
            <sz val="9"/>
            <color indexed="81"/>
            <rFont val="Tahoma"/>
            <family val="2"/>
          </rPr>
          <t>Numeric
Max Length = 9999999999</t>
        </r>
      </text>
    </comment>
    <comment ref="BD12" authorId="1" shapeId="0" xr:uid="{BE023CAE-2D0B-4587-BD53-853E6FDA4D43}">
      <text>
        <r>
          <rPr>
            <b/>
            <i/>
            <sz val="9"/>
            <color indexed="81"/>
            <rFont val="Tahoma"/>
            <family val="2"/>
          </rPr>
          <t xml:space="preserve">Required
</t>
        </r>
        <r>
          <rPr>
            <b/>
            <sz val="9"/>
            <color indexed="81"/>
            <rFont val="Tahoma"/>
            <family val="2"/>
          </rPr>
          <t>Numeric
Max Length = 9999999999</t>
        </r>
      </text>
    </comment>
    <comment ref="BE12" authorId="1" shapeId="0" xr:uid="{FD82C39F-068F-4FDF-A48D-EC6D97F1871C}">
      <text>
        <r>
          <rPr>
            <b/>
            <i/>
            <sz val="9"/>
            <color indexed="81"/>
            <rFont val="Tahoma"/>
            <family val="2"/>
          </rPr>
          <t xml:space="preserve">Conditional
</t>
        </r>
        <r>
          <rPr>
            <b/>
            <sz val="9"/>
            <color indexed="81"/>
            <rFont val="Tahoma"/>
            <family val="2"/>
          </rPr>
          <t>Numeric
Max Length = 9999999999</t>
        </r>
      </text>
    </comment>
    <comment ref="BF12" authorId="1" shapeId="0" xr:uid="{FD98FEA0-97D0-4F57-8FF7-59012379ACCD}">
      <text>
        <r>
          <rPr>
            <b/>
            <i/>
            <sz val="9"/>
            <color indexed="81"/>
            <rFont val="Tahoma"/>
            <family val="2"/>
          </rPr>
          <t xml:space="preserve">Required
</t>
        </r>
        <r>
          <rPr>
            <b/>
            <sz val="9"/>
            <color indexed="81"/>
            <rFont val="Tahoma"/>
            <family val="2"/>
          </rPr>
          <t>Numeric
Max Length = 9999999999</t>
        </r>
      </text>
    </comment>
    <comment ref="BG12" authorId="1" shapeId="0" xr:uid="{66F1AEDF-27D9-4B50-B93C-809B586F5A41}">
      <text>
        <r>
          <rPr>
            <b/>
            <i/>
            <sz val="9"/>
            <color indexed="81"/>
            <rFont val="Tahoma"/>
            <family val="2"/>
          </rPr>
          <t xml:space="preserve">Conditional
</t>
        </r>
        <r>
          <rPr>
            <b/>
            <sz val="9"/>
            <color indexed="81"/>
            <rFont val="Tahoma"/>
            <family val="2"/>
          </rPr>
          <t>Numeric
Max Length = 9999999999</t>
        </r>
      </text>
    </comment>
    <comment ref="BH12" authorId="1" shapeId="0" xr:uid="{8F22665E-606D-49E9-9ADA-26EF38984B31}">
      <text>
        <r>
          <rPr>
            <b/>
            <i/>
            <sz val="9"/>
            <color indexed="81"/>
            <rFont val="Tahoma"/>
            <family val="2"/>
          </rPr>
          <t xml:space="preserve">Required
</t>
        </r>
        <r>
          <rPr>
            <b/>
            <sz val="9"/>
            <color indexed="81"/>
            <rFont val="Tahoma"/>
            <family val="2"/>
          </rPr>
          <t>Numeric
Max Length = 9999999999</t>
        </r>
      </text>
    </comment>
    <comment ref="BI12" authorId="1" shapeId="0" xr:uid="{E41DB206-E670-498C-99F6-B48E7977907D}">
      <text>
        <r>
          <rPr>
            <b/>
            <i/>
            <sz val="9"/>
            <color indexed="81"/>
            <rFont val="Tahoma"/>
            <family val="2"/>
          </rPr>
          <t xml:space="preserve">Conditional
</t>
        </r>
        <r>
          <rPr>
            <b/>
            <sz val="9"/>
            <color indexed="81"/>
            <rFont val="Tahoma"/>
            <family val="2"/>
          </rPr>
          <t>Numeric
Max Length = 9999999999</t>
        </r>
      </text>
    </comment>
    <comment ref="BJ12" authorId="1" shapeId="0" xr:uid="{DD85DF6F-7C91-489C-8A54-7DABFDBA6065}">
      <text>
        <r>
          <rPr>
            <b/>
            <i/>
            <sz val="9"/>
            <color indexed="81"/>
            <rFont val="Tahoma"/>
            <family val="2"/>
          </rPr>
          <t xml:space="preserve">Required
</t>
        </r>
        <r>
          <rPr>
            <b/>
            <sz val="9"/>
            <color indexed="81"/>
            <rFont val="Tahoma"/>
            <family val="2"/>
          </rPr>
          <t>Numeric
Max Length = 9999999999</t>
        </r>
      </text>
    </comment>
    <comment ref="BK12" authorId="1" shapeId="0" xr:uid="{72E6A374-D40F-43C1-9395-DB815ED792EC}">
      <text>
        <r>
          <rPr>
            <b/>
            <i/>
            <sz val="9"/>
            <color indexed="81"/>
            <rFont val="Tahoma"/>
            <family val="2"/>
          </rPr>
          <t xml:space="preserve">Conditional
</t>
        </r>
        <r>
          <rPr>
            <b/>
            <sz val="9"/>
            <color indexed="81"/>
            <rFont val="Tahoma"/>
            <family val="2"/>
          </rPr>
          <t>Numeric
Max Length = 9999999999</t>
        </r>
      </text>
    </comment>
    <comment ref="BL12" authorId="1" shapeId="0" xr:uid="{555DAAFF-7B6D-4C5F-B31F-84B2AAC43C05}">
      <text>
        <r>
          <rPr>
            <b/>
            <i/>
            <sz val="9"/>
            <color indexed="81"/>
            <rFont val="Tahoma"/>
            <family val="2"/>
          </rPr>
          <t xml:space="preserve">Conditional
</t>
        </r>
        <r>
          <rPr>
            <b/>
            <sz val="9"/>
            <color indexed="81"/>
            <rFont val="Tahoma"/>
            <family val="2"/>
          </rPr>
          <t>String
Max Length = 250</t>
        </r>
      </text>
    </comment>
    <comment ref="BM12" authorId="1" shapeId="0" xr:uid="{F3E63899-EC0F-4FBA-A623-BCD266B52E86}">
      <text>
        <r>
          <rPr>
            <b/>
            <i/>
            <sz val="9"/>
            <color indexed="81"/>
            <rFont val="Tahoma"/>
            <family val="2"/>
          </rPr>
          <t xml:space="preserve">Conditional
</t>
        </r>
        <r>
          <rPr>
            <b/>
            <sz val="9"/>
            <color indexed="81"/>
            <rFont val="Tahoma"/>
            <family val="2"/>
          </rPr>
          <t>String
Max Length = 250</t>
        </r>
      </text>
    </comment>
    <comment ref="BN12" authorId="1" shapeId="0" xr:uid="{A44BAB24-19CD-4A52-BB7D-083C7C8770E0}">
      <text>
        <r>
          <rPr>
            <b/>
            <i/>
            <sz val="9"/>
            <color indexed="81"/>
            <rFont val="Tahoma"/>
            <family val="2"/>
          </rPr>
          <t xml:space="preserve">Conditional
</t>
        </r>
        <r>
          <rPr>
            <b/>
            <sz val="9"/>
            <color indexed="81"/>
            <rFont val="Tahoma"/>
            <family val="2"/>
          </rPr>
          <t>Pick List
Max Length = N/A</t>
        </r>
      </text>
    </comment>
    <comment ref="BO12" authorId="1" shapeId="0" xr:uid="{C012DE72-3548-4639-8DC2-61E79E848CAF}">
      <text>
        <r>
          <rPr>
            <b/>
            <i/>
            <sz val="9"/>
            <color indexed="81"/>
            <rFont val="Tahoma"/>
            <family val="2"/>
          </rPr>
          <t xml:space="preserve">Conditional
</t>
        </r>
        <r>
          <rPr>
            <b/>
            <sz val="9"/>
            <color indexed="81"/>
            <rFont val="Tahoma"/>
            <family val="2"/>
          </rPr>
          <t>String
Max Length = 255</t>
        </r>
      </text>
    </comment>
    <comment ref="BP12" authorId="1" shapeId="0" xr:uid="{702CA1EE-0576-45B0-B63D-57EECEB9388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DF935654-4915-4B34-8B4F-5FAF2D292CEE}">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D0374551-E1F2-4683-A444-BEF307948F34}">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B2568E31-670E-41D0-9C3D-043EC256E1AA}">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0FCE31D8-A935-420D-892D-8D1770BD501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06E91C1-B508-4DBE-AC36-569FEFB1A41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186DF58-AFC4-4235-8EAA-FC6C3728D67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4EDDC0E0-099B-4684-A9C6-4CD1E546821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337EEBC-AF6F-45E9-A3BF-02221F3BFB6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F87AFDE-2295-41F1-8D68-45DA3839C1F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F0D81A7-8F01-4E1C-BC71-F2371459469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BA3E965-E8BC-4FF3-89EF-16AA0889457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D38EB72-A6F1-4A98-85FB-60ED80C574D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36F864D-41A7-4DE9-A111-39293CABC1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745F6DC-B745-4038-B4ED-2687A47AC9B9}">
      <text>
        <r>
          <rPr>
            <b/>
            <i/>
            <sz val="9"/>
            <color indexed="81"/>
            <rFont val="Tahoma"/>
            <family val="2"/>
          </rPr>
          <t xml:space="preserve">Conditional
</t>
        </r>
        <r>
          <rPr>
            <b/>
            <sz val="9"/>
            <color indexed="81"/>
            <rFont val="Tahoma"/>
            <family val="2"/>
          </rPr>
          <t>Pick List
Max Length = N/A</t>
        </r>
      </text>
    </comment>
    <comment ref="L12" authorId="1" shapeId="0" xr:uid="{4077EADE-378D-4A83-89C4-077C504C2B2C}">
      <text>
        <r>
          <rPr>
            <b/>
            <i/>
            <sz val="9"/>
            <color indexed="81"/>
            <rFont val="Tahoma"/>
            <family val="2"/>
          </rPr>
          <t xml:space="preserve">Conditional
</t>
        </r>
        <r>
          <rPr>
            <b/>
            <sz val="9"/>
            <color indexed="81"/>
            <rFont val="Tahoma"/>
            <family val="2"/>
          </rPr>
          <t>Currency
Max Length = 12,2</t>
        </r>
      </text>
    </comment>
    <comment ref="M12" authorId="1" shapeId="0" xr:uid="{30504EB6-C380-439E-8E81-8FE122B6D5E4}">
      <text>
        <r>
          <rPr>
            <b/>
            <i/>
            <sz val="9"/>
            <color indexed="81"/>
            <rFont val="Tahoma"/>
            <family val="2"/>
          </rPr>
          <t xml:space="preserve">Conditional
</t>
        </r>
        <r>
          <rPr>
            <b/>
            <sz val="9"/>
            <color indexed="81"/>
            <rFont val="Tahoma"/>
            <family val="2"/>
          </rPr>
          <t>Pick List
Max Length = N/A</t>
        </r>
      </text>
    </comment>
    <comment ref="N12" authorId="1" shapeId="0" xr:uid="{01A2AEB1-79C0-4E38-B19E-7E5AB654CCFB}">
      <text>
        <r>
          <rPr>
            <b/>
            <i/>
            <sz val="9"/>
            <color indexed="81"/>
            <rFont val="Tahoma"/>
            <family val="2"/>
          </rPr>
          <t xml:space="preserve">Conditional
</t>
        </r>
        <r>
          <rPr>
            <b/>
            <sz val="9"/>
            <color indexed="81"/>
            <rFont val="Tahoma"/>
            <family val="2"/>
          </rPr>
          <t>String
Max Length = 255</t>
        </r>
      </text>
    </comment>
    <comment ref="O12" authorId="1" shapeId="0" xr:uid="{77C26A3D-72E3-4AED-8A99-ABEE89877295}">
      <text>
        <r>
          <rPr>
            <b/>
            <i/>
            <sz val="9"/>
            <color indexed="81"/>
            <rFont val="Tahoma"/>
            <family val="2"/>
          </rPr>
          <t xml:space="preserve">Conditional
</t>
        </r>
        <r>
          <rPr>
            <b/>
            <sz val="9"/>
            <color indexed="81"/>
            <rFont val="Tahoma"/>
            <family val="2"/>
          </rPr>
          <t>String
Max Length = 1500</t>
        </r>
      </text>
    </comment>
    <comment ref="P12" authorId="1" shapeId="0" xr:uid="{A0BB6B8B-9CC2-4459-9240-375D35649E1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48A45119-3439-42E2-BB17-FEF8907EE13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B14251BC-CBF5-4442-BC2E-EB48126AF5E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6C72730C-309F-4B2D-AE69-66AD3A026DE1}">
      <text>
        <r>
          <rPr>
            <b/>
            <i/>
            <sz val="9"/>
            <color indexed="81"/>
            <rFont val="Tahoma"/>
            <family val="2"/>
          </rPr>
          <t xml:space="preserve">Conditional
</t>
        </r>
        <r>
          <rPr>
            <b/>
            <sz val="9"/>
            <color indexed="81"/>
            <rFont val="Tahoma"/>
            <family val="2"/>
          </rPr>
          <t>Pick List
Max Length = N/A</t>
        </r>
      </text>
    </comment>
    <comment ref="T12" authorId="1" shapeId="0" xr:uid="{8CC040CD-7CDA-4B4E-B573-B6424DCDFD4E}">
      <text>
        <r>
          <rPr>
            <b/>
            <i/>
            <sz val="9"/>
            <color indexed="81"/>
            <rFont val="Tahoma"/>
            <family val="2"/>
          </rPr>
          <t xml:space="preserve">Conditional
</t>
        </r>
        <r>
          <rPr>
            <b/>
            <sz val="9"/>
            <color indexed="81"/>
            <rFont val="Tahoma"/>
            <family val="2"/>
          </rPr>
          <t>String
Max Length = 250</t>
        </r>
      </text>
    </comment>
    <comment ref="U12" authorId="1" shapeId="0" xr:uid="{7B12492C-F8D8-4424-AFEA-E2A0E589F153}">
      <text>
        <r>
          <rPr>
            <b/>
            <i/>
            <sz val="9"/>
            <color indexed="81"/>
            <rFont val="Tahoma"/>
            <family val="2"/>
          </rPr>
          <t xml:space="preserve">Optional
</t>
        </r>
        <r>
          <rPr>
            <b/>
            <sz val="9"/>
            <color indexed="81"/>
            <rFont val="Tahoma"/>
            <family val="2"/>
          </rPr>
          <t>Pick List
Max Length = N/A</t>
        </r>
      </text>
    </comment>
    <comment ref="V12" authorId="1" shapeId="0" xr:uid="{E0727402-6870-4F24-A78F-6BFA5BEE6761}">
      <text>
        <r>
          <rPr>
            <b/>
            <i/>
            <sz val="9"/>
            <color indexed="81"/>
            <rFont val="Tahoma"/>
            <family val="2"/>
          </rPr>
          <t xml:space="preserve">Conditional
</t>
        </r>
        <r>
          <rPr>
            <b/>
            <sz val="9"/>
            <color indexed="81"/>
            <rFont val="Tahoma"/>
            <family val="2"/>
          </rPr>
          <t>String
Max Length = 250</t>
        </r>
      </text>
    </comment>
    <comment ref="W12" authorId="1" shapeId="0" xr:uid="{FD9606AE-562D-4C04-8B14-A04C531C802B}">
      <text>
        <r>
          <rPr>
            <b/>
            <i/>
            <sz val="9"/>
            <color indexed="81"/>
            <rFont val="Tahoma"/>
            <family val="2"/>
          </rPr>
          <t xml:space="preserve">Optional
</t>
        </r>
        <r>
          <rPr>
            <b/>
            <sz val="9"/>
            <color indexed="81"/>
            <rFont val="Tahoma"/>
            <family val="2"/>
          </rPr>
          <t>Pick List
Max Length = N/A</t>
        </r>
      </text>
    </comment>
    <comment ref="X12" authorId="1" shapeId="0" xr:uid="{1A2DABD2-8376-45A9-B9CD-2E3B4886D05D}">
      <text>
        <r>
          <rPr>
            <b/>
            <i/>
            <sz val="9"/>
            <color indexed="81"/>
            <rFont val="Tahoma"/>
            <family val="2"/>
          </rPr>
          <t xml:space="preserve">Conditional
</t>
        </r>
        <r>
          <rPr>
            <b/>
            <sz val="9"/>
            <color indexed="81"/>
            <rFont val="Tahoma"/>
            <family val="2"/>
          </rPr>
          <t>String
Max Length = 250</t>
        </r>
      </text>
    </comment>
    <comment ref="Y12" authorId="1" shapeId="0" xr:uid="{D4F64AE1-3D44-4160-90C4-42166376A228}">
      <text>
        <r>
          <rPr>
            <b/>
            <i/>
            <sz val="9"/>
            <color indexed="81"/>
            <rFont val="Tahoma"/>
            <family val="2"/>
          </rPr>
          <t xml:space="preserve">Conditional
</t>
        </r>
        <r>
          <rPr>
            <b/>
            <sz val="9"/>
            <color indexed="81"/>
            <rFont val="Tahoma"/>
            <family val="2"/>
          </rPr>
          <t>String
Max Length = 250</t>
        </r>
      </text>
    </comment>
    <comment ref="Z12" authorId="1" shapeId="0" xr:uid="{25B036F3-7C16-4345-9E40-DF3A010E9A48}">
      <text>
        <r>
          <rPr>
            <b/>
            <i/>
            <sz val="9"/>
            <color indexed="81"/>
            <rFont val="Tahoma"/>
            <family val="2"/>
          </rPr>
          <t xml:space="preserve">Conditional
</t>
        </r>
        <r>
          <rPr>
            <b/>
            <sz val="9"/>
            <color indexed="81"/>
            <rFont val="Tahoma"/>
            <family val="2"/>
          </rPr>
          <t>String
Max Length = 250</t>
        </r>
      </text>
    </comment>
    <comment ref="AA12" authorId="1" shapeId="0" xr:uid="{A2D27C61-5EDC-459E-A914-C8794D48DA70}">
      <text>
        <r>
          <rPr>
            <b/>
            <i/>
            <sz val="9"/>
            <color indexed="81"/>
            <rFont val="Tahoma"/>
            <family val="2"/>
          </rPr>
          <t xml:space="preserve">Conditional
</t>
        </r>
        <r>
          <rPr>
            <b/>
            <sz val="9"/>
            <color indexed="81"/>
            <rFont val="Tahoma"/>
            <family val="2"/>
          </rPr>
          <t>String
Max Length = 255</t>
        </r>
      </text>
    </comment>
    <comment ref="AB12" authorId="1" shapeId="0" xr:uid="{C681F022-7855-465B-B306-6F4ED6F9661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5374BEFE-5396-41E6-B2E1-CBB8096E60B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7BB3FCA-33EF-4DEC-8584-1AB78EB0AEDE}">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88BF9348-4ADE-4CF7-8722-1B58AC9C3A2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68EB2348-C63D-4FCF-A600-61A27713B967}">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7CC0BFB-3061-4FD3-AD7C-47F24976526A}">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C8E626B1-68A6-41FD-8564-563969F20890}">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3B47C912-B0DA-4246-B18D-32321180F0F1}">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C9ACFDEE-2299-4750-84D4-4D8AB0A3919F}">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C6D2C458-CD27-499D-9ECD-51FE06CE5B62}">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3D22BB6-0708-4C2C-B5F6-FFA74B87A594}">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0C06BC6D-7291-4CC9-BFD6-4B7180560C1B}">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7F954751-0F10-4DE2-939D-2A9AC51BD2F3}">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8E06E126-D92C-42CF-9504-2DE5A66BEB84}">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A3B80FA3-D17B-40BD-B04A-65D6FA87B73D}">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8B909B92-0FA5-4E2E-A1A6-54AD6C33F5A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C0B487A9-C4CB-4BCB-BF13-B98E745595C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E6349076-904C-4ECB-B7BE-B4AAB2383B8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9C8108F2-8EBB-4373-A20F-9D8C6290EE4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1856514C-DBD1-4B0D-A86F-89D73474A4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B43097D-0225-4C13-9C11-7B224EFC0E7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274E7ED3-CE49-41A9-9A64-8C8B50FCFD0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88CC25CE-E714-46A5-8454-A2CEA49C4F9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EE67887D-BB92-40DD-8E7A-E283C2A1243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6FBFD6D1-5166-4595-9AC9-947C69E4194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379C38D3-C798-4E57-826F-5E08184F068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4099EAA4-2CF7-46AE-9A98-892EDBE738C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1C6000CA-49FC-45F5-BE6F-C4D8A7938E1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ED86DB36-AD91-47BC-9E48-4335299AE57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72C608A-28C6-480F-A1E8-734C6A9E3674}">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B7A2221A-CEAD-44CF-BE2D-56CD4E9EF0A2}">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F6EB6DE4-7100-4F4E-81D0-8612D93DFAEE}">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0F3BBBE1-5C94-4FD8-9433-3BABD04ED743}">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8833F16C-BCBA-48C9-B076-8B7E282B106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B0827C36-1FB5-40B1-8BA6-0DB8708011C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95CFA1CD-E174-417A-88D4-F861F59AEA6B}">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88B1A555-16B6-4731-B1E4-7B673FD548E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D69C8079-FF89-4206-8866-AE6F0FF2D3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F313D6FA-6A2B-4F7D-B97E-75C721EA36F2}">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9E660A6E-77FC-4BD8-8817-A885EEBBC1B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94379FCB-A6A3-4B9A-8961-1C046FFCB31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277160C8-7C36-48AD-92D5-B31CF3E26DF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AE4F05B4-0382-420B-8D8F-823DA2A8EAB1}">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DF09BE85-2EFC-41B3-9295-34E2176341C4}">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2D7E209C-5B18-4937-9C9A-7EE8656A1EA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D073A81-AA87-484C-9F0E-81EB9F4EF9CB}">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3DA55202-1735-4E9D-B10F-8E0B0ED9FBB4}">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8654508D-EA30-42F1-A071-DFF94C78A69A}">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2FEEFEE1-4588-4BAB-8753-16E28C1F1601}">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8E993120-5617-425B-B749-76B502C2549D}">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4A4AE1B2-7BFD-4350-8E9B-05207FDFD882}">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03A02CF4-90DB-424F-AC35-F2701D4ED87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FAC93868-7FAB-43C7-B329-D93AC33AA07A}">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D4EA6E57-2732-4025-9B25-2F2A465458A7}">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AEE2171E-06BB-44C9-B337-7682B927B3F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A934AB9-D71C-457E-8270-7C051F27F100}">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C9DA6141-2714-4991-AAE3-3DD94CEDC59E}">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FD93C401-D65F-49DB-87C8-57755754F8E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27D56B4-3453-4411-BF6B-4D9FA4B00E3E}">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FF69205E-8BD2-424C-82FD-B54A51016470}">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F3B2E44F-CCC4-4B5C-AB8E-9F680FF57A9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A1A3FCF-8C30-4DC2-B17F-7A0EAE66AA10}">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3C7F8D67-D09B-46F7-A216-5CFC74FC10C9}">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8413495C-50DA-4EEB-8625-73A58279423A}">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9DACBDD2-03C2-4363-886C-B9CFDBE641B0}">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<sst xmlns="http://schemas.openxmlformats.org/spreadsheetml/2006/main" count="6673" uniqueCount="1026">
  <si>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</si>
  <si>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</si>
  <si>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</si>
  <si>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</si>
  <si>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</si>
  <si>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</si>
  <si>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</si>
  <si>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</si>
  <si>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</si>
  <si>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</si>
  <si>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</si>
  <si>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</si>
  <si>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</si>
  <si>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</si>
  <si>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</si>
  <si>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</si>
  <si>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</si>
  <si>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</si>
  <si>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</si>
  <si>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</si>
  <si>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</si>
  <si>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</si>
  <si>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</si>
  <si>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</si>
  <si>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</si>
  <si>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</si>
  <si>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</si>
  <si>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</si>
  <si>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</si>
  <si>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</si>
  <si>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</si>
  <si>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</si>
  <si>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</si>
  <si>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</si>
  <si>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</si>
  <si>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</si>
  <si>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</si>
  <si>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</si>
  <si>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</si>
  <si>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</si>
  <si>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</si>
  <si>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</si>
  <si>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</si>
  <si>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</si>
  <si>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</si>
  <si>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</si>
  <si>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</si>
  <si>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</si>
  <si>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</si>
  <si>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</si>
  <si>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</si>
  <si>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</si>
  <si>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</si>
  <si>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</si>
  <si>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</si>
  <si>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</si>
  <si>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</si>
  <si>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</si>
  <si>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</si>
  <si>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</si>
  <si>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</si>
  <si>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</si>
  <si>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</si>
  <si>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</si>
  <si>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</si>
  <si>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</si>
  <si>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</si>
  <si>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</si>
  <si>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</si>
  <si>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</si>
  <si>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</si>
  <si>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</si>
  <si>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</si>
  <si>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</si>
  <si>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</si>
  <si>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</si>
  <si>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</si>
  <si>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</si>
  <si>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</si>
  <si>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</si>
  <si>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</si>
  <si>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</si>
  <si>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</si>
  <si>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</si>
  <si>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</si>
  <si>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</si>
  <si>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</si>
  <si>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</si>
  <si>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</si>
  <si>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</si>
  <si>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</si>
  <si>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</si>
  <si>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</si>
  <si>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</si>
  <si>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</si>
  <si>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</si>
  <si>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</si>
  <si>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</si>
  <si>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</si>
  <si>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</si>
  <si>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</si>
  <si>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</si>
  <si>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</si>
  <si>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</si>
  <si>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</si>
  <si>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</si>
  <si>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</si>
  <si>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</si>
  <si>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</si>
  <si>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</si>
  <si>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</si>
  <si>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</si>
  <si>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</si>
  <si>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</si>
  <si>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</si>
  <si>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</si>
  <si>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</si>
  <si>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</si>
  <si>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</si>
  <si>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</si>
  <si>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</si>
  <si>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</si>
  <si>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</si>
  <si>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</si>
  <si>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</si>
  <si>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</si>
  <si>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</si>
  <si>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</si>
  <si>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</si>
  <si>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</si>
  <si>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</si>
  <si>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</si>
  <si>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</si>
  <si>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</si>
  <si>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</si>
  <si>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</si>
  <si>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</si>
  <si>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</si>
  <si>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</si>
  <si>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</si>
  <si>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</si>
  <si>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</si>
  <si>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</si>
  <si>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</si>
  <si>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</si>
  <si>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</si>
  <si>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</si>
  <si>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</si>
  <si>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</si>
  <si>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</si>
  <si>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</si>
  <si>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</si>
  <si>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</si>
  <si>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</si>
  <si>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</si>
  <si>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</si>
  <si>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</si>
  <si>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</si>
  <si>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</si>
  <si>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</si>
  <si>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</si>
  <si>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</si>
  <si>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</si>
  <si>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</si>
  <si>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</si>
  <si>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</si>
  <si>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</si>
  <si>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</si>
  <si>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</si>
  <si>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</si>
  <si>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</si>
  <si>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</si>
  <si>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</si>
  <si>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</si>
  <si>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</si>
  <si>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</si>
  <si>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</si>
  <si>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</si>
  <si>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</si>
  <si>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</si>
  <si>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</si>
  <si>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</si>
  <si>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</si>
  <si>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</si>
  <si>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</si>
  <si>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</si>
  <si>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</si>
  <si>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</si>
  <si>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</si>
  <si>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</si>
  <si>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</si>
  <si>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</si>
  <si>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</si>
  <si>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</si>
  <si>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</si>
  <si>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</si>
  <si>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</si>
  <si>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</si>
  <si>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</si>
  <si>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</si>
  <si>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</si>
  <si>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</si>
  <si>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</si>
  <si>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</si>
  <si>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</si>
  <si>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</si>
  <si>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</si>
  <si>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</si>
  <si>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</si>
  <si>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</si>
  <si>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</si>
  <si>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</si>
  <si>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</si>
  <si>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</si>
  <si>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</si>
  <si>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</si>
  <si>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</si>
  <si>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</si>
  <si>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</si>
  <si>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</si>
  <si>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</si>
  <si>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</si>
  <si>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</si>
  <si>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</si>
  <si>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</si>
  <si>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</si>
  <si>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</si>
  <si>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</si>
  <si>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</si>
  <si>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</si>
  <si>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</si>
  <si>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</si>
  <si>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</si>
  <si>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</si>
  <si>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</si>
  <si>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</si>
  <si>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</si>
  <si>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</si>
  <si>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</si>
  <si>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</si>
  <si>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</si>
  <si>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</si>
  <si>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</si>
  <si>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</si>
  <si>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</si>
  <si>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</si>
  <si>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</si>
  <si>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</si>
  <si>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</si>
  <si>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</si>
  <si>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</si>
  <si>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</si>
  <si>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</si>
  <si>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</si>
  <si>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</si>
  <si>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</si>
  <si>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</si>
  <si>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</si>
  <si>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</si>
  <si>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</si>
  <si>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</si>
  <si>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</si>
  <si>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</si>
  <si>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</si>
  <si>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</si>
  <si>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</si>
  <si>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</si>
  <si>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</si>
  <si>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</si>
  <si>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</si>
  <si>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</si>
  <si>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</si>
  <si>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</si>
  <si>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</si>
  <si>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</si>
  <si>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</si>
  <si>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</si>
  <si>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</si>
  <si>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</si>
  <si>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</si>
  <si>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</si>
  <si>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</si>
  <si>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</si>
  <si>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</si>
  <si>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</si>
  <si>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</si>
  <si>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</si>
  <si>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</si>
  <si>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</si>
  <si>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</si>
  <si>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</si>
  <si>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</si>
  <si>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</si>
  <si>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</si>
  <si>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</si>
  <si>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</si>
  <si>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</si>
  <si>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</si>
  <si>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</si>
  <si>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</si>
  <si>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</si>
  <si>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</si>
  <si>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</si>
  <si>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</si>
  <si>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</si>
  <si>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</si>
  <si>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</si>
  <si>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</si>
  <si>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</si>
  <si>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</si>
  <si>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</si>
  <si>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</si>
  <si>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</si>
  <si>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</si>
  <si>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</si>
  <si>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</si>
  <si>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</si>
  <si>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</si>
  <si>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</si>
  <si>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</si>
  <si>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</si>
  <si>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</si>
  <si>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</si>
  <si>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</si>
  <si>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</si>
  <si>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</si>
  <si>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</si>
  <si>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</si>
  <si>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</si>
  <si>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</si>
  <si>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</si>
  <si>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</si>
  <si>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</si>
  <si>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</si>
  <si>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</si>
  <si>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</si>
  <si>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</si>
  <si>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</si>
  <si>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</si>
  <si>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</si>
  <si>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</si>
  <si>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</si>
  <si>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</si>
  <si>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</si>
  <si>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</si>
  <si>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</si>
  <si>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</si>
  <si>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</si>
  <si>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</si>
  <si>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</si>
  <si>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</si>
  <si>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</si>
  <si>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</si>
  <si>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</si>
  <si>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</si>
  <si>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</si>
  <si>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</si>
  <si>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</si>
  <si>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</si>
  <si>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</si>
  <si>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</si>
  <si>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</si>
  <si>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</si>
  <si>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</si>
  <si>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</si>
  <si>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</si>
  <si>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</si>
  <si>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</si>
  <si>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</si>
  <si>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</si>
  <si>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</si>
  <si>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</si>
  <si>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</si>
  <si>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</si>
  <si>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</si>
  <si>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</si>
  <si>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</si>
  <si>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</si>
  <si>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</si>
  <si>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</si>
  <si>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</si>
  <si>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</si>
  <si>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</si>
  <si>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</si>
  <si>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</si>
  <si>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</si>
  <si>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</si>
  <si>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</si>
  <si>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</si>
  <si>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</si>
  <si>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</si>
  <si>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</si>
  <si>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</si>
  <si>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</si>
  <si>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</si>
  <si>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</si>
  <si>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</si>
  <si>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</si>
  <si>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</si>
  <si>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</si>
  <si>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</si>
  <si>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</si>
  <si>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</si>
  <si>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</si>
  <si>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</si>
  <si>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</si>
  <si>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</si>
  <si>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</si>
  <si>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</si>
  <si>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</si>
  <si>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</si>
  <si>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</si>
  <si>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</si>
  <si>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</si>
  <si>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</si>
  <si>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</si>
  <si>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</si>
  <si>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</si>
  <si>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</si>
  <si>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</si>
  <si>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</si>
  <si>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</si>
  <si>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</si>
  <si>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</si>
  <si>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</si>
  <si>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</si>
  <si>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</si>
  <si>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</si>
  <si>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</si>
  <si>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</si>
  <si>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</si>
  <si>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</si>
  <si>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</si>
  <si>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</si>
  <si>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</si>
  <si>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</si>
  <si>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</si>
  <si>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</si>
  <si>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</si>
  <si>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</si>
  <si>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</si>
  <si>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</si>
  <si>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</si>
  <si>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</si>
  <si>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</si>
  <si>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</si>
  <si>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</si>
  <si>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</si>
  <si>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</si>
  <si>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</si>
  <si>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</si>
  <si>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</si>
  <si>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</si>
  <si>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</si>
  <si>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</si>
  <si>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</si>
  <si>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</si>
  <si>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</si>
  <si>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</si>
  <si>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</si>
  <si>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</si>
  <si>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</si>
  <si>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</si>
  <si>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</si>
  <si>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</si>
  <si>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</si>
  <si>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</si>
  <si>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</si>
  <si>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</si>
  <si>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</si>
  <si>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</si>
  <si>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</si>
  <si>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</si>
  <si>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</si>
  <si>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</si>
  <si>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</si>
  <si>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</si>
  <si>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</si>
  <si>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</si>
  <si>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</si>
  <si>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</si>
  <si>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</si>
  <si>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</si>
  <si>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</si>
  <si>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</si>
  <si>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</si>
  <si>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</si>
  <si>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</si>
  <si>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</si>
  <si>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</si>
  <si>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</si>
  <si>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</si>
  <si>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</si>
  <si>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</si>
  <si>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</si>
  <si>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</si>
  <si>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</si>
  <si>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</si>
  <si>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</si>
  <si>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</si>
  <si>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</si>
  <si>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</si>
  <si>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</si>
  <si>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</si>
  <si>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</si>
  <si>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</si>
  <si>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</si>
  <si>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</si>
  <si>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</si>
  <si>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</si>
  <si>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</si>
  <si>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</si>
  <si>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</si>
  <si>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</si>
  <si>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</si>
  <si>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</si>
  <si>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</si>
  <si>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</si>
  <si>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</si>
  <si>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</si>
  <si>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</si>
  <si>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</si>
  <si>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</si>
  <si>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</si>
  <si>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</si>
  <si>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</si>
  <si>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</si>
  <si>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</si>
  <si>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</si>
  <si>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</si>
  <si>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</si>
  <si>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</si>
  <si>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</si>
  <si>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</si>
  <si>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</si>
  <si>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</si>
  <si>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</si>
  <si>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</si>
  <si>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</si>
  <si>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</si>
  <si>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</si>
  <si>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</si>
  <si>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</si>
  <si>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</si>
  <si>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</si>
  <si>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</si>
  <si>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</si>
  <si>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</si>
  <si>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</si>
  <si>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</si>
  <si>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</si>
  <si>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</si>
  <si>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</si>
  <si>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</si>
  <si>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</si>
  <si>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</si>
  <si>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</si>
  <si>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</si>
  <si>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</si>
  <si>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</si>
  <si>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</si>
  <si>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</si>
  <si>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</si>
  <si>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</si>
  <si>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</si>
  <si>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</si>
  <si>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</si>
  <si>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</si>
  <si>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</si>
  <si>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</si>
  <si>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</si>
  <si>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</si>
  <si>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</si>
  <si>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</si>
  <si>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</si>
  <si>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</si>
  <si>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</si>
  <si>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</si>
  <si>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</si>
  <si>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</si>
  <si>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</si>
  <si>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</si>
  <si>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</si>
  <si>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</si>
  <si>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</si>
  <si>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</si>
  <si>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</si>
  <si>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</si>
  <si>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</si>
  <si>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</si>
  <si>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</si>
  <si>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</si>
  <si>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</si>
  <si>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</si>
  <si>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</si>
  <si>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</si>
  <si>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</si>
  <si>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</si>
  <si>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</si>
  <si>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</si>
  <si>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</si>
  <si>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</si>
  <si>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</si>
  <si>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</si>
  <si>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</si>
  <si>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</si>
  <si>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</si>
  <si>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</si>
  <si>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</si>
  <si>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</si>
  <si>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</si>
  <si>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</si>
  <si>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</si>
  <si>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</si>
  <si>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</si>
  <si>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</si>
  <si>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</si>
  <si>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</si>
  <si>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</si>
  <si>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</si>
  <si>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</si>
  <si>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</si>
  <si>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</si>
  <si>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</si>
  <si>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</si>
  <si>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</si>
  <si>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</si>
  <si>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</si>
  <si>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</si>
  <si>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</si>
  <si>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</si>
  <si>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</si>
  <si>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</si>
  <si>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</si>
  <si>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</si>
  <si>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</si>
  <si>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</si>
  <si>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</si>
  <si>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</si>
  <si>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</si>
  <si>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</si>
  <si>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</si>
  <si>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</si>
  <si>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</si>
  <si>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</si>
  <si>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</si>
  <si>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</si>
  <si>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</si>
  <si>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</si>
  <si>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</si>
  <si>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</si>
  <si>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</si>
  <si>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</si>
  <si>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</si>
  <si>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</si>
  <si>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</si>
  <si>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</si>
  <si>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</si>
  <si>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</si>
  <si>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</si>
  <si>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</si>
  <si>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</si>
  <si>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</si>
  <si>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</si>
  <si>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</si>
  <si>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</si>
  <si>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</si>
  <si>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</si>
  <si>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</si>
  <si>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</si>
  <si>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</si>
  <si>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</si>
  <si>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</si>
  <si>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</si>
  <si>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</si>
  <si>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</si>
  <si>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</si>
  <si>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</si>
  <si>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</si>
  <si>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</si>
  <si>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</si>
  <si>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</si>
  <si>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</si>
  <si>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</si>
  <si>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</si>
  <si>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</si>
  <si>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</si>
  <si>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</si>
  <si>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</si>
  <si>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</si>
  <si>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</si>
  <si>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</si>
  <si>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</si>
  <si>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</si>
  <si>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</si>
  <si>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</si>
  <si>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</si>
  <si>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</si>
  <si>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</si>
  <si>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</si>
  <si>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</si>
  <si>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</si>
  <si>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</si>
  <si>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</si>
  <si>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</si>
  <si>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</si>
  <si>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</si>
  <si>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</si>
  <si>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</si>
  <si>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</si>
  <si>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</si>
  <si>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</si>
  <si>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</si>
  <si>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</si>
  <si>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</si>
  <si>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</si>
  <si>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</si>
  <si>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</si>
  <si>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</si>
  <si>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</si>
  <si>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</si>
  <si>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</si>
  <si>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</si>
  <si>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</si>
  <si>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</si>
  <si>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</si>
  <si>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</si>
  <si>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</si>
  <si>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</si>
  <si>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</si>
  <si>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</si>
  <si>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</si>
  <si>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</si>
  <si>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</si>
  <si>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</si>
  <si>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</si>
  <si>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</si>
  <si>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</si>
  <si>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</si>
  <si>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</si>
  <si>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</si>
  <si>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</si>
  <si>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</si>
  <si>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</si>
  <si>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</si>
  <si>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</si>
  <si>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</si>
  <si>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</si>
  <si>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</si>
  <si>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</si>
  <si>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</si>
  <si>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</si>
  <si>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</si>
  <si>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</si>
  <si>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</si>
  <si>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</si>
  <si>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</si>
  <si>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</si>
  <si>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</si>
  <si>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</si>
  <si>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</si>
  <si>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</si>
  <si>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</si>
  <si>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</si>
  <si>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</si>
  <si>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</si>
  <si>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</si>
  <si>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</si>
  <si>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</si>
  <si>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</si>
  <si>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</si>
  <si>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</si>
  <si>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</si>
  <si>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</si>
  <si>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</si>
  <si>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</si>
  <si>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</si>
  <si>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</si>
  <si>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</si>
  <si>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</si>
  <si>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</si>
  <si>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</si>
  <si>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</si>
  <si>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</si>
  <si>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</si>
  <si>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</si>
  <si>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</si>
  <si>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</si>
  <si>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</si>
  <si>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</si>
  <si>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</si>
  <si>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</si>
  <si>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</si>
  <si>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</si>
  <si>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</si>
  <si>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</si>
  <si>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</si>
  <si>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</si>
  <si>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</si>
  <si>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</si>
  <si>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</si>
  <si>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</si>
  <si>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</si>
  <si>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</si>
  <si>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</si>
  <si>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</si>
  <si>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</si>
  <si>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</si>
  <si>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</si>
  <si>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</si>
  <si>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</si>
  <si>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</si>
  <si>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</si>
  <si>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</si>
  <si>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</si>
  <si>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</si>
  <si>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</si>
  <si>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</si>
  <si>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</si>
  <si>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</si>
  <si>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</si>
  <si>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</si>
  <si>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</si>
  <si>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</si>
  <si>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</si>
  <si>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</si>
  <si>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</si>
  <si>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</si>
  <si>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</si>
  <si>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</si>
  <si>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</si>
  <si>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</si>
  <si>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</si>
  <si>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</si>
  <si>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</si>
  <si>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</si>
  <si>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</si>
  <si>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</si>
  <si>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</si>
  <si>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</si>
  <si>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</si>
  <si>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</si>
  <si>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</si>
  <si>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</si>
  <si>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</si>
  <si>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</si>
  <si>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</si>
  <si>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</si>
  <si>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</si>
  <si>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</si>
  <si>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</si>
  <si>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</si>
  <si>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</si>
  <si>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</si>
  <si>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</si>
  <si>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</si>
  <si>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</si>
  <si>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</si>
  <si>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</si>
  <si>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</si>
  <si>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</si>
  <si>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</si>
  <si>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</si>
  <si>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</si>
  <si>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</si>
  <si>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</si>
  <si>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</si>
  <si>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</si>
  <si>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</si>
  <si>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</si>
  <si>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</si>
  <si>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</si>
  <si>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</si>
  <si>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</si>
  <si>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</si>
  <si>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</si>
  <si>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</si>
  <si>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</si>
  <si>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</si>
  <si>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</si>
  <si>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</si>
  <si>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</si>
  <si>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</si>
  <si>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</si>
  <si>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</si>
  <si>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</si>
  <si>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</si>
  <si>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</si>
  <si>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</si>
  <si>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</si>
  <si>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</si>
  <si>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</si>
  <si>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</si>
  <si>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</si>
  <si>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</si>
  <si>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</si>
  <si>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</si>
  <si>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</si>
  <si>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</si>
  <si>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</si>
  <si>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</si>
  <si>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</si>
  <si>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</si>
  <si>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</si>
  <si>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</si>
  <si>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</si>
  <si>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</si>
  <si>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</si>
  <si>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</si>
  <si>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</si>
  <si>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</si>
  <si>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</si>
  <si>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</si>
  <si>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</si>
  <si>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</si>
  <si>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</si>
  <si>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</si>
  <si>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</si>
  <si>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</si>
  <si>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</si>
  <si>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</si>
  <si>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</si>
  <si>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</si>
  <si>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</si>
  <si>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</si>
  <si>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</si>
  <si>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</si>
  <si>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</si>
  <si>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</si>
  <si>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</si>
  <si>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</si>
  <si>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</si>
  <si>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</si>
  <si>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</si>
  <si>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</si>
  <si>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</si>
  <si>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</si>
  <si>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</si>
  <si>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</si>
  <si>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</si>
  <si>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</si>
  <si>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</si>
  <si>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</si>
  <si>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</si>
  <si>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</si>
  <si>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</si>
  <si>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</si>
  <si>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</si>
  <si>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</si>
  <si>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</si>
  <si>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</si>
  <si>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</si>
  <si>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</si>
  <si>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</si>
  <si>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</si>
  <si>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</si>
  <si>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</si>
  <si>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</si>
  <si>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</si>
  <si>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</si>
  <si>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</si>
  <si>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</si>
  <si>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</si>
  <si>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</si>
  <si>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</si>
  <si>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</si>
  <si>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</si>
  <si>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</si>
  <si>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</si>
  <si>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</si>
  <si>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</si>
  <si>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</si>
  <si>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</si>
  <si>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</si>
  <si>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</si>
  <si>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</si>
  <si>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</si>
  <si>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</si>
  <si>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</si>
  <si>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</si>
  <si>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</si>
  <si>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</si>
  <si>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</si>
  <si>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</si>
  <si>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</si>
  <si>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</si>
  <si>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</si>
  <si>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</si>
  <si>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</si>
  <si>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</si>
  <si>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</si>
  <si>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 xml:space="preserve">The Unique Entity Identifier (UEI) created in SAM.gov. Subrecipients and Contractors MUST have a UEI. </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</si>
  <si>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</si>
  <si>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</si>
  <si>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</si>
  <si>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</si>
  <si>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</si>
  <si>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</si>
  <si>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</si>
  <si>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</si>
  <si>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</si>
  <si>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</si>
  <si>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</si>
  <si>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</si>
  <si>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</si>
  <si>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</si>
  <si>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</si>
  <si>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</si>
  <si>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</si>
  <si>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</si>
  <si>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</si>
  <si>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</si>
  <si>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</si>
  <si>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</si>
  <si>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</si>
  <si>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</si>
  <si>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</si>
  <si>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</si>
  <si>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</si>
  <si>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</si>
  <si>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</si>
  <si>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</si>
  <si>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</si>
  <si>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</si>
  <si>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v:20240404</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</si>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</sst>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8">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vFoeL3x2mm1Wtl237VYdEvHfdbowYTycEfRiUCLPJn1Zuh5TslGomIFwiimB7V4QJDIJiQwxbGuwEiMHQ4GYHg==" saltValue="Iccro+ZMeDhIleFOad4Byg==" spinCount="100000" sheet="1" objects="1" scenarios="1" formatRows="0"/>
  <dataConsolidate/>
  <conditionalFormatting sqref="B2:C2">
    <cfRule type="containsBlanks" dxfId="11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53125" defaultRowHeight="15" customHeight="1" x14ac:dyDescent="0.25"/>
  <cols>
    <col min="1" max="1" width="20" style="120" hidden="1" customWidth="1"/>
    <col min="2" max="2" width="47.7265625" style="121" customWidth="1"/>
    <col min="3" max="3" width="54.7265625" style="121" customWidth="1"/>
    <col min="4" max="16384" width="14.453125" style="117"/>
  </cols>
  <sheetData>
    <row r="1" spans="1:3" s="115" customFormat="1" ht="12.5" x14ac:dyDescent="0.25">
      <c r="A1" s="266" t="s">
        <v>278</v>
      </c>
      <c r="B1" s="1" t="s">
        <v>295</v>
      </c>
      <c r="C1" s="1" t="s">
        <v>101</v>
      </c>
    </row>
    <row r="2" spans="1:3" s="116" customFormat="1" ht="41.15" customHeight="1" x14ac:dyDescent="0.3">
      <c r="A2" s="191" t="s">
        <v>966</v>
      </c>
      <c r="B2" s="15" t="s">
        <v>968</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E2St6iU0RQUEDNUUO9YOhCOgCc4jiP2TFPROD4KZxWz/SwaJYHQbGH9O8RG+Bxro3/48dvYJQiDcBMjPdNfwXw==" saltValue="5C3WwXnb75+rh4UfWRwc0g==" spinCount="100000" sheet="1" objects="1" scenarios="1" formatRows="0"/>
  <dataConsolidate/>
  <conditionalFormatting sqref="C2">
    <cfRule type="containsBlanks" dxfId="117"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201"/>
  <sheetViews>
    <sheetView showGridLines="0" zoomScaleNormal="100" workbookViewId="0">
      <pane xSplit="4" ySplit="12" topLeftCell="AN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25.63281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50" width="19.7265625" style="129" customWidth="1"/>
    <col min="51" max="69" width="8.7265625" style="129" customWidth="1"/>
    <col min="70" max="16384" width="8.7265625" style="129"/>
  </cols>
  <sheetData>
    <row r="1" spans="1:50" s="127" customFormat="1" ht="27" hidden="1" customHeight="1" x14ac:dyDescent="0.2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2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1012</v>
      </c>
      <c r="AX3" s="105" t="s">
        <v>1013</v>
      </c>
    </row>
    <row r="4" spans="1:50" s="127" customFormat="1"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 hidden="1" customHeight="1" x14ac:dyDescent="0.2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1014</v>
      </c>
      <c r="AX5" s="68" t="s">
        <v>1015</v>
      </c>
    </row>
    <row r="6" spans="1:50" s="127" customFormat="1" ht="27" hidden="1" customHeight="1" x14ac:dyDescent="0.2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2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15" hidden="1" customHeight="1" x14ac:dyDescent="0.2">
      <c r="A10" s="38" t="s">
        <v>703</v>
      </c>
      <c r="B10" s="39"/>
      <c r="C10" s="39" t="s">
        <v>706</v>
      </c>
      <c r="D10" s="39" t="s">
        <v>707</v>
      </c>
      <c r="E10" s="39" t="s">
        <v>708</v>
      </c>
      <c r="F10" s="39" t="s">
        <v>984</v>
      </c>
      <c r="G10" s="39" t="s">
        <v>710</v>
      </c>
      <c r="H10" s="40" t="s">
        <v>985</v>
      </c>
      <c r="I10" s="40" t="s">
        <v>741</v>
      </c>
      <c r="J10" s="40" t="s">
        <v>986</v>
      </c>
      <c r="K10" s="39" t="s">
        <v>711</v>
      </c>
      <c r="L10" s="39" t="s">
        <v>712</v>
      </c>
      <c r="M10" s="39" t="s">
        <v>713</v>
      </c>
      <c r="N10" s="40" t="s">
        <v>987</v>
      </c>
      <c r="O10" s="40"/>
      <c r="P10" s="40"/>
      <c r="Q10" s="40"/>
      <c r="R10" s="40"/>
      <c r="S10" s="40"/>
      <c r="T10" s="40" t="s">
        <v>396</v>
      </c>
      <c r="U10" s="40" t="s">
        <v>988</v>
      </c>
      <c r="V10" s="40"/>
      <c r="W10" s="40"/>
      <c r="X10" s="40"/>
      <c r="Y10" s="40"/>
      <c r="Z10" s="41"/>
      <c r="AA10" s="39" t="s">
        <v>989</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1014</v>
      </c>
      <c r="AX10" s="39" t="s">
        <v>1015</v>
      </c>
    </row>
    <row r="11" spans="1:50"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c r="AW11" s="165"/>
      <c r="AX11" s="165"/>
    </row>
    <row r="12" spans="1:50" s="180" customFormat="1" ht="130" x14ac:dyDescent="0.3">
      <c r="A12" s="178" t="s">
        <v>134</v>
      </c>
      <c r="B12" s="179"/>
      <c r="C12" s="184" t="s">
        <v>5</v>
      </c>
      <c r="D12" s="184" t="s">
        <v>122</v>
      </c>
      <c r="E12" s="184" t="s">
        <v>123</v>
      </c>
      <c r="F12" s="184" t="s">
        <v>124</v>
      </c>
      <c r="G12" s="184" t="s">
        <v>459</v>
      </c>
      <c r="H12" s="184" t="s">
        <v>460</v>
      </c>
      <c r="I12" s="184" t="s">
        <v>461</v>
      </c>
      <c r="J12" s="184" t="s">
        <v>462</v>
      </c>
      <c r="K12" s="184" t="s">
        <v>127</v>
      </c>
      <c r="L12" s="259" t="s">
        <v>128</v>
      </c>
      <c r="M12" s="259" t="s">
        <v>129</v>
      </c>
      <c r="N12" s="184" t="s">
        <v>626</v>
      </c>
      <c r="O12" s="184" t="s">
        <v>475</v>
      </c>
      <c r="P12" s="259" t="s">
        <v>476</v>
      </c>
      <c r="Q12" s="184" t="s">
        <v>477</v>
      </c>
      <c r="R12" s="259" t="s">
        <v>476</v>
      </c>
      <c r="S12" s="184" t="s">
        <v>478</v>
      </c>
      <c r="T12" s="184" t="s">
        <v>513</v>
      </c>
      <c r="U12" s="184" t="s">
        <v>514</v>
      </c>
      <c r="V12" s="184" t="s">
        <v>592</v>
      </c>
      <c r="W12" s="184" t="s">
        <v>593</v>
      </c>
      <c r="X12" s="184" t="s">
        <v>551</v>
      </c>
      <c r="Y12" s="184" t="s">
        <v>554</v>
      </c>
      <c r="Z12" s="184" t="s">
        <v>125</v>
      </c>
      <c r="AA12" s="184" t="s">
        <v>126</v>
      </c>
      <c r="AB12" s="184" t="s">
        <v>520</v>
      </c>
      <c r="AC12" s="184" t="s">
        <v>521</v>
      </c>
      <c r="AD12" s="184" t="s">
        <v>522</v>
      </c>
      <c r="AE12" s="184" t="s">
        <v>330</v>
      </c>
      <c r="AF12" s="184" t="s">
        <v>332</v>
      </c>
      <c r="AG12" s="184" t="s">
        <v>331</v>
      </c>
      <c r="AH12" s="184" t="s">
        <v>335</v>
      </c>
      <c r="AI12" s="184" t="s">
        <v>333</v>
      </c>
      <c r="AJ12" s="184" t="s">
        <v>334</v>
      </c>
      <c r="AK12" s="184" t="s">
        <v>336</v>
      </c>
      <c r="AL12" s="184" t="s">
        <v>337</v>
      </c>
      <c r="AM12" s="184" t="s">
        <v>338</v>
      </c>
      <c r="AN12" s="184" t="s">
        <v>339</v>
      </c>
      <c r="AO12" s="184" t="s">
        <v>340</v>
      </c>
      <c r="AP12" s="184" t="s">
        <v>341</v>
      </c>
      <c r="AQ12" s="184" t="s">
        <v>343</v>
      </c>
      <c r="AR12" s="184" t="s">
        <v>342</v>
      </c>
      <c r="AS12" s="184" t="s">
        <v>750</v>
      </c>
      <c r="AT12" s="184" t="s">
        <v>751</v>
      </c>
      <c r="AU12" s="184" t="s">
        <v>752</v>
      </c>
      <c r="AV12" s="184" t="s">
        <v>810</v>
      </c>
      <c r="AW12" s="184" t="s">
        <v>1016</v>
      </c>
      <c r="AX12" s="184" t="s">
        <v>1017</v>
      </c>
    </row>
    <row r="13" spans="1:50" ht="12.5" customHeight="1" x14ac:dyDescent="0.25">
      <c r="A13" s="192" t="s">
        <v>135</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c r="AW13" s="196"/>
      <c r="AX13" s="196"/>
    </row>
    <row r="14" spans="1:50"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c r="AW14" s="196"/>
      <c r="AX14" s="196"/>
    </row>
    <row r="15" spans="1:50"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c r="AW15" s="196"/>
      <c r="AX15" s="196"/>
    </row>
    <row r="16" spans="1:50"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c r="AW16" s="196"/>
      <c r="AX16" s="196"/>
    </row>
    <row r="17" spans="1:50"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c r="AW17" s="196"/>
      <c r="AX17" s="196"/>
    </row>
    <row r="18" spans="1:50"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c r="AW18" s="196"/>
      <c r="AX18" s="196"/>
    </row>
    <row r="19" spans="1:50"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c r="AW19" s="196"/>
      <c r="AX19" s="196"/>
    </row>
    <row r="20" spans="1:50"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c r="AW20" s="196"/>
      <c r="AX20" s="196"/>
    </row>
    <row r="21" spans="1:50"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c r="AW21" s="196"/>
      <c r="AX21" s="196"/>
    </row>
    <row r="22" spans="1:50"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c r="AW22" s="196"/>
      <c r="AX22" s="196"/>
    </row>
    <row r="23" spans="1:50"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c r="AW23" s="196"/>
      <c r="AX23" s="196"/>
    </row>
    <row r="24" spans="1:50"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c r="AW24" s="196"/>
      <c r="AX24" s="196"/>
    </row>
    <row r="25" spans="1:50"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c r="AW25" s="196"/>
      <c r="AX25" s="196"/>
    </row>
    <row r="26" spans="1:50"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c r="AW26" s="196"/>
      <c r="AX26" s="196"/>
    </row>
    <row r="27" spans="1:50"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c r="AW27" s="196"/>
      <c r="AX27" s="196"/>
    </row>
    <row r="28" spans="1:50"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c r="AW28" s="196"/>
      <c r="AX28" s="196"/>
    </row>
    <row r="29" spans="1:50"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c r="AW29" s="196"/>
      <c r="AX29" s="196"/>
    </row>
    <row r="30" spans="1:50"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c r="AW30" s="196"/>
      <c r="AX30" s="196"/>
    </row>
    <row r="31" spans="1:50"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c r="AW31" s="196"/>
      <c r="AX31" s="196"/>
    </row>
    <row r="32" spans="1:50"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c r="AW32" s="196"/>
      <c r="AX32" s="196"/>
    </row>
    <row r="33" spans="1:50"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c r="AW33" s="196"/>
      <c r="AX33" s="196"/>
    </row>
    <row r="34" spans="1:50"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c r="AW34" s="196"/>
      <c r="AX34" s="196"/>
    </row>
    <row r="35" spans="1:50"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c r="AW35" s="196"/>
      <c r="AX35" s="196"/>
    </row>
    <row r="36" spans="1:50"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c r="AW36" s="196"/>
      <c r="AX36" s="196"/>
    </row>
    <row r="37" spans="1:50"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c r="AW37" s="196"/>
      <c r="AX37" s="196"/>
    </row>
    <row r="38" spans="1:50"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c r="AW38" s="199"/>
      <c r="AX38" s="199"/>
    </row>
    <row r="39" spans="1:50"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c r="AW39" s="199"/>
      <c r="AX39" s="199"/>
    </row>
    <row r="40" spans="1:50"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c r="AW40" s="199"/>
      <c r="AX40" s="199"/>
    </row>
    <row r="41" spans="1:50"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c r="AW41" s="199"/>
      <c r="AX41" s="199"/>
    </row>
    <row r="42" spans="1:50"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c r="AW42" s="199"/>
      <c r="AX42" s="199"/>
    </row>
    <row r="43" spans="1:50"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c r="AW43" s="199"/>
      <c r="AX43" s="199"/>
    </row>
    <row r="44" spans="1:50"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c r="AW44" s="199"/>
      <c r="AX44" s="199"/>
    </row>
    <row r="45" spans="1:50"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c r="AW45" s="199"/>
      <c r="AX45" s="199"/>
    </row>
    <row r="46" spans="1:50"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c r="AW46" s="199"/>
      <c r="AX46" s="199"/>
    </row>
    <row r="47" spans="1:50"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c r="AW47" s="199"/>
      <c r="AX47" s="199"/>
    </row>
    <row r="48" spans="1:50"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c r="AW48" s="199"/>
      <c r="AX48" s="199"/>
    </row>
    <row r="49" spans="1:50"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c r="AW49" s="199"/>
      <c r="AX49" s="199"/>
    </row>
    <row r="50" spans="1:50"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c r="AW50" s="199"/>
      <c r="AX50" s="199"/>
    </row>
    <row r="51" spans="1:50"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c r="AW51" s="199"/>
      <c r="AX51" s="199"/>
    </row>
    <row r="52" spans="1:50"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c r="AW52" s="199"/>
      <c r="AX52" s="199"/>
    </row>
    <row r="53" spans="1:50"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c r="AW53" s="199"/>
      <c r="AX53" s="199"/>
    </row>
    <row r="54" spans="1:50"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c r="AW54" s="199"/>
      <c r="AX54" s="199"/>
    </row>
    <row r="55" spans="1:50"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c r="AW55" s="199"/>
      <c r="AX55" s="199"/>
    </row>
    <row r="56" spans="1:50"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c r="AW56" s="199"/>
      <c r="AX56" s="199"/>
    </row>
    <row r="57" spans="1:50"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c r="AW57" s="199"/>
      <c r="AX57" s="199"/>
    </row>
    <row r="58" spans="1:50"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c r="AW58" s="199"/>
      <c r="AX58" s="199"/>
    </row>
    <row r="59" spans="1:50"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c r="AW59" s="199"/>
      <c r="AX59" s="199"/>
    </row>
    <row r="60" spans="1:50"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c r="AW60" s="199"/>
      <c r="AX60" s="199"/>
    </row>
    <row r="61" spans="1:50"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c r="AW61" s="199"/>
      <c r="AX61" s="199"/>
    </row>
    <row r="62" spans="1:50"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c r="AW62" s="199"/>
      <c r="AX62" s="199"/>
    </row>
    <row r="63" spans="1:50"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c r="AW63" s="199"/>
      <c r="AX63" s="199"/>
    </row>
    <row r="64" spans="1:50"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c r="AW64" s="199"/>
      <c r="AX64" s="199"/>
    </row>
    <row r="65" spans="1:50"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c r="AW65" s="199"/>
      <c r="AX65" s="199"/>
    </row>
    <row r="66" spans="1:50"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c r="AW66" s="199"/>
      <c r="AX66" s="199"/>
    </row>
    <row r="67" spans="1:50"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c r="AW67" s="199"/>
      <c r="AX67" s="199"/>
    </row>
    <row r="68" spans="1:50"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c r="AW68" s="199"/>
      <c r="AX68" s="199"/>
    </row>
    <row r="69" spans="1:50"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c r="AW69" s="199"/>
      <c r="AX69" s="199"/>
    </row>
    <row r="70" spans="1:50"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c r="AW70" s="199"/>
      <c r="AX70" s="199"/>
    </row>
    <row r="71" spans="1:50"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c r="AW71" s="199"/>
      <c r="AX71" s="199"/>
    </row>
    <row r="72" spans="1:50"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c r="AW72" s="199"/>
      <c r="AX72" s="199"/>
    </row>
    <row r="73" spans="1:50"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c r="AW73" s="199"/>
      <c r="AX73" s="199"/>
    </row>
    <row r="74" spans="1:50"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c r="AW74" s="199"/>
      <c r="AX74" s="199"/>
    </row>
    <row r="75" spans="1:50"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c r="AW75" s="199"/>
      <c r="AX75" s="199"/>
    </row>
    <row r="76" spans="1:50"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c r="AW76" s="199"/>
      <c r="AX76" s="199"/>
    </row>
    <row r="77" spans="1:50"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c r="AW77" s="199"/>
      <c r="AX77" s="199"/>
    </row>
    <row r="78" spans="1:50"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c r="AW78" s="199"/>
      <c r="AX78" s="199"/>
    </row>
    <row r="79" spans="1:50"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c r="AW79" s="199"/>
      <c r="AX79" s="199"/>
    </row>
    <row r="80" spans="1:50"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c r="AW80" s="199"/>
      <c r="AX80" s="199"/>
    </row>
    <row r="81" spans="1:50"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c r="AW81" s="199"/>
      <c r="AX81" s="199"/>
    </row>
    <row r="82" spans="1:50"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c r="AW82" s="199"/>
      <c r="AX82" s="199"/>
    </row>
    <row r="83" spans="1:50"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c r="AW83" s="199"/>
      <c r="AX83" s="199"/>
    </row>
    <row r="84" spans="1:50"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c r="AW84" s="199"/>
      <c r="AX84" s="199"/>
    </row>
    <row r="85" spans="1:50"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c r="AW85" s="199"/>
      <c r="AX85" s="199"/>
    </row>
    <row r="86" spans="1:50"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c r="AW86" s="199"/>
      <c r="AX86" s="199"/>
    </row>
    <row r="87" spans="1:50"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c r="AW87" s="199"/>
      <c r="AX87" s="199"/>
    </row>
    <row r="88" spans="1:50"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c r="AW88" s="199"/>
      <c r="AX88" s="199"/>
    </row>
    <row r="89" spans="1:50"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c r="AW89" s="199"/>
      <c r="AX89" s="199"/>
    </row>
    <row r="90" spans="1:50"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c r="AW90" s="199"/>
      <c r="AX90" s="199"/>
    </row>
    <row r="91" spans="1:50"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c r="AW91" s="199"/>
      <c r="AX91" s="199"/>
    </row>
    <row r="92" spans="1:50"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c r="AW92" s="199"/>
      <c r="AX92" s="199"/>
    </row>
    <row r="93" spans="1:50"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c r="AW93" s="199"/>
      <c r="AX93" s="199"/>
    </row>
    <row r="94" spans="1:50"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c r="AW94" s="199"/>
      <c r="AX94" s="199"/>
    </row>
    <row r="95" spans="1:50"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c r="AW95" s="199"/>
      <c r="AX95" s="199"/>
    </row>
    <row r="96" spans="1:50"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c r="AW96" s="199"/>
      <c r="AX96" s="199"/>
    </row>
    <row r="97" spans="1:50"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c r="AW97" s="199"/>
      <c r="AX97" s="199"/>
    </row>
    <row r="98" spans="1:50"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c r="AW98" s="199"/>
      <c r="AX98" s="199"/>
    </row>
    <row r="99" spans="1:50"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c r="AW99" s="199"/>
      <c r="AX99" s="199"/>
    </row>
    <row r="100" spans="1:50"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c r="AW100" s="199"/>
      <c r="AX100" s="199"/>
    </row>
    <row r="101" spans="1:50"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c r="AW101" s="199"/>
      <c r="AX101" s="199"/>
    </row>
    <row r="102" spans="1:50"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c r="AW102" s="199"/>
      <c r="AX102" s="199"/>
    </row>
    <row r="103" spans="1:50"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c r="AW103" s="199"/>
      <c r="AX103" s="199"/>
    </row>
    <row r="104" spans="1:50"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c r="AW104" s="199"/>
      <c r="AX104" s="199"/>
    </row>
    <row r="105" spans="1:50"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c r="AW105" s="199"/>
      <c r="AX105" s="199"/>
    </row>
    <row r="106" spans="1:50"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c r="AW106" s="199"/>
      <c r="AX106" s="199"/>
    </row>
    <row r="107" spans="1:50"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c r="AW107" s="199"/>
      <c r="AX107" s="199"/>
    </row>
    <row r="108" spans="1:50"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c r="AW108" s="199"/>
      <c r="AX108" s="199"/>
    </row>
    <row r="109" spans="1:50"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c r="AW109" s="199"/>
      <c r="AX109" s="199"/>
    </row>
    <row r="110" spans="1:50"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c r="AW110" s="199"/>
      <c r="AX110" s="199"/>
    </row>
    <row r="111" spans="1:50"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c r="AW111" s="199"/>
      <c r="AX111" s="199"/>
    </row>
    <row r="112" spans="1:50"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c r="AW112" s="199"/>
      <c r="AX112" s="199"/>
    </row>
    <row r="113" spans="1:50"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c r="AW113" s="199"/>
      <c r="AX113" s="199"/>
    </row>
    <row r="114" spans="1:50"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c r="AW114" s="199"/>
      <c r="AX114" s="199"/>
    </row>
    <row r="115" spans="1:50"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c r="AW115" s="199"/>
      <c r="AX115" s="199"/>
    </row>
    <row r="116" spans="1:50"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c r="AW116" s="199"/>
      <c r="AX116" s="199"/>
    </row>
    <row r="117" spans="1:50"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c r="AW117" s="199"/>
      <c r="AX117" s="199"/>
    </row>
    <row r="118" spans="1:50"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c r="AW118" s="199"/>
      <c r="AX118" s="199"/>
    </row>
    <row r="119" spans="1:50"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c r="AW119" s="199"/>
      <c r="AX119" s="199"/>
    </row>
    <row r="120" spans="1:50"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c r="AW120" s="199"/>
      <c r="AX120" s="199"/>
    </row>
    <row r="121" spans="1:50"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c r="AW121" s="199"/>
      <c r="AX121" s="199"/>
    </row>
    <row r="122" spans="1:50"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c r="AW122" s="199"/>
      <c r="AX122" s="199"/>
    </row>
    <row r="123" spans="1:50"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c r="AW123" s="199"/>
      <c r="AX123" s="199"/>
    </row>
    <row r="124" spans="1:50"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c r="AW124" s="199"/>
      <c r="AX124" s="199"/>
    </row>
    <row r="125" spans="1:50"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c r="AW125" s="199"/>
      <c r="AX125" s="199"/>
    </row>
    <row r="126" spans="1:50"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c r="AW126" s="199"/>
      <c r="AX126" s="199"/>
    </row>
    <row r="127" spans="1:50"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c r="AW127" s="199"/>
      <c r="AX127" s="199"/>
    </row>
    <row r="128" spans="1:50"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c r="AW128" s="199"/>
      <c r="AX128" s="199"/>
    </row>
    <row r="129" spans="1:50"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c r="AW129" s="199"/>
      <c r="AX129" s="199"/>
    </row>
    <row r="130" spans="1:50"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c r="AW130" s="199"/>
      <c r="AX130" s="199"/>
    </row>
    <row r="131" spans="1:50"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c r="AW131" s="199"/>
      <c r="AX131" s="199"/>
    </row>
    <row r="132" spans="1:50"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c r="AW132" s="199"/>
      <c r="AX132" s="199"/>
    </row>
    <row r="133" spans="1:50"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c r="AW133" s="199"/>
      <c r="AX133" s="199"/>
    </row>
    <row r="134" spans="1:50"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c r="AW134" s="199"/>
      <c r="AX134" s="199"/>
    </row>
    <row r="135" spans="1:50"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c r="AW135" s="199"/>
      <c r="AX135" s="199"/>
    </row>
    <row r="136" spans="1:50"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c r="AW136" s="199"/>
      <c r="AX136" s="199"/>
    </row>
    <row r="137" spans="1:50"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c r="AW137" s="199"/>
      <c r="AX137" s="199"/>
    </row>
    <row r="138" spans="1:50"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c r="AW138" s="199"/>
      <c r="AX138" s="199"/>
    </row>
    <row r="139" spans="1:50"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c r="AW139" s="199"/>
      <c r="AX139" s="199"/>
    </row>
    <row r="140" spans="1:50"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c r="AW140" s="199"/>
      <c r="AX140" s="199"/>
    </row>
    <row r="141" spans="1:50"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c r="AW141" s="199"/>
      <c r="AX141" s="199"/>
    </row>
    <row r="142" spans="1:50"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c r="AW142" s="199"/>
      <c r="AX142" s="199"/>
    </row>
    <row r="143" spans="1:50"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c r="AW143" s="199"/>
      <c r="AX143" s="199"/>
    </row>
    <row r="144" spans="1:50"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c r="AW144" s="199"/>
      <c r="AX144" s="199"/>
    </row>
    <row r="145" spans="1:50"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c r="AW145" s="199"/>
      <c r="AX145" s="199"/>
    </row>
    <row r="146" spans="1:50"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c r="AW146" s="199"/>
      <c r="AX146" s="199"/>
    </row>
    <row r="147" spans="1:50"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c r="AW147" s="199"/>
      <c r="AX147" s="199"/>
    </row>
    <row r="148" spans="1:50"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c r="AW148" s="199"/>
      <c r="AX148" s="199"/>
    </row>
    <row r="149" spans="1:50"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c r="AW149" s="199"/>
      <c r="AX149" s="199"/>
    </row>
    <row r="150" spans="1:50"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c r="AW150" s="199"/>
      <c r="AX150" s="199"/>
    </row>
    <row r="151" spans="1:50"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c r="AW151" s="199"/>
      <c r="AX151" s="199"/>
    </row>
    <row r="152" spans="1:50"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c r="AW152" s="199"/>
      <c r="AX152" s="199"/>
    </row>
    <row r="153" spans="1:50"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c r="AW153" s="199"/>
      <c r="AX153" s="199"/>
    </row>
    <row r="154" spans="1:50"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c r="AW154" s="199"/>
      <c r="AX154" s="199"/>
    </row>
    <row r="155" spans="1:50"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c r="AW155" s="199"/>
      <c r="AX155" s="199"/>
    </row>
    <row r="156" spans="1:50"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c r="AW156" s="199"/>
      <c r="AX156" s="199"/>
    </row>
    <row r="157" spans="1:50"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c r="AW157" s="199"/>
      <c r="AX157" s="199"/>
    </row>
    <row r="158" spans="1:50"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c r="AW158" s="199"/>
      <c r="AX158" s="199"/>
    </row>
    <row r="159" spans="1:50"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c r="AW159" s="199"/>
      <c r="AX159" s="199"/>
    </row>
    <row r="160" spans="1:50"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c r="AW160" s="199"/>
      <c r="AX160" s="199"/>
    </row>
    <row r="161" spans="1:50"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c r="AW161" s="199"/>
      <c r="AX161" s="199"/>
    </row>
    <row r="162" spans="1:50"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c r="AW162" s="199"/>
      <c r="AX162" s="199"/>
    </row>
    <row r="163" spans="1:50"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c r="AW163" s="199"/>
      <c r="AX163" s="199"/>
    </row>
    <row r="164" spans="1:50"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c r="AW164" s="199"/>
      <c r="AX164" s="199"/>
    </row>
    <row r="165" spans="1:50"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c r="AW165" s="199"/>
      <c r="AX165" s="199"/>
    </row>
    <row r="166" spans="1:50"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c r="AW166" s="199"/>
      <c r="AX166" s="199"/>
    </row>
    <row r="167" spans="1:50"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c r="AW167" s="199"/>
      <c r="AX167" s="199"/>
    </row>
    <row r="168" spans="1:50"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c r="AW168" s="199"/>
      <c r="AX168" s="199"/>
    </row>
    <row r="169" spans="1:50"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c r="AW169" s="199"/>
      <c r="AX169" s="199"/>
    </row>
    <row r="170" spans="1:50"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c r="AW170" s="199"/>
      <c r="AX170" s="199"/>
    </row>
    <row r="171" spans="1:50"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c r="AW171" s="199"/>
      <c r="AX171" s="199"/>
    </row>
    <row r="172" spans="1:50"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c r="AW172" s="199"/>
      <c r="AX172" s="199"/>
    </row>
    <row r="173" spans="1:50"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c r="AW173" s="199"/>
      <c r="AX173" s="199"/>
    </row>
    <row r="174" spans="1:50"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c r="AW174" s="199"/>
      <c r="AX174" s="199"/>
    </row>
    <row r="175" spans="1:50"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c r="AW175" s="199"/>
      <c r="AX175" s="199"/>
    </row>
    <row r="176" spans="1:50"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c r="AW176" s="199"/>
      <c r="AX176" s="199"/>
    </row>
    <row r="177" spans="1:50"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c r="AW177" s="199"/>
      <c r="AX177" s="199"/>
    </row>
    <row r="178" spans="1:50"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c r="AW178" s="199"/>
      <c r="AX178" s="199"/>
    </row>
    <row r="179" spans="1:50"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c r="AW179" s="199"/>
      <c r="AX179" s="199"/>
    </row>
    <row r="180" spans="1:50"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c r="AW180" s="199"/>
      <c r="AX180" s="199"/>
    </row>
    <row r="181" spans="1:50"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c r="AW181" s="199"/>
      <c r="AX181" s="199"/>
    </row>
    <row r="182" spans="1:50"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c r="AW182" s="199"/>
      <c r="AX182" s="199"/>
    </row>
    <row r="183" spans="1:50"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c r="AW183" s="199"/>
      <c r="AX183" s="199"/>
    </row>
    <row r="184" spans="1:50"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c r="AW184" s="199"/>
      <c r="AX184" s="199"/>
    </row>
    <row r="185" spans="1:50"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c r="AW185" s="199"/>
      <c r="AX185" s="199"/>
    </row>
    <row r="186" spans="1:50"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c r="AW186" s="199"/>
      <c r="AX186" s="199"/>
    </row>
    <row r="187" spans="1:50"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c r="AW187" s="199"/>
      <c r="AX187" s="199"/>
    </row>
    <row r="188" spans="1:50"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c r="AW188" s="199"/>
      <c r="AX188" s="199"/>
    </row>
    <row r="189" spans="1:50"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c r="AW189" s="199"/>
      <c r="AX189" s="199"/>
    </row>
    <row r="190" spans="1:50"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c r="AW190" s="199"/>
      <c r="AX190" s="199"/>
    </row>
    <row r="191" spans="1:50"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c r="AW191" s="199"/>
      <c r="AX191" s="199"/>
    </row>
    <row r="192" spans="1:50"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c r="AW192" s="199"/>
      <c r="AX192" s="199"/>
    </row>
    <row r="193" spans="1:50"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c r="AW193" s="199"/>
      <c r="AX193" s="199"/>
    </row>
    <row r="194" spans="1:50"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c r="AW194" s="199"/>
      <c r="AX194" s="199"/>
    </row>
    <row r="195" spans="1:50"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c r="AW195" s="199"/>
      <c r="AX195" s="199"/>
    </row>
    <row r="196" spans="1:50"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c r="AW196" s="199"/>
      <c r="AX196" s="199"/>
    </row>
    <row r="197" spans="1:50"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c r="AW197" s="199"/>
      <c r="AX197" s="199"/>
    </row>
    <row r="198" spans="1:50"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c r="AW198" s="199"/>
      <c r="AX198" s="199"/>
    </row>
    <row r="199" spans="1:50"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c r="AW199" s="199"/>
      <c r="AX199" s="199"/>
    </row>
    <row r="200" spans="1:50"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c r="AW200" s="199"/>
      <c r="AX200" s="199"/>
    </row>
    <row r="201" spans="1:50"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yT96Jae7QaBrF1HnoFhLRF+VabQl84tyFs5tm0O2/0DvzzKArEIwoMtCmTPirXWkmpu3ZtLLgTlqHZ6VSZiqAg==" saltValue="PI6vB5snu5qWCDMZbvYqBQ==" spinCount="100000" sheet="1" objects="1" scenarios="1" formatCells="0" formatRows="0"/>
  <dataConsolidate/>
  <phoneticPr fontId="10" type="noConversion"/>
  <conditionalFormatting sqref="AC13:AC201">
    <cfRule type="expression" priority="25">
      <formula>LEFT($AB13,5)="Other"</formula>
    </cfRule>
  </conditionalFormatting>
  <conditionalFormatting sqref="AR13:AR200">
    <cfRule type="expression" dxfId="116" priority="9">
      <formula>OR($AA13&lt;10000000,$AQ13="No")</formula>
    </cfRule>
    <cfRule type="expression" priority="10">
      <formula>AND($AA13&gt;=10000000,$AQ13="Yes")</formula>
    </cfRule>
  </conditionalFormatting>
  <conditionalFormatting sqref="AP13:AQ200">
    <cfRule type="expression" dxfId="115" priority="11">
      <formula>$AA13&lt;10000000</formula>
    </cfRule>
    <cfRule type="expression" priority="12">
      <formula>$AA13&gt;=10000000</formula>
    </cfRule>
  </conditionalFormatting>
  <conditionalFormatting sqref="AK13:AO200">
    <cfRule type="expression" dxfId="114" priority="13">
      <formula>OR($AA13&lt;10000000,$AJ13="Yes")</formula>
    </cfRule>
    <cfRule type="expression" dxfId="113" priority="14">
      <formula>AND($AA13&gt;=10000000,$AJ13="No")</formula>
    </cfRule>
  </conditionalFormatting>
  <conditionalFormatting sqref="AJ13:AJ200">
    <cfRule type="expression" dxfId="112" priority="15">
      <formula>$AA13&lt;10000000</formula>
    </cfRule>
    <cfRule type="expression" dxfId="111" priority="16">
      <formula>$AA13&gt;=10000000</formula>
    </cfRule>
  </conditionalFormatting>
  <conditionalFormatting sqref="AF13:AI200">
    <cfRule type="expression" priority="17">
      <formula>AND($AE13="No",$AA13&gt;=10000000)</formula>
    </cfRule>
    <cfRule type="expression" dxfId="110" priority="18">
      <formula>OR($AE13="Yes",$AA13&lt;10000000)</formula>
    </cfRule>
  </conditionalFormatting>
  <conditionalFormatting sqref="AE13:AE200">
    <cfRule type="expression" dxfId="109" priority="20">
      <formula>$AA13&lt;10000000</formula>
    </cfRule>
    <cfRule type="expression" priority="21">
      <formula>$AA13&gt;=10000000</formula>
    </cfRule>
  </conditionalFormatting>
  <conditionalFormatting sqref="AD13:AD200">
    <cfRule type="expression" dxfId="108" priority="22" stopIfTrue="1">
      <formula>AND($AA13&gt;=1000000,LEFT($AB13,5)="Other")</formula>
    </cfRule>
    <cfRule type="expression" dxfId="107" priority="23">
      <formula>$AA13&lt;10000000</formula>
    </cfRule>
    <cfRule type="expression" priority="24">
      <formula>$AA13&gt;=10000000</formula>
    </cfRule>
  </conditionalFormatting>
  <conditionalFormatting sqref="AC13:AC200">
    <cfRule type="expression" dxfId="106" priority="26">
      <formula>LEFT($AB13,5)&lt;&gt;"Other"</formula>
    </cfRule>
  </conditionalFormatting>
  <conditionalFormatting sqref="AA13:AB200">
    <cfRule type="expression" priority="27">
      <formula>$Z13="Yes"</formula>
    </cfRule>
    <cfRule type="expression" dxfId="105" priority="28">
      <formula>$Z13&lt;&gt;"Yes"</formula>
    </cfRule>
  </conditionalFormatting>
  <conditionalFormatting sqref="O13:O200">
    <cfRule type="expression" dxfId="104" priority="29">
      <formula>RIGHT($N13,7)="specify"</formula>
    </cfRule>
    <cfRule type="expression" dxfId="103" priority="30">
      <formula>RIGHT($N13,7)&lt;&gt;"specify"</formula>
    </cfRule>
  </conditionalFormatting>
  <conditionalFormatting sqref="Q13:Q200">
    <cfRule type="expression" dxfId="102" priority="31">
      <formula>RIGHT($P13,7)="specify"</formula>
    </cfRule>
    <cfRule type="expression" dxfId="101" priority="32">
      <formula>RIGHT($P13,7)&lt;&gt;"specify"</formula>
    </cfRule>
  </conditionalFormatting>
  <conditionalFormatting sqref="S13:S200">
    <cfRule type="expression" dxfId="100" priority="33">
      <formula>RIGHT($R13,7)="specify"</formula>
    </cfRule>
    <cfRule type="expression" dxfId="99" priority="34">
      <formula>RIGHT($R13,7)&lt;&gt;"specify"</formula>
    </cfRule>
  </conditionalFormatting>
  <conditionalFormatting sqref="AV13:AV200">
    <cfRule type="expression" priority="7">
      <formula>$E13="Cancelled"</formula>
    </cfRule>
    <cfRule type="expression" dxfId="98" priority="8">
      <formula>$E13&lt;&gt;"Cancelled"</formula>
    </cfRule>
  </conditionalFormatting>
  <conditionalFormatting sqref="N13:Y200 AS13:AU200">
    <cfRule type="expression" priority="5">
      <formula>$E13&lt;&gt;"Not Started"</formula>
    </cfRule>
    <cfRule type="expression" dxfId="97" priority="6">
      <formula>$E13="Not Started"</formula>
    </cfRule>
  </conditionalFormatting>
  <conditionalFormatting sqref="AW13:AW200">
    <cfRule type="expression" dxfId="96" priority="3" stopIfTrue="1">
      <formula>OR($E13="Not Started",$E13="Cancelled",$E13="")</formula>
    </cfRule>
    <cfRule type="expression" priority="4">
      <formula>AND($E13&lt;&gt;"Not Started",$E13&lt;&gt;"Cancelled")</formula>
    </cfRule>
  </conditionalFormatting>
  <conditionalFormatting sqref="AX13:AX200">
    <cfRule type="expression" dxfId="95" priority="1" stopIfTrue="1">
      <formula>$E13&lt;&gt;"Completed"</formula>
    </cfRule>
    <cfRule type="expression" priority="2">
      <formula>$E13="Completed"</formula>
    </cfRule>
  </conditionalFormatting>
  <dataValidations count="12">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whole" operator="lessThanOrEqual" allowBlank="1" showInputMessage="1" showErrorMessage="1" errorTitle="Max Length Exceed" error="Value cannot exceed 10 digits." sqref="AS13:AU200 X13:Y200" xr:uid="{6860AF9C-598A-4C21-BDBB-B2175178B5CA}">
      <formula1>9999999999</formula1>
    </dataValidation>
    <dataValidation type="date" operator="lessThan" allowBlank="1" showInputMessage="1" showErrorMessage="1" errorTitle="Date Format" error="Please check the format of the date you entered." sqref="AW13:AX200" xr:uid="{BF79CE6A-86E0-4BA0-BB36-BD0878FA3958}">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F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25.6328125" style="137" customWidth="1"/>
    <col min="5" max="5" width="23.6328125" style="137" customWidth="1"/>
    <col min="6" max="6" width="16.1796875" style="137" customWidth="1"/>
    <col min="7" max="7" width="15.26953125" style="137" customWidth="1"/>
    <col min="8" max="10" width="15.6328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58" width="19.7265625" style="137" customWidth="1"/>
    <col min="59" max="69" width="8.7265625" style="137" customWidth="1"/>
    <col min="70" max="16384" width="8.7265625" style="137"/>
  </cols>
  <sheetData>
    <row r="1" spans="1:58" s="136" customFormat="1" ht="27" hidden="1" customHeight="1" x14ac:dyDescent="0.2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53" t="s">
        <v>951</v>
      </c>
      <c r="AW1" s="253" t="s">
        <v>951</v>
      </c>
      <c r="AX1" s="253" t="s">
        <v>951</v>
      </c>
      <c r="AY1" s="106" t="s">
        <v>819</v>
      </c>
      <c r="AZ1" s="106" t="s">
        <v>819</v>
      </c>
      <c r="BA1" s="106" t="s">
        <v>784</v>
      </c>
      <c r="BB1" s="106" t="s">
        <v>755</v>
      </c>
      <c r="BC1" s="106" t="s">
        <v>755</v>
      </c>
      <c r="BD1" s="67" t="s">
        <v>814</v>
      </c>
      <c r="BE1" s="67" t="s">
        <v>814</v>
      </c>
      <c r="BF1" s="67" t="s">
        <v>814</v>
      </c>
    </row>
    <row r="2" spans="1:58" s="136" customFormat="1" ht="27" hidden="1" customHeight="1" x14ac:dyDescent="0.2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hidden="1" customHeight="1" x14ac:dyDescent="0.2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1012</v>
      </c>
      <c r="BF3" s="105" t="s">
        <v>1013</v>
      </c>
    </row>
    <row r="4" spans="1:58" ht="27" hidden="1" customHeight="1" x14ac:dyDescent="0.2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1014</v>
      </c>
      <c r="BF5" s="68" t="s">
        <v>1015</v>
      </c>
    </row>
    <row r="6" spans="1:58"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15" hidden="1" customHeight="1" x14ac:dyDescent="0.25">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0"/>
      <c r="O10" s="40"/>
      <c r="P10" s="40"/>
      <c r="Q10" s="40"/>
      <c r="R10" s="40"/>
      <c r="S10" s="40"/>
      <c r="T10" s="40"/>
      <c r="U10" s="40"/>
      <c r="V10" s="51"/>
      <c r="W10" s="40"/>
      <c r="X10" s="40"/>
      <c r="Y10" s="40"/>
      <c r="Z10" s="40"/>
      <c r="AA10" s="49"/>
      <c r="AB10" s="52"/>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1014</v>
      </c>
      <c r="BF10" s="39" t="s">
        <v>1015</v>
      </c>
    </row>
    <row r="11" spans="1:58"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c r="BE11" s="165"/>
      <c r="BF11" s="165"/>
    </row>
    <row r="12" spans="1:58" s="113" customFormat="1" ht="130"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626</v>
      </c>
      <c r="O12" s="184" t="s">
        <v>475</v>
      </c>
      <c r="P12" s="259" t="s">
        <v>692</v>
      </c>
      <c r="Q12" s="184" t="s">
        <v>477</v>
      </c>
      <c r="R12" s="259" t="s">
        <v>693</v>
      </c>
      <c r="S12" s="184" t="s">
        <v>478</v>
      </c>
      <c r="T12" s="184" t="s">
        <v>396</v>
      </c>
      <c r="U12" s="184" t="s">
        <v>397</v>
      </c>
      <c r="V12" s="184" t="s">
        <v>392</v>
      </c>
      <c r="W12" s="184" t="s">
        <v>398</v>
      </c>
      <c r="X12" s="184" t="s">
        <v>399</v>
      </c>
      <c r="Y12" s="184" t="s">
        <v>402</v>
      </c>
      <c r="Z12" s="184" t="s">
        <v>452</v>
      </c>
      <c r="AA12" s="184" t="s">
        <v>694</v>
      </c>
      <c r="AB12" s="184" t="s">
        <v>557</v>
      </c>
      <c r="AC12" s="184" t="s">
        <v>125</v>
      </c>
      <c r="AD12" s="184" t="s">
        <v>126</v>
      </c>
      <c r="AE12" s="184" t="s">
        <v>520</v>
      </c>
      <c r="AF12" s="184" t="s">
        <v>521</v>
      </c>
      <c r="AG12" s="184" t="s">
        <v>522</v>
      </c>
      <c r="AH12" s="184" t="s">
        <v>330</v>
      </c>
      <c r="AI12" s="184" t="s">
        <v>332</v>
      </c>
      <c r="AJ12" s="184" t="s">
        <v>331</v>
      </c>
      <c r="AK12" s="184" t="s">
        <v>335</v>
      </c>
      <c r="AL12" s="184" t="s">
        <v>333</v>
      </c>
      <c r="AM12" s="184" t="s">
        <v>334</v>
      </c>
      <c r="AN12" s="184" t="s">
        <v>336</v>
      </c>
      <c r="AO12" s="184" t="s">
        <v>337</v>
      </c>
      <c r="AP12" s="184" t="s">
        <v>338</v>
      </c>
      <c r="AQ12" s="184" t="s">
        <v>339</v>
      </c>
      <c r="AR12" s="184" t="s">
        <v>340</v>
      </c>
      <c r="AS12" s="184" t="s">
        <v>341</v>
      </c>
      <c r="AT12" s="184" t="s">
        <v>343</v>
      </c>
      <c r="AU12" s="184" t="s">
        <v>342</v>
      </c>
      <c r="AV12" s="184" t="s">
        <v>750</v>
      </c>
      <c r="AW12" s="184" t="s">
        <v>751</v>
      </c>
      <c r="AX12" s="184" t="s">
        <v>752</v>
      </c>
      <c r="AY12" s="184" t="s">
        <v>753</v>
      </c>
      <c r="AZ12" s="184" t="s">
        <v>754</v>
      </c>
      <c r="BA12" s="184" t="s">
        <v>756</v>
      </c>
      <c r="BB12" s="184" t="s">
        <v>757</v>
      </c>
      <c r="BC12" s="184" t="s">
        <v>758</v>
      </c>
      <c r="BD12" s="184" t="s">
        <v>810</v>
      </c>
      <c r="BE12" s="184" t="s">
        <v>1016</v>
      </c>
      <c r="BF12" s="184" t="s">
        <v>1017</v>
      </c>
    </row>
    <row r="13" spans="1:58" s="138" customFormat="1" ht="12.75" customHeight="1" x14ac:dyDescent="0.25">
      <c r="A13" s="190" t="s">
        <v>135</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c r="BE13" s="196"/>
      <c r="BF13" s="196"/>
    </row>
    <row r="14" spans="1:58"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c r="BE14" s="196"/>
      <c r="BF14" s="196"/>
    </row>
    <row r="15" spans="1:58"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c r="BE15" s="196"/>
      <c r="BF15" s="196"/>
    </row>
    <row r="16" spans="1:58"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c r="BE16" s="196"/>
      <c r="BF16" s="196"/>
    </row>
    <row r="17" spans="1:58"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c r="BE17" s="196"/>
      <c r="BF17" s="196"/>
    </row>
    <row r="18" spans="1:58"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c r="BE18" s="196"/>
      <c r="BF18" s="196"/>
    </row>
    <row r="19" spans="1:58"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c r="BE19" s="196"/>
      <c r="BF19" s="196"/>
    </row>
    <row r="20" spans="1:58"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c r="BE20" s="196"/>
      <c r="BF20" s="196"/>
    </row>
    <row r="21" spans="1:58"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c r="BE21" s="196"/>
      <c r="BF21" s="196"/>
    </row>
    <row r="22" spans="1:58"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c r="BE22" s="196"/>
      <c r="BF22" s="196"/>
    </row>
    <row r="23" spans="1:58"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c r="BE23" s="196"/>
      <c r="BF23" s="196"/>
    </row>
    <row r="24" spans="1:58"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c r="BE24" s="196"/>
      <c r="BF24" s="196"/>
    </row>
    <row r="25" spans="1:58"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c r="BE25" s="196"/>
      <c r="BF25" s="196"/>
    </row>
    <row r="26" spans="1:58"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c r="BE26" s="196"/>
      <c r="BF26" s="196"/>
    </row>
    <row r="27" spans="1:58"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c r="BE27" s="196"/>
      <c r="BF27" s="196"/>
    </row>
    <row r="28" spans="1:58"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c r="BE28" s="196"/>
      <c r="BF28" s="196"/>
    </row>
    <row r="29" spans="1:58"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c r="BE29" s="196"/>
      <c r="BF29" s="196"/>
    </row>
    <row r="30" spans="1:58"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c r="BE30" s="196"/>
      <c r="BF30" s="196"/>
    </row>
    <row r="31" spans="1:58"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c r="BE31" s="196"/>
      <c r="BF31" s="196"/>
    </row>
    <row r="32" spans="1:58"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c r="BE32" s="196"/>
      <c r="BF32" s="196"/>
    </row>
    <row r="33" spans="1:58"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c r="BE33" s="196"/>
      <c r="BF33" s="196"/>
    </row>
    <row r="34" spans="1:58"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c r="BE34" s="196"/>
      <c r="BF34" s="196"/>
    </row>
    <row r="35" spans="1:58"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c r="BE35" s="196"/>
      <c r="BF35" s="196"/>
    </row>
    <row r="36" spans="1:58"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c r="BE36" s="196"/>
      <c r="BF36" s="196"/>
    </row>
    <row r="37" spans="1:58"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c r="BE37" s="196"/>
      <c r="BF37" s="196"/>
    </row>
    <row r="38" spans="1:58"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c r="BE38" s="199"/>
      <c r="BF38" s="199"/>
    </row>
    <row r="39" spans="1:58"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c r="BE39" s="199"/>
      <c r="BF39" s="199"/>
    </row>
    <row r="40" spans="1:58"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c r="BE40" s="199"/>
      <c r="BF40" s="199"/>
    </row>
    <row r="41" spans="1:58"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c r="BE41" s="199"/>
      <c r="BF41" s="199"/>
    </row>
    <row r="42" spans="1:58"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c r="BE42" s="199"/>
      <c r="BF42" s="199"/>
    </row>
    <row r="43" spans="1:58"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c r="BE43" s="199"/>
      <c r="BF43" s="199"/>
    </row>
    <row r="44" spans="1:58"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c r="BE44" s="199"/>
      <c r="BF44" s="199"/>
    </row>
    <row r="45" spans="1:58"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c r="BE45" s="199"/>
      <c r="BF45" s="199"/>
    </row>
    <row r="46" spans="1:58"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c r="BE46" s="199"/>
      <c r="BF46" s="199"/>
    </row>
    <row r="47" spans="1:58"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c r="BE47" s="199"/>
      <c r="BF47" s="199"/>
    </row>
    <row r="48" spans="1:58"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c r="BE48" s="199"/>
      <c r="BF48" s="199"/>
    </row>
    <row r="49" spans="1:58"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c r="BE49" s="199"/>
      <c r="BF49" s="199"/>
    </row>
    <row r="50" spans="1:58"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c r="BE50" s="199"/>
      <c r="BF50" s="199"/>
    </row>
    <row r="51" spans="1:58"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c r="BE51" s="199"/>
      <c r="BF51" s="199"/>
    </row>
    <row r="52" spans="1:58"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c r="BE52" s="199"/>
      <c r="BF52" s="199"/>
    </row>
    <row r="53" spans="1:58"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c r="BE53" s="199"/>
      <c r="BF53" s="199"/>
    </row>
    <row r="54" spans="1:58"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c r="BE54" s="199"/>
      <c r="BF54" s="199"/>
    </row>
    <row r="55" spans="1:58"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c r="BE55" s="199"/>
      <c r="BF55" s="199"/>
    </row>
    <row r="56" spans="1:58"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c r="BE56" s="199"/>
      <c r="BF56" s="199"/>
    </row>
    <row r="57" spans="1:58"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c r="BE57" s="199"/>
      <c r="BF57" s="199"/>
    </row>
    <row r="58" spans="1:58"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c r="BE58" s="199"/>
      <c r="BF58" s="199"/>
    </row>
    <row r="59" spans="1:58"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c r="BE59" s="199"/>
      <c r="BF59" s="199"/>
    </row>
    <row r="60" spans="1:58"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c r="BE60" s="199"/>
      <c r="BF60" s="199"/>
    </row>
    <row r="61" spans="1:58"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c r="BE61" s="199"/>
      <c r="BF61" s="199"/>
    </row>
    <row r="62" spans="1:58"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c r="BE62" s="199"/>
      <c r="BF62" s="199"/>
    </row>
    <row r="63" spans="1:58"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c r="BE63" s="199"/>
      <c r="BF63" s="199"/>
    </row>
    <row r="64" spans="1:58"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c r="BE64" s="199"/>
      <c r="BF64" s="199"/>
    </row>
    <row r="65" spans="1:58"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c r="BE65" s="199"/>
      <c r="BF65" s="199"/>
    </row>
    <row r="66" spans="1:58"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c r="BE66" s="199"/>
      <c r="BF66" s="199"/>
    </row>
    <row r="67" spans="1:58"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c r="BE67" s="199"/>
      <c r="BF67" s="199"/>
    </row>
    <row r="68" spans="1:58"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c r="BE68" s="199"/>
      <c r="BF68" s="199"/>
    </row>
    <row r="69" spans="1:58"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c r="BE69" s="199"/>
      <c r="BF69" s="199"/>
    </row>
    <row r="70" spans="1:58"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c r="BE70" s="199"/>
      <c r="BF70" s="199"/>
    </row>
    <row r="71" spans="1:58"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c r="BE71" s="199"/>
      <c r="BF71" s="199"/>
    </row>
    <row r="72" spans="1:58"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c r="BE72" s="199"/>
      <c r="BF72" s="199"/>
    </row>
    <row r="73" spans="1:58"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c r="BE73" s="199"/>
      <c r="BF73" s="199"/>
    </row>
    <row r="74" spans="1:58"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c r="BE74" s="199"/>
      <c r="BF74" s="199"/>
    </row>
    <row r="75" spans="1:58"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c r="BE75" s="199"/>
      <c r="BF75" s="199"/>
    </row>
    <row r="76" spans="1:58"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c r="BE76" s="199"/>
      <c r="BF76" s="199"/>
    </row>
    <row r="77" spans="1:58"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c r="BE77" s="199"/>
      <c r="BF77" s="199"/>
    </row>
    <row r="78" spans="1:58"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c r="BE78" s="199"/>
      <c r="BF78" s="199"/>
    </row>
    <row r="79" spans="1:58"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c r="BE79" s="199"/>
      <c r="BF79" s="199"/>
    </row>
    <row r="80" spans="1:58"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c r="BE80" s="199"/>
      <c r="BF80" s="199"/>
    </row>
    <row r="81" spans="1:58"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c r="BE81" s="199"/>
      <c r="BF81" s="199"/>
    </row>
    <row r="82" spans="1:58"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c r="BE82" s="199"/>
      <c r="BF82" s="199"/>
    </row>
    <row r="83" spans="1:58"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c r="BE83" s="199"/>
      <c r="BF83" s="199"/>
    </row>
    <row r="84" spans="1:58"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c r="BE84" s="199"/>
      <c r="BF84" s="199"/>
    </row>
    <row r="85" spans="1:58"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c r="BE85" s="199"/>
      <c r="BF85" s="199"/>
    </row>
    <row r="86" spans="1:58"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c r="BE86" s="199"/>
      <c r="BF86" s="199"/>
    </row>
    <row r="87" spans="1:58"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c r="BE87" s="199"/>
      <c r="BF87" s="199"/>
    </row>
    <row r="88" spans="1:58"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c r="BE88" s="199"/>
      <c r="BF88" s="199"/>
    </row>
    <row r="89" spans="1:58"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c r="BE89" s="199"/>
      <c r="BF89" s="199"/>
    </row>
    <row r="90" spans="1:58"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c r="BE90" s="199"/>
      <c r="BF90" s="199"/>
    </row>
    <row r="91" spans="1:58"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c r="BE91" s="199"/>
      <c r="BF91" s="199"/>
    </row>
    <row r="92" spans="1:58"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c r="BE92" s="199"/>
      <c r="BF92" s="199"/>
    </row>
    <row r="93" spans="1:58"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c r="BE93" s="199"/>
      <c r="BF93" s="199"/>
    </row>
    <row r="94" spans="1:58"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c r="BE94" s="199"/>
      <c r="BF94" s="199"/>
    </row>
    <row r="95" spans="1:58"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c r="BE95" s="199"/>
      <c r="BF95" s="199"/>
    </row>
    <row r="96" spans="1:58"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c r="BE96" s="199"/>
      <c r="BF96" s="199"/>
    </row>
    <row r="97" spans="1:58"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c r="BE97" s="199"/>
      <c r="BF97" s="199"/>
    </row>
    <row r="98" spans="1:58"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c r="BE98" s="199"/>
      <c r="BF98" s="199"/>
    </row>
    <row r="99" spans="1:58"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c r="BE99" s="199"/>
      <c r="BF99" s="199"/>
    </row>
    <row r="100" spans="1:58"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c r="BE100" s="199"/>
      <c r="BF100" s="199"/>
    </row>
    <row r="101" spans="1:58"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c r="BE101" s="199"/>
      <c r="BF101" s="199"/>
    </row>
    <row r="102" spans="1:58"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c r="BE102" s="199"/>
      <c r="BF102" s="199"/>
    </row>
    <row r="103" spans="1:58"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c r="BE103" s="199"/>
      <c r="BF103" s="199"/>
    </row>
    <row r="104" spans="1:58"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c r="BE104" s="199"/>
      <c r="BF104" s="199"/>
    </row>
    <row r="105" spans="1:58"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c r="BE105" s="199"/>
      <c r="BF105" s="199"/>
    </row>
    <row r="106" spans="1:58"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c r="BE106" s="199"/>
      <c r="BF106" s="199"/>
    </row>
    <row r="107" spans="1:58"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c r="BE107" s="199"/>
      <c r="BF107" s="199"/>
    </row>
    <row r="108" spans="1:58"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c r="BE108" s="199"/>
      <c r="BF108" s="199"/>
    </row>
    <row r="109" spans="1:58"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c r="BE109" s="199"/>
      <c r="BF109" s="199"/>
    </row>
    <row r="110" spans="1:58"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c r="BE110" s="199"/>
      <c r="BF110" s="199"/>
    </row>
    <row r="111" spans="1:58"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c r="BE111" s="199"/>
      <c r="BF111" s="199"/>
    </row>
    <row r="112" spans="1:58"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c r="BE112" s="199"/>
      <c r="BF112" s="199"/>
    </row>
    <row r="113" spans="1:58"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c r="BE113" s="199"/>
      <c r="BF113" s="199"/>
    </row>
    <row r="114" spans="1:58"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c r="BE114" s="199"/>
      <c r="BF114" s="199"/>
    </row>
    <row r="115" spans="1:58"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c r="BE115" s="199"/>
      <c r="BF115" s="199"/>
    </row>
    <row r="116" spans="1:58"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c r="BE116" s="199"/>
      <c r="BF116" s="199"/>
    </row>
    <row r="117" spans="1:58"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c r="BE117" s="199"/>
      <c r="BF117" s="199"/>
    </row>
    <row r="118" spans="1:58"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c r="BE118" s="199"/>
      <c r="BF118" s="199"/>
    </row>
    <row r="119" spans="1:58"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c r="BE119" s="199"/>
      <c r="BF119" s="199"/>
    </row>
    <row r="120" spans="1:58"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c r="BE120" s="199"/>
      <c r="BF120" s="199"/>
    </row>
    <row r="121" spans="1:58"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c r="BE121" s="199"/>
      <c r="BF121" s="199"/>
    </row>
    <row r="122" spans="1:58"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c r="BE122" s="199"/>
      <c r="BF122" s="199"/>
    </row>
    <row r="123" spans="1:58"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c r="BE123" s="199"/>
      <c r="BF123" s="199"/>
    </row>
    <row r="124" spans="1:58"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c r="BE124" s="199"/>
      <c r="BF124" s="199"/>
    </row>
    <row r="125" spans="1:58"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c r="BE125" s="199"/>
      <c r="BF125" s="199"/>
    </row>
    <row r="126" spans="1:58"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c r="BE126" s="199"/>
      <c r="BF126" s="199"/>
    </row>
    <row r="127" spans="1:58"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c r="BE127" s="199"/>
      <c r="BF127" s="199"/>
    </row>
    <row r="128" spans="1:58"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c r="BE128" s="199"/>
      <c r="BF128" s="199"/>
    </row>
    <row r="129" spans="1:58"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c r="BE129" s="199"/>
      <c r="BF129" s="199"/>
    </row>
    <row r="130" spans="1:58"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c r="BE130" s="199"/>
      <c r="BF130" s="199"/>
    </row>
    <row r="131" spans="1:58"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c r="BE131" s="199"/>
      <c r="BF131" s="199"/>
    </row>
    <row r="132" spans="1:58"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c r="BE132" s="199"/>
      <c r="BF132" s="199"/>
    </row>
    <row r="133" spans="1:58"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c r="BE133" s="199"/>
      <c r="BF133" s="199"/>
    </row>
    <row r="134" spans="1:58"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c r="BE134" s="199"/>
      <c r="BF134" s="199"/>
    </row>
    <row r="135" spans="1:58"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c r="BE135" s="199"/>
      <c r="BF135" s="199"/>
    </row>
    <row r="136" spans="1:58"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c r="BE136" s="199"/>
      <c r="BF136" s="199"/>
    </row>
    <row r="137" spans="1:58"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c r="BE137" s="199"/>
      <c r="BF137" s="199"/>
    </row>
    <row r="138" spans="1:58"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c r="BE138" s="199"/>
      <c r="BF138" s="199"/>
    </row>
    <row r="139" spans="1:58"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c r="BE139" s="199"/>
      <c r="BF139" s="199"/>
    </row>
    <row r="140" spans="1:58"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c r="BE140" s="199"/>
      <c r="BF140" s="199"/>
    </row>
    <row r="141" spans="1:58"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c r="BE141" s="199"/>
      <c r="BF141" s="199"/>
    </row>
    <row r="142" spans="1:58"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c r="BE142" s="199"/>
      <c r="BF142" s="199"/>
    </row>
    <row r="143" spans="1:58"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c r="BE143" s="199"/>
      <c r="BF143" s="199"/>
    </row>
    <row r="144" spans="1:58"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c r="BE144" s="199"/>
      <c r="BF144" s="199"/>
    </row>
    <row r="145" spans="1:58"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c r="BE145" s="199"/>
      <c r="BF145" s="199"/>
    </row>
    <row r="146" spans="1:58"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c r="BE146" s="199"/>
      <c r="BF146" s="199"/>
    </row>
    <row r="147" spans="1:58"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c r="BE147" s="199"/>
      <c r="BF147" s="199"/>
    </row>
    <row r="148" spans="1:58"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c r="BE148" s="199"/>
      <c r="BF148" s="199"/>
    </row>
    <row r="149" spans="1:58"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c r="BE149" s="199"/>
      <c r="BF149" s="199"/>
    </row>
    <row r="150" spans="1:58"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c r="BE150" s="199"/>
      <c r="BF150" s="199"/>
    </row>
    <row r="151" spans="1:58"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c r="BE151" s="199"/>
      <c r="BF151" s="199"/>
    </row>
    <row r="152" spans="1:58"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c r="BE152" s="199"/>
      <c r="BF152" s="199"/>
    </row>
    <row r="153" spans="1:58"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c r="BE153" s="199"/>
      <c r="BF153" s="199"/>
    </row>
    <row r="154" spans="1:58"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c r="BE154" s="199"/>
      <c r="BF154" s="199"/>
    </row>
    <row r="155" spans="1:58"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c r="BE155" s="199"/>
      <c r="BF155" s="199"/>
    </row>
    <row r="156" spans="1:58"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c r="BE156" s="199"/>
      <c r="BF156" s="199"/>
    </row>
    <row r="157" spans="1:58"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c r="BE157" s="199"/>
      <c r="BF157" s="199"/>
    </row>
    <row r="158" spans="1:58"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c r="BE158" s="199"/>
      <c r="BF158" s="199"/>
    </row>
    <row r="159" spans="1:58"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c r="BE159" s="199"/>
      <c r="BF159" s="199"/>
    </row>
    <row r="160" spans="1:58"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c r="BE160" s="199"/>
      <c r="BF160" s="199"/>
    </row>
    <row r="161" spans="1:58"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c r="BE161" s="199"/>
      <c r="BF161" s="199"/>
    </row>
    <row r="162" spans="1:58"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c r="BE162" s="199"/>
      <c r="BF162" s="199"/>
    </row>
    <row r="163" spans="1:58"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c r="BE163" s="199"/>
      <c r="BF163" s="199"/>
    </row>
    <row r="164" spans="1:58"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c r="BE164" s="199"/>
      <c r="BF164" s="199"/>
    </row>
    <row r="165" spans="1:58"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c r="BE165" s="199"/>
      <c r="BF165" s="199"/>
    </row>
    <row r="166" spans="1:58"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c r="BE166" s="199"/>
      <c r="BF166" s="199"/>
    </row>
    <row r="167" spans="1:58"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c r="BE167" s="199"/>
      <c r="BF167" s="199"/>
    </row>
    <row r="168" spans="1:58"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c r="BE168" s="199"/>
      <c r="BF168" s="199"/>
    </row>
    <row r="169" spans="1:58"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c r="BE169" s="199"/>
      <c r="BF169" s="199"/>
    </row>
    <row r="170" spans="1:58"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c r="BE170" s="199"/>
      <c r="BF170" s="199"/>
    </row>
    <row r="171" spans="1:58"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c r="BE171" s="199"/>
      <c r="BF171" s="199"/>
    </row>
    <row r="172" spans="1:58"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c r="BE172" s="199"/>
      <c r="BF172" s="199"/>
    </row>
    <row r="173" spans="1:58"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c r="BE173" s="199"/>
      <c r="BF173" s="199"/>
    </row>
    <row r="174" spans="1:58"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c r="BE174" s="199"/>
      <c r="BF174" s="199"/>
    </row>
    <row r="175" spans="1:58"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c r="BE175" s="199"/>
      <c r="BF175" s="199"/>
    </row>
    <row r="176" spans="1:58"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c r="BE176" s="199"/>
      <c r="BF176" s="199"/>
    </row>
    <row r="177" spans="1:58"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c r="BE177" s="199"/>
      <c r="BF177" s="199"/>
    </row>
    <row r="178" spans="1:58"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c r="BE178" s="199"/>
      <c r="BF178" s="199"/>
    </row>
    <row r="179" spans="1:58"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c r="BE179" s="199"/>
      <c r="BF179" s="199"/>
    </row>
    <row r="180" spans="1:58"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c r="BE180" s="199"/>
      <c r="BF180" s="199"/>
    </row>
    <row r="181" spans="1:58"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c r="BE181" s="199"/>
      <c r="BF181" s="199"/>
    </row>
    <row r="182" spans="1:58"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c r="BE182" s="199"/>
      <c r="BF182" s="199"/>
    </row>
    <row r="183" spans="1:58"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c r="BE183" s="199"/>
      <c r="BF183" s="199"/>
    </row>
    <row r="184" spans="1:58"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c r="BE184" s="199"/>
      <c r="BF184" s="199"/>
    </row>
    <row r="185" spans="1:58"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c r="BE185" s="199"/>
      <c r="BF185" s="199"/>
    </row>
    <row r="186" spans="1:58"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c r="BE186" s="199"/>
      <c r="BF186" s="199"/>
    </row>
    <row r="187" spans="1:58"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c r="BE187" s="199"/>
      <c r="BF187" s="199"/>
    </row>
    <row r="188" spans="1:58"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c r="BE188" s="199"/>
      <c r="BF188" s="199"/>
    </row>
    <row r="189" spans="1:58"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c r="BE189" s="199"/>
      <c r="BF189" s="199"/>
    </row>
    <row r="190" spans="1:58"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c r="BE190" s="199"/>
      <c r="BF190" s="199"/>
    </row>
    <row r="191" spans="1:58"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c r="BE191" s="199"/>
      <c r="BF191" s="199"/>
    </row>
    <row r="192" spans="1:58"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c r="BE192" s="199"/>
      <c r="BF192" s="199"/>
    </row>
    <row r="193" spans="1:58"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c r="BE193" s="199"/>
      <c r="BF193" s="199"/>
    </row>
    <row r="194" spans="1:58"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c r="BE194" s="199"/>
      <c r="BF194" s="199"/>
    </row>
    <row r="195" spans="1:58"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c r="BE195" s="199"/>
      <c r="BF195" s="199"/>
    </row>
    <row r="196" spans="1:58"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c r="BE196" s="199"/>
      <c r="BF196" s="199"/>
    </row>
    <row r="197" spans="1:58"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c r="BE197" s="199"/>
      <c r="BF197" s="199"/>
    </row>
    <row r="198" spans="1:58"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c r="BE198" s="199"/>
      <c r="BF198" s="199"/>
    </row>
    <row r="199" spans="1:58"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c r="BE199" s="199"/>
      <c r="BF199" s="199"/>
    </row>
    <row r="200" spans="1:58"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c r="BE200" s="199"/>
      <c r="BF200" s="199"/>
    </row>
    <row r="201" spans="1:58"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cmZIbFDAW4JL0wDONpKVi6YLpbEK0YeI9pfhIJGXBrp3gbcAfYDLk+03kHePAIb/NC7xOrd0vQw7s3s6h7gGoA==" saltValue="TsBzXPID9EDPdiuXZ5gK+g==" spinCount="100000" sheet="1" objects="1" scenarios="1" formatCells="0" formatRows="0"/>
  <phoneticPr fontId="10" type="noConversion"/>
  <conditionalFormatting sqref="AU13:AU200">
    <cfRule type="expression" priority="11">
      <formula>AND($AD13&gt;=10000000,$AT13="Yes")</formula>
    </cfRule>
    <cfRule type="expression" dxfId="94" priority="12">
      <formula>OR($AD13&lt;10000000,$AT13="No")</formula>
    </cfRule>
  </conditionalFormatting>
  <conditionalFormatting sqref="AS13:AT200">
    <cfRule type="expression" priority="13">
      <formula>$AD13&gt;=10000000</formula>
    </cfRule>
    <cfRule type="expression" dxfId="93" priority="14">
      <formula>$AD13&lt;10000000</formula>
    </cfRule>
  </conditionalFormatting>
  <conditionalFormatting sqref="AN13:AR200">
    <cfRule type="expression" priority="15">
      <formula>AND($AM13="No",$AD13&gt;=10000000)</formula>
    </cfRule>
    <cfRule type="expression" dxfId="92" priority="16">
      <formula>OR($AM13="Yes",$AD13&lt;10000000)</formula>
    </cfRule>
  </conditionalFormatting>
  <conditionalFormatting sqref="AH13:AH200">
    <cfRule type="expression" priority="19">
      <formula>$AD13&gt;=10000000</formula>
    </cfRule>
    <cfRule type="expression" dxfId="91" priority="20">
      <formula>$AD13&lt;10000000</formula>
    </cfRule>
  </conditionalFormatting>
  <conditionalFormatting sqref="AG13:AG200">
    <cfRule type="expression" priority="21" stopIfTrue="1">
      <formula>AND($AD13&gt;=1000000,LEFT($AE13,5)="Other")</formula>
    </cfRule>
    <cfRule type="expression" dxfId="90" priority="22">
      <formula>$AD13&lt;10000000</formula>
    </cfRule>
    <cfRule type="expression" priority="23">
      <formula>$AD13&gt;=10000000</formula>
    </cfRule>
  </conditionalFormatting>
  <conditionalFormatting sqref="AF13:AF200">
    <cfRule type="expression" priority="24">
      <formula>LEFT($AE13,5)="Other"</formula>
    </cfRule>
    <cfRule type="expression" dxfId="89" priority="25">
      <formula>LEFT($AE13,5)&lt;&gt;"Other"</formula>
    </cfRule>
  </conditionalFormatting>
  <conditionalFormatting sqref="AD13:AE200">
    <cfRule type="expression" dxfId="88" priority="26">
      <formula>$AC13&lt;&gt;"Yes"</formula>
    </cfRule>
    <cfRule type="expression" priority="27">
      <formula>$AC13="Yes"</formula>
    </cfRule>
  </conditionalFormatting>
  <conditionalFormatting sqref="S13:S200">
    <cfRule type="expression" dxfId="87" priority="28">
      <formula>RIGHT($R13,7)="specify"</formula>
    </cfRule>
    <cfRule type="expression" dxfId="86" priority="29">
      <formula>RIGHT($R13,7)&lt;&gt;"specify"</formula>
    </cfRule>
  </conditionalFormatting>
  <conditionalFormatting sqref="Q13:Q200">
    <cfRule type="expression" dxfId="85" priority="30">
      <formula>RIGHT($P13,7)="specify"</formula>
    </cfRule>
    <cfRule type="expression" dxfId="84" priority="31">
      <formula>RIGHT($P13,7)&lt;&gt;"specify"</formula>
    </cfRule>
  </conditionalFormatting>
  <conditionalFormatting sqref="O13:O200">
    <cfRule type="expression" dxfId="83" priority="32">
      <formula>RIGHT($N13,7)="specify"</formula>
    </cfRule>
    <cfRule type="expression" dxfId="82" priority="33">
      <formula>RIGHT($N13,7)&lt;&gt;"specify"</formula>
    </cfRule>
  </conditionalFormatting>
  <conditionalFormatting sqref="BD13:BD200">
    <cfRule type="expression" priority="9">
      <formula>$E13="Cancelled"</formula>
    </cfRule>
    <cfRule type="expression" dxfId="81" priority="10">
      <formula>$E13&lt;&gt;"Cancelled"</formula>
    </cfRule>
  </conditionalFormatting>
  <conditionalFormatting sqref="AI13:AL200">
    <cfRule type="expression" priority="17">
      <formula>AND($AH13="No",$AD13&gt;=10000000)</formula>
    </cfRule>
    <cfRule type="expression" dxfId="80" priority="18">
      <formula>OR($AH13="Yes",$AD13&lt;10000000)</formula>
    </cfRule>
  </conditionalFormatting>
  <conditionalFormatting sqref="AM13:AM200">
    <cfRule type="expression" priority="7">
      <formula>$AD13&gt;=10000000</formula>
    </cfRule>
    <cfRule type="expression" dxfId="79" priority="8">
      <formula>$AD13&lt;10000000</formula>
    </cfRule>
  </conditionalFormatting>
  <conditionalFormatting sqref="N13:AB200 AV13:BC200">
    <cfRule type="expression" priority="5">
      <formula>$E13&lt;&gt;"Not Started"</formula>
    </cfRule>
    <cfRule type="expression" dxfId="78" priority="6">
      <formula>$E13="Not Started"</formula>
    </cfRule>
  </conditionalFormatting>
  <conditionalFormatting sqref="BE13:BE200">
    <cfRule type="expression" dxfId="77" priority="3" stopIfTrue="1">
      <formula>OR($E13="Not Started",$E13="Cancelled",$E13="")</formula>
    </cfRule>
    <cfRule type="expression" priority="4">
      <formula>AND($E13&lt;&gt;"Not Started",$E13&lt;&gt;"Cancelled")</formula>
    </cfRule>
  </conditionalFormatting>
  <conditionalFormatting sqref="BF13:BF200">
    <cfRule type="expression" dxfId="76" priority="1" stopIfTrue="1">
      <formula>$E13&lt;&gt;"Completed"</formula>
    </cfRule>
    <cfRule type="expression" priority="2">
      <formula>$E13="Completed"</formula>
    </cfRule>
  </conditionalFormatting>
  <dataValidations count="12">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V201 Y201:Z201 Z13:Z200"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whole" operator="lessThanOrEqual" allowBlank="1" showInputMessage="1" showErrorMessage="1" errorTitle="Max Length Exceed" error="Value cannot exceed 10 digits." sqref="V13:V200 AV13:BC200 Y13:Y200" xr:uid="{2F7F51A4-983B-44FA-A5DB-7A33C3E53C2C}">
      <formula1>9999999999</formula1>
    </dataValidation>
    <dataValidation type="date" operator="lessThan" allowBlank="1" showInputMessage="1" showErrorMessage="1" errorTitle="Date Format" error="Please check the format of the date you entered." sqref="BE13:BF200" xr:uid="{DC3BC82A-C620-4CEB-A6A8-BE264F7A6A62}">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25.6328125" style="113" customWidth="1"/>
    <col min="5" max="5" width="23.6328125" style="113" customWidth="1"/>
    <col min="6" max="6" width="15.54296875" style="113" customWidth="1"/>
    <col min="7" max="7" width="15" style="113" customWidth="1"/>
    <col min="8" max="8" width="14.54296875" style="113" customWidth="1"/>
    <col min="9" max="10" width="15.6328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39" width="19.7265625" style="113" customWidth="1"/>
    <col min="40" max="47" width="8.7265625" style="113" customWidth="1"/>
    <col min="48" max="16384" width="8.7265625" style="113"/>
  </cols>
  <sheetData>
    <row r="1" spans="1:39" ht="27" hidden="1" customHeight="1" x14ac:dyDescent="0.2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2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1012</v>
      </c>
      <c r="AM3" s="105" t="s">
        <v>1013</v>
      </c>
    </row>
    <row r="4" spans="1:39"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1014</v>
      </c>
      <c r="AM5" s="68" t="s">
        <v>1015</v>
      </c>
    </row>
    <row r="6" spans="1:39"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2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2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15" hidden="1" customHeight="1" x14ac:dyDescent="0.25">
      <c r="A10" s="38" t="s">
        <v>703</v>
      </c>
      <c r="B10" s="48"/>
      <c r="C10" s="39" t="s">
        <v>706</v>
      </c>
      <c r="D10" s="39" t="s">
        <v>707</v>
      </c>
      <c r="E10" s="39" t="s">
        <v>708</v>
      </c>
      <c r="F10" s="39" t="s">
        <v>984</v>
      </c>
      <c r="G10" s="39" t="s">
        <v>710</v>
      </c>
      <c r="H10" s="40" t="s">
        <v>985</v>
      </c>
      <c r="I10" s="40" t="s">
        <v>741</v>
      </c>
      <c r="J10" s="40" t="s">
        <v>986</v>
      </c>
      <c r="K10" s="39" t="s">
        <v>711</v>
      </c>
      <c r="L10" s="39" t="s">
        <v>712</v>
      </c>
      <c r="M10" s="39" t="s">
        <v>713</v>
      </c>
      <c r="N10" s="40"/>
      <c r="O10" s="40"/>
      <c r="P10" s="50"/>
      <c r="Q10" s="51"/>
      <c r="R10" s="41"/>
      <c r="S10" s="39" t="s">
        <v>989</v>
      </c>
      <c r="T10" s="39"/>
      <c r="U10" s="39"/>
      <c r="V10" s="39"/>
      <c r="W10" s="42" t="s">
        <v>935</v>
      </c>
      <c r="X10" s="42"/>
      <c r="Y10" s="42"/>
      <c r="Z10" s="42"/>
      <c r="AA10" s="42"/>
      <c r="AB10" s="42"/>
      <c r="AC10" s="42"/>
      <c r="AD10" s="42"/>
      <c r="AE10" s="42"/>
      <c r="AF10" s="42"/>
      <c r="AG10" s="42"/>
      <c r="AH10" s="42"/>
      <c r="AI10" s="42"/>
      <c r="AJ10" s="42"/>
      <c r="AK10" s="42"/>
      <c r="AL10" s="39" t="s">
        <v>1014</v>
      </c>
      <c r="AM10" s="39" t="s">
        <v>1015</v>
      </c>
    </row>
    <row r="11" spans="1:39"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c r="AL11" s="165"/>
      <c r="AM11" s="165"/>
    </row>
    <row r="12" spans="1:39" ht="195"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396</v>
      </c>
      <c r="O12" s="184" t="s">
        <v>397</v>
      </c>
      <c r="P12" s="184" t="s">
        <v>450</v>
      </c>
      <c r="Q12" s="184" t="s">
        <v>160</v>
      </c>
      <c r="R12" s="184" t="s">
        <v>125</v>
      </c>
      <c r="S12" s="184" t="s">
        <v>126</v>
      </c>
      <c r="T12" s="184" t="s">
        <v>520</v>
      </c>
      <c r="U12" s="184" t="s">
        <v>521</v>
      </c>
      <c r="V12" s="184" t="s">
        <v>522</v>
      </c>
      <c r="W12" s="184" t="s">
        <v>330</v>
      </c>
      <c r="X12" s="184" t="s">
        <v>332</v>
      </c>
      <c r="Y12" s="184" t="s">
        <v>331</v>
      </c>
      <c r="Z12" s="184" t="s">
        <v>335</v>
      </c>
      <c r="AA12" s="184" t="s">
        <v>333</v>
      </c>
      <c r="AB12" s="184" t="s">
        <v>334</v>
      </c>
      <c r="AC12" s="184" t="s">
        <v>336</v>
      </c>
      <c r="AD12" s="184" t="s">
        <v>337</v>
      </c>
      <c r="AE12" s="184" t="s">
        <v>338</v>
      </c>
      <c r="AF12" s="184" t="s">
        <v>339</v>
      </c>
      <c r="AG12" s="184" t="s">
        <v>340</v>
      </c>
      <c r="AH12" s="184" t="s">
        <v>341</v>
      </c>
      <c r="AI12" s="184" t="s">
        <v>343</v>
      </c>
      <c r="AJ12" s="260" t="s">
        <v>342</v>
      </c>
      <c r="AK12" s="184" t="s">
        <v>810</v>
      </c>
      <c r="AL12" s="184" t="s">
        <v>1016</v>
      </c>
      <c r="AM12" s="184" t="s">
        <v>1017</v>
      </c>
    </row>
    <row r="13" spans="1:39" s="116" customFormat="1" ht="12.75" customHeight="1" x14ac:dyDescent="0.25">
      <c r="A13" s="190" t="s">
        <v>135</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c r="AL13" s="196"/>
      <c r="AM13" s="196"/>
    </row>
    <row r="14" spans="1:39"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c r="AL14" s="196"/>
      <c r="AM14" s="196"/>
    </row>
    <row r="15" spans="1:39"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c r="AL15" s="196"/>
      <c r="AM15" s="196"/>
    </row>
    <row r="16" spans="1:39"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c r="AL16" s="196"/>
      <c r="AM16" s="196"/>
    </row>
    <row r="17" spans="1:39"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c r="AL17" s="196"/>
      <c r="AM17" s="196"/>
    </row>
    <row r="18" spans="1:39"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c r="AL18" s="196"/>
      <c r="AM18" s="196"/>
    </row>
    <row r="19" spans="1:39"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c r="AL19" s="196"/>
      <c r="AM19" s="196"/>
    </row>
    <row r="20" spans="1:39"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c r="AL20" s="196"/>
      <c r="AM20" s="196"/>
    </row>
    <row r="21" spans="1:39"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c r="AL21" s="196"/>
      <c r="AM21" s="196"/>
    </row>
    <row r="22" spans="1:39"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c r="AL22" s="196"/>
      <c r="AM22" s="196"/>
    </row>
    <row r="23" spans="1:39"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c r="AL23" s="196"/>
      <c r="AM23" s="196"/>
    </row>
    <row r="24" spans="1:39"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c r="AL24" s="196"/>
      <c r="AM24" s="196"/>
    </row>
    <row r="25" spans="1:39"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c r="AL25" s="196"/>
      <c r="AM25" s="196"/>
    </row>
    <row r="26" spans="1:39"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c r="AL26" s="196"/>
      <c r="AM26" s="196"/>
    </row>
    <row r="27" spans="1:39"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c r="AL27" s="196"/>
      <c r="AM27" s="196"/>
    </row>
    <row r="28" spans="1:39"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c r="AL28" s="196"/>
      <c r="AM28" s="196"/>
    </row>
    <row r="29" spans="1:39"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c r="AL29" s="196"/>
      <c r="AM29" s="196"/>
    </row>
    <row r="30" spans="1:39"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c r="AL30" s="196"/>
      <c r="AM30" s="196"/>
    </row>
    <row r="31" spans="1:39"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c r="AL31" s="196"/>
      <c r="AM31" s="196"/>
    </row>
    <row r="32" spans="1:39"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c r="AL32" s="196"/>
      <c r="AM32" s="196"/>
    </row>
    <row r="33" spans="1:39"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c r="AL33" s="196"/>
      <c r="AM33" s="196"/>
    </row>
    <row r="34" spans="1:39"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c r="AL34" s="196"/>
      <c r="AM34" s="196"/>
    </row>
    <row r="35" spans="1:39"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c r="AL35" s="196"/>
      <c r="AM35" s="196"/>
    </row>
    <row r="36" spans="1:39"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c r="AL36" s="196"/>
      <c r="AM36" s="196"/>
    </row>
    <row r="37" spans="1:39"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c r="AL37" s="196"/>
      <c r="AM37" s="196"/>
    </row>
    <row r="38" spans="1:39"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c r="AL38" s="199"/>
      <c r="AM38" s="199"/>
    </row>
    <row r="39" spans="1:39"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c r="AL39" s="199"/>
      <c r="AM39" s="199"/>
    </row>
    <row r="40" spans="1:39"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c r="AL40" s="199"/>
      <c r="AM40" s="199"/>
    </row>
    <row r="41" spans="1:39"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c r="AL41" s="199"/>
      <c r="AM41" s="199"/>
    </row>
    <row r="42" spans="1:39"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c r="AL42" s="199"/>
      <c r="AM42" s="199"/>
    </row>
    <row r="43" spans="1:39"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c r="AL43" s="199"/>
      <c r="AM43" s="199"/>
    </row>
    <row r="44" spans="1:39"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c r="AL44" s="199"/>
      <c r="AM44" s="199"/>
    </row>
    <row r="45" spans="1:39"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c r="AL45" s="199"/>
      <c r="AM45" s="199"/>
    </row>
    <row r="46" spans="1:39"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c r="AL46" s="199"/>
      <c r="AM46" s="199"/>
    </row>
    <row r="47" spans="1:39"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c r="AL47" s="199"/>
      <c r="AM47" s="199"/>
    </row>
    <row r="48" spans="1:39"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c r="AL48" s="199"/>
      <c r="AM48" s="199"/>
    </row>
    <row r="49" spans="1:39"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c r="AL49" s="199"/>
      <c r="AM49" s="199"/>
    </row>
    <row r="50" spans="1:39"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c r="AL50" s="199"/>
      <c r="AM50" s="199"/>
    </row>
    <row r="51" spans="1:39"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c r="AL51" s="199"/>
      <c r="AM51" s="199"/>
    </row>
    <row r="52" spans="1:39"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c r="AL52" s="199"/>
      <c r="AM52" s="199"/>
    </row>
    <row r="53" spans="1:39"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c r="AL53" s="199"/>
      <c r="AM53" s="199"/>
    </row>
    <row r="54" spans="1:39"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c r="AL54" s="199"/>
      <c r="AM54" s="199"/>
    </row>
    <row r="55" spans="1:39"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c r="AL55" s="199"/>
      <c r="AM55" s="199"/>
    </row>
    <row r="56" spans="1:39"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c r="AL56" s="199"/>
      <c r="AM56" s="199"/>
    </row>
    <row r="57" spans="1:39"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c r="AL57" s="199"/>
      <c r="AM57" s="199"/>
    </row>
    <row r="58" spans="1:39"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c r="AL58" s="199"/>
      <c r="AM58" s="199"/>
    </row>
    <row r="59" spans="1:39"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c r="AL59" s="199"/>
      <c r="AM59" s="199"/>
    </row>
    <row r="60" spans="1:39"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c r="AL60" s="199"/>
      <c r="AM60" s="199"/>
    </row>
    <row r="61" spans="1:39"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c r="AL61" s="199"/>
      <c r="AM61" s="199"/>
    </row>
    <row r="62" spans="1:39"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c r="AL62" s="199"/>
      <c r="AM62" s="199"/>
    </row>
    <row r="63" spans="1:39"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c r="AL63" s="199"/>
      <c r="AM63" s="199"/>
    </row>
    <row r="64" spans="1:39"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c r="AL64" s="199"/>
      <c r="AM64" s="199"/>
    </row>
    <row r="65" spans="1:39"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c r="AL65" s="199"/>
      <c r="AM65" s="199"/>
    </row>
    <row r="66" spans="1:39"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c r="AL66" s="199"/>
      <c r="AM66" s="199"/>
    </row>
    <row r="67" spans="1:39"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c r="AL67" s="199"/>
      <c r="AM67" s="199"/>
    </row>
    <row r="68" spans="1:39"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c r="AL68" s="199"/>
      <c r="AM68" s="199"/>
    </row>
    <row r="69" spans="1:39"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c r="AL69" s="199"/>
      <c r="AM69" s="199"/>
    </row>
    <row r="70" spans="1:39"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c r="AL70" s="199"/>
      <c r="AM70" s="199"/>
    </row>
    <row r="71" spans="1:39"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c r="AL71" s="199"/>
      <c r="AM71" s="199"/>
    </row>
    <row r="72" spans="1:39"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c r="AL72" s="199"/>
      <c r="AM72" s="199"/>
    </row>
    <row r="73" spans="1:39"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c r="AL73" s="199"/>
      <c r="AM73" s="199"/>
    </row>
    <row r="74" spans="1:39"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c r="AL74" s="199"/>
      <c r="AM74" s="199"/>
    </row>
    <row r="75" spans="1:39"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c r="AL75" s="199"/>
      <c r="AM75" s="199"/>
    </row>
    <row r="76" spans="1:39"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c r="AL76" s="199"/>
      <c r="AM76" s="199"/>
    </row>
    <row r="77" spans="1:39"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c r="AL77" s="199"/>
      <c r="AM77" s="199"/>
    </row>
    <row r="78" spans="1:39"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c r="AL78" s="199"/>
      <c r="AM78" s="199"/>
    </row>
    <row r="79" spans="1:39"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c r="AL79" s="199"/>
      <c r="AM79" s="199"/>
    </row>
    <row r="80" spans="1:39"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c r="AL80" s="199"/>
      <c r="AM80" s="199"/>
    </row>
    <row r="81" spans="1:39"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c r="AL81" s="199"/>
      <c r="AM81" s="199"/>
    </row>
    <row r="82" spans="1:39"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c r="AL82" s="199"/>
      <c r="AM82" s="199"/>
    </row>
    <row r="83" spans="1:39"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c r="AL83" s="199"/>
      <c r="AM83" s="199"/>
    </row>
    <row r="84" spans="1:39"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c r="AL84" s="199"/>
      <c r="AM84" s="199"/>
    </row>
    <row r="85" spans="1:39"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c r="AL85" s="199"/>
      <c r="AM85" s="199"/>
    </row>
    <row r="86" spans="1:39"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c r="AL86" s="199"/>
      <c r="AM86" s="199"/>
    </row>
    <row r="87" spans="1:39"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c r="AL87" s="199"/>
      <c r="AM87" s="199"/>
    </row>
    <row r="88" spans="1:39"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c r="AL88" s="199"/>
      <c r="AM88" s="199"/>
    </row>
    <row r="89" spans="1:39"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c r="AL89" s="199"/>
      <c r="AM89" s="199"/>
    </row>
    <row r="90" spans="1:39"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c r="AL90" s="199"/>
      <c r="AM90" s="199"/>
    </row>
    <row r="91" spans="1:39"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c r="AL91" s="199"/>
      <c r="AM91" s="199"/>
    </row>
    <row r="92" spans="1:39"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c r="AL92" s="199"/>
      <c r="AM92" s="199"/>
    </row>
    <row r="93" spans="1:39"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c r="AL93" s="199"/>
      <c r="AM93" s="199"/>
    </row>
    <row r="94" spans="1:39"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c r="AL94" s="199"/>
      <c r="AM94" s="199"/>
    </row>
    <row r="95" spans="1:39"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c r="AL95" s="199"/>
      <c r="AM95" s="199"/>
    </row>
    <row r="96" spans="1:39"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c r="AL96" s="199"/>
      <c r="AM96" s="199"/>
    </row>
    <row r="97" spans="1:39"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c r="AL97" s="199"/>
      <c r="AM97" s="199"/>
    </row>
    <row r="98" spans="1:39"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c r="AL98" s="199"/>
      <c r="AM98" s="199"/>
    </row>
    <row r="99" spans="1:39"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c r="AL99" s="199"/>
      <c r="AM99" s="199"/>
    </row>
    <row r="100" spans="1:39"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c r="AL100" s="199"/>
      <c r="AM100" s="199"/>
    </row>
    <row r="101" spans="1:39"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c r="AL101" s="199"/>
      <c r="AM101" s="199"/>
    </row>
    <row r="102" spans="1:39"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c r="AL102" s="199"/>
      <c r="AM102" s="199"/>
    </row>
    <row r="103" spans="1:39"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c r="AL103" s="199"/>
      <c r="AM103" s="199"/>
    </row>
    <row r="104" spans="1:39"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c r="AL104" s="199"/>
      <c r="AM104" s="199"/>
    </row>
    <row r="105" spans="1:39"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c r="AL105" s="199"/>
      <c r="AM105" s="199"/>
    </row>
    <row r="106" spans="1:39"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c r="AL106" s="199"/>
      <c r="AM106" s="199"/>
    </row>
    <row r="107" spans="1:39"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c r="AL107" s="199"/>
      <c r="AM107" s="199"/>
    </row>
    <row r="108" spans="1:39"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c r="AL108" s="199"/>
      <c r="AM108" s="199"/>
    </row>
    <row r="109" spans="1:39"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c r="AL109" s="199"/>
      <c r="AM109" s="199"/>
    </row>
    <row r="110" spans="1:39"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c r="AL110" s="199"/>
      <c r="AM110" s="199"/>
    </row>
    <row r="111" spans="1:39"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c r="AL111" s="199"/>
      <c r="AM111" s="199"/>
    </row>
    <row r="112" spans="1:39"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c r="AL112" s="199"/>
      <c r="AM112" s="199"/>
    </row>
    <row r="113" spans="1:39"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c r="AL113" s="199"/>
      <c r="AM113" s="199"/>
    </row>
    <row r="114" spans="1:39"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c r="AL114" s="199"/>
      <c r="AM114" s="199"/>
    </row>
    <row r="115" spans="1:39"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c r="AL115" s="199"/>
      <c r="AM115" s="199"/>
    </row>
    <row r="116" spans="1:39"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c r="AL116" s="199"/>
      <c r="AM116" s="199"/>
    </row>
    <row r="117" spans="1:39"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c r="AL117" s="199"/>
      <c r="AM117" s="199"/>
    </row>
    <row r="118" spans="1:39"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c r="AL118" s="199"/>
      <c r="AM118" s="199"/>
    </row>
    <row r="119" spans="1:39"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c r="AL119" s="199"/>
      <c r="AM119" s="199"/>
    </row>
    <row r="120" spans="1:39"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c r="AL120" s="199"/>
      <c r="AM120" s="199"/>
    </row>
    <row r="121" spans="1:39"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c r="AL121" s="199"/>
      <c r="AM121" s="199"/>
    </row>
    <row r="122" spans="1:39"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c r="AL122" s="199"/>
      <c r="AM122" s="199"/>
    </row>
    <row r="123" spans="1:39"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c r="AL123" s="199"/>
      <c r="AM123" s="199"/>
    </row>
    <row r="124" spans="1:39"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c r="AL124" s="199"/>
      <c r="AM124" s="199"/>
    </row>
    <row r="125" spans="1:39"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c r="AL125" s="199"/>
      <c r="AM125" s="199"/>
    </row>
    <row r="126" spans="1:39"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c r="AL126" s="199"/>
      <c r="AM126" s="199"/>
    </row>
    <row r="127" spans="1:39"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c r="AL127" s="199"/>
      <c r="AM127" s="199"/>
    </row>
    <row r="128" spans="1:39"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c r="AL128" s="199"/>
      <c r="AM128" s="199"/>
    </row>
    <row r="129" spans="1:39"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c r="AL129" s="199"/>
      <c r="AM129" s="199"/>
    </row>
    <row r="130" spans="1:39"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c r="AL130" s="199"/>
      <c r="AM130" s="199"/>
    </row>
    <row r="131" spans="1:39"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c r="AL131" s="199"/>
      <c r="AM131" s="199"/>
    </row>
    <row r="132" spans="1:39"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c r="AL132" s="199"/>
      <c r="AM132" s="199"/>
    </row>
    <row r="133" spans="1:39"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c r="AL133" s="199"/>
      <c r="AM133" s="199"/>
    </row>
    <row r="134" spans="1:39"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c r="AL134" s="199"/>
      <c r="AM134" s="199"/>
    </row>
    <row r="135" spans="1:39"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c r="AL135" s="199"/>
      <c r="AM135" s="199"/>
    </row>
    <row r="136" spans="1:39"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c r="AL136" s="199"/>
      <c r="AM136" s="199"/>
    </row>
    <row r="137" spans="1:39"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c r="AL137" s="199"/>
      <c r="AM137" s="199"/>
    </row>
    <row r="138" spans="1:39"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c r="AL138" s="199"/>
      <c r="AM138" s="199"/>
    </row>
    <row r="139" spans="1:39"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c r="AL139" s="199"/>
      <c r="AM139" s="199"/>
    </row>
    <row r="140" spans="1:39"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c r="AL140" s="199"/>
      <c r="AM140" s="199"/>
    </row>
    <row r="141" spans="1:39"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c r="AL141" s="199"/>
      <c r="AM141" s="199"/>
    </row>
    <row r="142" spans="1:39"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c r="AL142" s="199"/>
      <c r="AM142" s="199"/>
    </row>
    <row r="143" spans="1:39"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c r="AL143" s="199"/>
      <c r="AM143" s="199"/>
    </row>
    <row r="144" spans="1:39"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c r="AL144" s="199"/>
      <c r="AM144" s="199"/>
    </row>
    <row r="145" spans="1:39"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c r="AL145" s="199"/>
      <c r="AM145" s="199"/>
    </row>
    <row r="146" spans="1:39"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c r="AL146" s="199"/>
      <c r="AM146" s="199"/>
    </row>
    <row r="147" spans="1:39"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c r="AL147" s="199"/>
      <c r="AM147" s="199"/>
    </row>
    <row r="148" spans="1:39"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c r="AL148" s="199"/>
      <c r="AM148" s="199"/>
    </row>
    <row r="149" spans="1:39"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c r="AL149" s="199"/>
      <c r="AM149" s="199"/>
    </row>
    <row r="150" spans="1:39"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c r="AL150" s="199"/>
      <c r="AM150" s="199"/>
    </row>
    <row r="151" spans="1:39"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c r="AL151" s="199"/>
      <c r="AM151" s="199"/>
    </row>
    <row r="152" spans="1:39"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c r="AL152" s="199"/>
      <c r="AM152" s="199"/>
    </row>
    <row r="153" spans="1:39"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c r="AL153" s="199"/>
      <c r="AM153" s="199"/>
    </row>
    <row r="154" spans="1:39"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c r="AL154" s="199"/>
      <c r="AM154" s="199"/>
    </row>
    <row r="155" spans="1:39"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c r="AL155" s="199"/>
      <c r="AM155" s="199"/>
    </row>
    <row r="156" spans="1:39"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c r="AL156" s="199"/>
      <c r="AM156" s="199"/>
    </row>
    <row r="157" spans="1:39"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c r="AL157" s="199"/>
      <c r="AM157" s="199"/>
    </row>
    <row r="158" spans="1:39"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c r="AL158" s="199"/>
      <c r="AM158" s="199"/>
    </row>
    <row r="159" spans="1:39"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c r="AL159" s="199"/>
      <c r="AM159" s="199"/>
    </row>
    <row r="160" spans="1:39"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c r="AL160" s="199"/>
      <c r="AM160" s="199"/>
    </row>
    <row r="161" spans="1:39"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c r="AL161" s="199"/>
      <c r="AM161" s="199"/>
    </row>
    <row r="162" spans="1:39"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c r="AL162" s="199"/>
      <c r="AM162" s="199"/>
    </row>
    <row r="163" spans="1:39"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c r="AL163" s="199"/>
      <c r="AM163" s="199"/>
    </row>
    <row r="164" spans="1:39"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c r="AL164" s="199"/>
      <c r="AM164" s="199"/>
    </row>
    <row r="165" spans="1:39"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c r="AL165" s="199"/>
      <c r="AM165" s="199"/>
    </row>
    <row r="166" spans="1:39"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c r="AL166" s="199"/>
      <c r="AM166" s="199"/>
    </row>
    <row r="167" spans="1:39"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c r="AL167" s="199"/>
      <c r="AM167" s="199"/>
    </row>
    <row r="168" spans="1:39"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c r="AL168" s="199"/>
      <c r="AM168" s="199"/>
    </row>
    <row r="169" spans="1:39"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c r="AL169" s="199"/>
      <c r="AM169" s="199"/>
    </row>
    <row r="170" spans="1:39"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c r="AL170" s="199"/>
      <c r="AM170" s="199"/>
    </row>
    <row r="171" spans="1:39"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c r="AL171" s="199"/>
      <c r="AM171" s="199"/>
    </row>
    <row r="172" spans="1:39"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c r="AL172" s="199"/>
      <c r="AM172" s="199"/>
    </row>
    <row r="173" spans="1:39"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c r="AL173" s="199"/>
      <c r="AM173" s="199"/>
    </row>
    <row r="174" spans="1:39"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c r="AL174" s="199"/>
      <c r="AM174" s="199"/>
    </row>
    <row r="175" spans="1:39"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c r="AL175" s="199"/>
      <c r="AM175" s="199"/>
    </row>
    <row r="176" spans="1:39"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c r="AL176" s="199"/>
      <c r="AM176" s="199"/>
    </row>
    <row r="177" spans="1:39"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c r="AL177" s="199"/>
      <c r="AM177" s="199"/>
    </row>
    <row r="178" spans="1:39"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c r="AL178" s="199"/>
      <c r="AM178" s="199"/>
    </row>
    <row r="179" spans="1:39"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c r="AL179" s="199"/>
      <c r="AM179" s="199"/>
    </row>
    <row r="180" spans="1:39"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c r="AL180" s="199"/>
      <c r="AM180" s="199"/>
    </row>
    <row r="181" spans="1:39"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c r="AL181" s="199"/>
      <c r="AM181" s="199"/>
    </row>
    <row r="182" spans="1:39"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c r="AL182" s="199"/>
      <c r="AM182" s="199"/>
    </row>
    <row r="183" spans="1:39"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c r="AL183" s="199"/>
      <c r="AM183" s="199"/>
    </row>
    <row r="184" spans="1:39"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c r="AL184" s="199"/>
      <c r="AM184" s="199"/>
    </row>
    <row r="185" spans="1:39"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c r="AL185" s="199"/>
      <c r="AM185" s="199"/>
    </row>
    <row r="186" spans="1:39"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c r="AL186" s="199"/>
      <c r="AM186" s="199"/>
    </row>
    <row r="187" spans="1:39"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c r="AL187" s="199"/>
      <c r="AM187" s="199"/>
    </row>
    <row r="188" spans="1:39"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c r="AL188" s="199"/>
      <c r="AM188" s="199"/>
    </row>
    <row r="189" spans="1:39"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c r="AL189" s="199"/>
      <c r="AM189" s="199"/>
    </row>
    <row r="190" spans="1:39"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c r="AL190" s="199"/>
      <c r="AM190" s="199"/>
    </row>
    <row r="191" spans="1:39"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c r="AL191" s="199"/>
      <c r="AM191" s="199"/>
    </row>
    <row r="192" spans="1:39"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c r="AL192" s="199"/>
      <c r="AM192" s="199"/>
    </row>
    <row r="193" spans="1:39"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c r="AL193" s="199"/>
      <c r="AM193" s="199"/>
    </row>
    <row r="194" spans="1:39"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c r="AL194" s="199"/>
      <c r="AM194" s="199"/>
    </row>
    <row r="195" spans="1:39"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c r="AL195" s="199"/>
      <c r="AM195" s="199"/>
    </row>
    <row r="196" spans="1:39"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c r="AL196" s="199"/>
      <c r="AM196" s="199"/>
    </row>
    <row r="197" spans="1:39"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c r="AL197" s="199"/>
      <c r="AM197" s="199"/>
    </row>
    <row r="198" spans="1:39"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c r="AL198" s="199"/>
      <c r="AM198" s="199"/>
    </row>
    <row r="199" spans="1:39"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c r="AL199" s="199"/>
      <c r="AM199" s="199"/>
    </row>
    <row r="200" spans="1:39"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c r="AL200" s="199"/>
      <c r="AM200" s="199"/>
    </row>
    <row r="201" spans="1:39"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0NT8C5vK6cYvOEAllia/Hw37TCN2jcr5cEitw7pS5YXW3J5LH3je+LDzkURAxfRtGnvMJHMDZEq2yQXLC1LfoQ==" saltValue="Iz1agDDa7+vjXR0m9M0uoA==" spinCount="100000" sheet="1" objects="1" scenarios="1" formatCells="0" formatRows="0"/>
  <phoneticPr fontId="10" type="noConversion"/>
  <conditionalFormatting sqref="AJ13:AJ200">
    <cfRule type="expression" priority="9">
      <formula>AND($S13&gt;=10000000,$AI13="Yes")</formula>
    </cfRule>
    <cfRule type="expression" dxfId="75" priority="10">
      <formula>OR($S13&lt;10000000,$AI13="No")</formula>
    </cfRule>
  </conditionalFormatting>
  <conditionalFormatting sqref="AH13:AI200">
    <cfRule type="expression" priority="11">
      <formula>$S13&gt;=10000000</formula>
    </cfRule>
    <cfRule type="expression" dxfId="74" priority="12">
      <formula>$S13&lt;10000000</formula>
    </cfRule>
  </conditionalFormatting>
  <conditionalFormatting sqref="AC13:AG200">
    <cfRule type="expression" priority="13">
      <formula>AND($AB13="No",$S13&gt;=10000000)</formula>
    </cfRule>
    <cfRule type="expression" dxfId="73" priority="14">
      <formula>OR($AB13="Yes",$S13&lt;10000000)</formula>
    </cfRule>
  </conditionalFormatting>
  <conditionalFormatting sqref="AB13:AB200">
    <cfRule type="expression" priority="15">
      <formula>$S13&gt;=10000000</formula>
    </cfRule>
    <cfRule type="expression" dxfId="72" priority="16">
      <formula>$S13&lt;10000000</formula>
    </cfRule>
  </conditionalFormatting>
  <conditionalFormatting sqref="X13:AA200">
    <cfRule type="expression" priority="17">
      <formula>AND($W13="No",$S13&gt;=10000000)</formula>
    </cfRule>
    <cfRule type="expression" dxfId="71" priority="18">
      <formula>OR($W13="Yes",$S13&lt;10000000)</formula>
    </cfRule>
  </conditionalFormatting>
  <conditionalFormatting sqref="W13:W200">
    <cfRule type="expression" priority="19">
      <formula>$S13&gt;=10000000</formula>
    </cfRule>
    <cfRule type="expression" dxfId="70" priority="20">
      <formula>$S13&lt;10000000</formula>
    </cfRule>
  </conditionalFormatting>
  <conditionalFormatting sqref="V13:V200">
    <cfRule type="expression" priority="21" stopIfTrue="1">
      <formula>AND($S13&gt;=1000000,LEFT($T13,5)="Other")</formula>
    </cfRule>
    <cfRule type="expression" dxfId="69" priority="22">
      <formula>$S13&lt;10000000</formula>
    </cfRule>
    <cfRule type="expression" dxfId="68" priority="23">
      <formula>$S13&gt;=10000000</formula>
    </cfRule>
  </conditionalFormatting>
  <conditionalFormatting sqref="U13:U200">
    <cfRule type="expression" priority="24">
      <formula>LEFT($T13,5)="Other"</formula>
    </cfRule>
    <cfRule type="expression" dxfId="67" priority="25">
      <formula>LEFT($T13,5)&lt;&gt;"Other"</formula>
    </cfRule>
  </conditionalFormatting>
  <conditionalFormatting sqref="S13:T200">
    <cfRule type="expression" priority="26">
      <formula>$R13="Yes"</formula>
    </cfRule>
    <cfRule type="expression" dxfId="66" priority="27">
      <formula>$R13&lt;&gt;"Yes"</formula>
    </cfRule>
  </conditionalFormatting>
  <conditionalFormatting sqref="R13:R200">
    <cfRule type="expression" dxfId="65" priority="35">
      <formula>#REF!&gt;=10000000</formula>
    </cfRule>
    <cfRule type="expression" dxfId="64" priority="36">
      <formula>#REF!&lt;10000000</formula>
    </cfRule>
  </conditionalFormatting>
  <conditionalFormatting sqref="AK13:AK200">
    <cfRule type="expression" priority="7">
      <formula>$E13="Cancelled"</formula>
    </cfRule>
    <cfRule type="expression" dxfId="63" priority="8">
      <formula>$E13&lt;&gt;"Cancelled"</formula>
    </cfRule>
  </conditionalFormatting>
  <conditionalFormatting sqref="N13:Q200">
    <cfRule type="expression" priority="5">
      <formula>$E13&lt;&gt;"Not Started"</formula>
    </cfRule>
    <cfRule type="expression" dxfId="62" priority="6">
      <formula>$E13="Not Started"</formula>
    </cfRule>
  </conditionalFormatting>
  <conditionalFormatting sqref="AL13:AL200">
    <cfRule type="expression" dxfId="61" priority="3" stopIfTrue="1">
      <formula>OR($E13="Not Started",$E13="Cancelled",$E13="")</formula>
    </cfRule>
    <cfRule type="expression" priority="4">
      <formula>AND($E13&lt;&gt;"Not Started",$E13&lt;&gt;"Cancelled")</formula>
    </cfRule>
  </conditionalFormatting>
  <conditionalFormatting sqref="AM13:AM200">
    <cfRule type="expression" dxfId="60" priority="1" stopIfTrue="1">
      <formula>$E13&lt;&gt;"Completed"</formula>
    </cfRule>
    <cfRule type="expression" priority="2">
      <formula>$E13="Completed"</formula>
    </cfRule>
  </conditionalFormatting>
  <dataValidations count="10">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whole" operator="lessThanOrEqual" allowBlank="1" showInputMessage="1" showErrorMessage="1" errorTitle="Max Length Exceed" error="Value cannot exceed 10 digits." sqref="P13:Q200" xr:uid="{3743D432-B390-45FC-86E8-33FA15A3764E}">
      <formula1>9999999999</formula1>
    </dataValidation>
    <dataValidation type="date" operator="lessThan" allowBlank="1" showInputMessage="1" showErrorMessage="1" errorTitle="Date Format" error="Please check the format of the date you entered." sqref="AL13:AM200" xr:uid="{04F7B0D5-F966-4E34-A5E6-33F55B758D4A}">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25.6328125" style="113" customWidth="1"/>
    <col min="5" max="5" width="23.6328125" style="113" customWidth="1"/>
    <col min="6" max="6" width="16.54296875" style="113" customWidth="1"/>
    <col min="7" max="10" width="15.6328125"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20" width="19.7265625" style="113" customWidth="1"/>
    <col min="21" max="67" width="8.7265625" style="113" customWidth="1"/>
    <col min="68" max="16384" width="8.7265625" style="113"/>
  </cols>
  <sheetData>
    <row r="1" spans="1:20" ht="27" hidden="1" customHeight="1" x14ac:dyDescent="0.2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2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1012</v>
      </c>
      <c r="T3" s="105" t="s">
        <v>1013</v>
      </c>
    </row>
    <row r="4" spans="1:20"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1014</v>
      </c>
      <c r="T5" s="68" t="s">
        <v>1015</v>
      </c>
    </row>
    <row r="6" spans="1:20"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2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15" hidden="1" customHeight="1" x14ac:dyDescent="0.25">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6" t="s">
        <v>981</v>
      </c>
      <c r="O10" s="46" t="s">
        <v>982</v>
      </c>
      <c r="P10" s="46" t="s">
        <v>977</v>
      </c>
      <c r="Q10" s="46" t="s">
        <v>978</v>
      </c>
      <c r="R10" s="42" t="s">
        <v>979</v>
      </c>
      <c r="S10" s="39" t="s">
        <v>1014</v>
      </c>
      <c r="T10" s="39" t="s">
        <v>1015</v>
      </c>
    </row>
    <row r="11" spans="1:20" ht="14" x14ac:dyDescent="0.25">
      <c r="A11" s="22"/>
      <c r="B11" s="23"/>
      <c r="C11" s="21">
        <f>Cover!$C$2</f>
        <v>0</v>
      </c>
      <c r="D11" s="23"/>
      <c r="E11" s="23"/>
      <c r="F11" s="23"/>
      <c r="G11" s="23"/>
      <c r="H11" s="23"/>
      <c r="I11" s="23"/>
      <c r="J11" s="23"/>
      <c r="K11" s="23"/>
      <c r="L11" s="23"/>
      <c r="M11" s="23"/>
      <c r="N11" s="23" t="s">
        <v>980</v>
      </c>
      <c r="O11" s="23"/>
      <c r="P11" s="23"/>
      <c r="Q11" s="23"/>
      <c r="R11" s="168"/>
      <c r="S11" s="165"/>
      <c r="T11" s="165"/>
    </row>
    <row r="12" spans="1:20" ht="39"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168</v>
      </c>
      <c r="O12" s="184" t="s">
        <v>107</v>
      </c>
      <c r="P12" s="184" t="s">
        <v>169</v>
      </c>
      <c r="Q12" s="184" t="s">
        <v>404</v>
      </c>
      <c r="R12" s="184" t="s">
        <v>810</v>
      </c>
      <c r="S12" s="184" t="s">
        <v>1016</v>
      </c>
      <c r="T12" s="184" t="s">
        <v>1017</v>
      </c>
    </row>
    <row r="13" spans="1:20" s="116" customFormat="1" ht="12.75" customHeight="1" x14ac:dyDescent="0.25">
      <c r="A13" s="190" t="s">
        <v>135</v>
      </c>
      <c r="B13" s="203"/>
      <c r="C13" s="204"/>
      <c r="D13" s="204"/>
      <c r="E13" s="204"/>
      <c r="F13" s="200"/>
      <c r="G13" s="200"/>
      <c r="H13" s="200"/>
      <c r="I13" s="200"/>
      <c r="J13" s="200"/>
      <c r="K13" s="204"/>
      <c r="L13" s="200"/>
      <c r="M13" s="200"/>
      <c r="N13" s="204"/>
      <c r="O13" s="204"/>
      <c r="P13" s="204"/>
      <c r="Q13" s="204"/>
      <c r="R13" s="196"/>
      <c r="S13" s="196"/>
      <c r="T13" s="196"/>
    </row>
    <row r="14" spans="1:20" s="116" customFormat="1" ht="12.75" customHeight="1" x14ac:dyDescent="0.25">
      <c r="A14" s="190"/>
      <c r="B14" s="203"/>
      <c r="C14" s="204"/>
      <c r="D14" s="204"/>
      <c r="E14" s="204"/>
      <c r="F14" s="200"/>
      <c r="G14" s="200"/>
      <c r="H14" s="200"/>
      <c r="I14" s="200"/>
      <c r="J14" s="200"/>
      <c r="K14" s="204"/>
      <c r="L14" s="200"/>
      <c r="M14" s="200"/>
      <c r="N14" s="204"/>
      <c r="O14" s="204"/>
      <c r="P14" s="204"/>
      <c r="Q14" s="204"/>
      <c r="R14" s="204"/>
      <c r="S14" s="196"/>
      <c r="T14" s="196"/>
    </row>
    <row r="15" spans="1:20" s="116" customFormat="1" ht="12.75" customHeight="1" x14ac:dyDescent="0.25">
      <c r="A15" s="190"/>
      <c r="B15" s="203"/>
      <c r="C15" s="204"/>
      <c r="D15" s="204"/>
      <c r="E15" s="204"/>
      <c r="F15" s="200"/>
      <c r="G15" s="200"/>
      <c r="H15" s="200"/>
      <c r="I15" s="200"/>
      <c r="J15" s="200"/>
      <c r="K15" s="204"/>
      <c r="L15" s="200"/>
      <c r="M15" s="200"/>
      <c r="N15" s="204"/>
      <c r="O15" s="204"/>
      <c r="P15" s="204"/>
      <c r="Q15" s="204"/>
      <c r="R15" s="204"/>
      <c r="S15" s="196"/>
      <c r="T15" s="196"/>
    </row>
    <row r="16" spans="1:20" s="116" customFormat="1" ht="12.75" customHeight="1" x14ac:dyDescent="0.25">
      <c r="A16" s="190"/>
      <c r="B16" s="203"/>
      <c r="C16" s="204"/>
      <c r="D16" s="204"/>
      <c r="E16" s="204"/>
      <c r="F16" s="200"/>
      <c r="G16" s="200"/>
      <c r="H16" s="200"/>
      <c r="I16" s="200"/>
      <c r="J16" s="200"/>
      <c r="K16" s="204"/>
      <c r="L16" s="200"/>
      <c r="M16" s="200"/>
      <c r="N16" s="204"/>
      <c r="O16" s="204"/>
      <c r="P16" s="204"/>
      <c r="Q16" s="204"/>
      <c r="R16" s="204"/>
      <c r="S16" s="196"/>
      <c r="T16" s="196"/>
    </row>
    <row r="17" spans="1:20" s="116" customFormat="1" ht="12.75" customHeight="1" x14ac:dyDescent="0.25">
      <c r="A17" s="190"/>
      <c r="B17" s="203"/>
      <c r="C17" s="204"/>
      <c r="D17" s="204"/>
      <c r="E17" s="204"/>
      <c r="F17" s="200"/>
      <c r="G17" s="200"/>
      <c r="H17" s="200"/>
      <c r="I17" s="200"/>
      <c r="J17" s="200"/>
      <c r="K17" s="204"/>
      <c r="L17" s="200"/>
      <c r="M17" s="200"/>
      <c r="N17" s="204"/>
      <c r="O17" s="204"/>
      <c r="P17" s="204"/>
      <c r="Q17" s="189"/>
      <c r="R17" s="204"/>
      <c r="S17" s="196"/>
      <c r="T17" s="196"/>
    </row>
    <row r="18" spans="1:20" s="116" customFormat="1" ht="12.75" customHeight="1" x14ac:dyDescent="0.25">
      <c r="A18" s="190"/>
      <c r="B18" s="203"/>
      <c r="C18" s="204"/>
      <c r="D18" s="204"/>
      <c r="E18" s="204"/>
      <c r="F18" s="200"/>
      <c r="G18" s="200"/>
      <c r="H18" s="200"/>
      <c r="I18" s="200"/>
      <c r="J18" s="200"/>
      <c r="K18" s="204"/>
      <c r="L18" s="200"/>
      <c r="M18" s="200"/>
      <c r="N18" s="204"/>
      <c r="O18" s="204"/>
      <c r="P18" s="204"/>
      <c r="Q18" s="189"/>
      <c r="R18" s="204"/>
      <c r="S18" s="196"/>
      <c r="T18" s="196"/>
    </row>
    <row r="19" spans="1:20" s="116" customFormat="1" ht="12.75" customHeight="1" x14ac:dyDescent="0.25">
      <c r="A19" s="190"/>
      <c r="B19" s="203"/>
      <c r="C19" s="204"/>
      <c r="D19" s="204"/>
      <c r="E19" s="204"/>
      <c r="F19" s="200"/>
      <c r="G19" s="200"/>
      <c r="H19" s="200"/>
      <c r="I19" s="200"/>
      <c r="J19" s="200"/>
      <c r="K19" s="204"/>
      <c r="L19" s="200"/>
      <c r="M19" s="200"/>
      <c r="N19" s="204"/>
      <c r="O19" s="204"/>
      <c r="P19" s="204"/>
      <c r="Q19" s="189"/>
      <c r="R19" s="204"/>
      <c r="S19" s="196"/>
      <c r="T19" s="196"/>
    </row>
    <row r="20" spans="1:20" s="116" customFormat="1" ht="12.75" customHeight="1" x14ac:dyDescent="0.25">
      <c r="A20" s="190"/>
      <c r="B20" s="203"/>
      <c r="C20" s="204"/>
      <c r="D20" s="204"/>
      <c r="E20" s="204"/>
      <c r="F20" s="200"/>
      <c r="G20" s="200"/>
      <c r="H20" s="200"/>
      <c r="I20" s="200"/>
      <c r="J20" s="200"/>
      <c r="K20" s="204"/>
      <c r="L20" s="200"/>
      <c r="M20" s="200"/>
      <c r="N20" s="204"/>
      <c r="O20" s="204"/>
      <c r="P20" s="204"/>
      <c r="Q20" s="189"/>
      <c r="R20" s="204"/>
      <c r="S20" s="196"/>
      <c r="T20" s="196"/>
    </row>
    <row r="21" spans="1:20" s="116" customFormat="1" ht="12.75" customHeight="1" x14ac:dyDescent="0.25">
      <c r="A21" s="190"/>
      <c r="B21" s="203"/>
      <c r="C21" s="204"/>
      <c r="D21" s="204"/>
      <c r="E21" s="204"/>
      <c r="F21" s="200"/>
      <c r="G21" s="200"/>
      <c r="H21" s="200"/>
      <c r="I21" s="200"/>
      <c r="J21" s="200"/>
      <c r="K21" s="204"/>
      <c r="L21" s="200"/>
      <c r="M21" s="200"/>
      <c r="N21" s="204"/>
      <c r="O21" s="204"/>
      <c r="P21" s="204"/>
      <c r="Q21" s="189"/>
      <c r="R21" s="204"/>
      <c r="S21" s="196"/>
      <c r="T21" s="196"/>
    </row>
    <row r="22" spans="1:20" s="116" customFormat="1" ht="12.75" customHeight="1" x14ac:dyDescent="0.25">
      <c r="A22" s="190"/>
      <c r="B22" s="203"/>
      <c r="C22" s="204"/>
      <c r="D22" s="204"/>
      <c r="E22" s="204"/>
      <c r="F22" s="200"/>
      <c r="G22" s="200"/>
      <c r="H22" s="200"/>
      <c r="I22" s="200"/>
      <c r="J22" s="200"/>
      <c r="K22" s="204"/>
      <c r="L22" s="200"/>
      <c r="M22" s="200"/>
      <c r="N22" s="204"/>
      <c r="O22" s="204"/>
      <c r="P22" s="204"/>
      <c r="Q22" s="189"/>
      <c r="R22" s="204"/>
      <c r="S22" s="196"/>
      <c r="T22" s="196"/>
    </row>
    <row r="23" spans="1:20" s="116" customFormat="1" ht="12.75" customHeight="1" x14ac:dyDescent="0.25">
      <c r="A23" s="190"/>
      <c r="B23" s="203"/>
      <c r="C23" s="204"/>
      <c r="D23" s="204"/>
      <c r="E23" s="204"/>
      <c r="F23" s="200"/>
      <c r="G23" s="200"/>
      <c r="H23" s="200"/>
      <c r="I23" s="200"/>
      <c r="J23" s="200"/>
      <c r="K23" s="204"/>
      <c r="L23" s="200"/>
      <c r="M23" s="200"/>
      <c r="N23" s="204"/>
      <c r="O23" s="204"/>
      <c r="P23" s="204"/>
      <c r="Q23" s="189"/>
      <c r="R23" s="204"/>
      <c r="S23" s="196"/>
      <c r="T23" s="196"/>
    </row>
    <row r="24" spans="1:20" s="116" customFormat="1" ht="12.75" customHeight="1" x14ac:dyDescent="0.25">
      <c r="A24" s="190"/>
      <c r="B24" s="203"/>
      <c r="C24" s="204"/>
      <c r="D24" s="204"/>
      <c r="E24" s="204"/>
      <c r="F24" s="200"/>
      <c r="G24" s="200"/>
      <c r="H24" s="200"/>
      <c r="I24" s="200"/>
      <c r="J24" s="200"/>
      <c r="K24" s="204"/>
      <c r="L24" s="200"/>
      <c r="M24" s="200"/>
      <c r="N24" s="204"/>
      <c r="O24" s="204"/>
      <c r="P24" s="204"/>
      <c r="Q24" s="189"/>
      <c r="R24" s="204"/>
      <c r="S24" s="196"/>
      <c r="T24" s="196"/>
    </row>
    <row r="25" spans="1:20" s="116" customFormat="1" ht="12.75" customHeight="1" x14ac:dyDescent="0.25">
      <c r="A25" s="190"/>
      <c r="B25" s="203"/>
      <c r="C25" s="204"/>
      <c r="D25" s="204"/>
      <c r="E25" s="204"/>
      <c r="F25" s="200"/>
      <c r="G25" s="200"/>
      <c r="H25" s="200"/>
      <c r="I25" s="200"/>
      <c r="J25" s="200"/>
      <c r="K25" s="204"/>
      <c r="L25" s="200"/>
      <c r="M25" s="200"/>
      <c r="N25" s="204"/>
      <c r="O25" s="204"/>
      <c r="P25" s="204"/>
      <c r="Q25" s="189"/>
      <c r="R25" s="204"/>
      <c r="S25" s="196"/>
      <c r="T25" s="196"/>
    </row>
    <row r="26" spans="1:20" s="116" customFormat="1" ht="12.75" customHeight="1" x14ac:dyDescent="0.25">
      <c r="A26" s="190"/>
      <c r="B26" s="203"/>
      <c r="C26" s="204"/>
      <c r="D26" s="204"/>
      <c r="E26" s="204"/>
      <c r="F26" s="200"/>
      <c r="G26" s="200"/>
      <c r="H26" s="200"/>
      <c r="I26" s="200"/>
      <c r="J26" s="200"/>
      <c r="K26" s="204"/>
      <c r="L26" s="200"/>
      <c r="M26" s="200"/>
      <c r="N26" s="204"/>
      <c r="O26" s="204"/>
      <c r="P26" s="204"/>
      <c r="Q26" s="189"/>
      <c r="R26" s="204"/>
      <c r="S26" s="196"/>
      <c r="T26" s="196"/>
    </row>
    <row r="27" spans="1:20" s="116" customFormat="1" ht="12.75" customHeight="1" x14ac:dyDescent="0.25">
      <c r="A27" s="190"/>
      <c r="B27" s="203"/>
      <c r="C27" s="204"/>
      <c r="D27" s="204"/>
      <c r="E27" s="204"/>
      <c r="F27" s="200"/>
      <c r="G27" s="200"/>
      <c r="H27" s="200"/>
      <c r="I27" s="200"/>
      <c r="J27" s="200"/>
      <c r="K27" s="204"/>
      <c r="L27" s="200"/>
      <c r="M27" s="200"/>
      <c r="N27" s="204"/>
      <c r="O27" s="204"/>
      <c r="P27" s="204"/>
      <c r="Q27" s="189"/>
      <c r="R27" s="204"/>
      <c r="S27" s="196"/>
      <c r="T27" s="196"/>
    </row>
    <row r="28" spans="1:20" s="116" customFormat="1" ht="12.75" customHeight="1" x14ac:dyDescent="0.25">
      <c r="A28" s="190"/>
      <c r="B28" s="203"/>
      <c r="C28" s="204"/>
      <c r="D28" s="204"/>
      <c r="E28" s="204"/>
      <c r="F28" s="200"/>
      <c r="G28" s="200"/>
      <c r="H28" s="200"/>
      <c r="I28" s="200"/>
      <c r="J28" s="200"/>
      <c r="K28" s="204"/>
      <c r="L28" s="200"/>
      <c r="M28" s="200"/>
      <c r="N28" s="204"/>
      <c r="O28" s="204"/>
      <c r="P28" s="204"/>
      <c r="Q28" s="189"/>
      <c r="R28" s="204"/>
      <c r="S28" s="196"/>
      <c r="T28" s="196"/>
    </row>
    <row r="29" spans="1:20" s="116" customFormat="1" ht="12.75" customHeight="1" x14ac:dyDescent="0.25">
      <c r="A29" s="190"/>
      <c r="B29" s="203"/>
      <c r="C29" s="204"/>
      <c r="D29" s="204"/>
      <c r="E29" s="204"/>
      <c r="F29" s="200"/>
      <c r="G29" s="200"/>
      <c r="H29" s="200"/>
      <c r="I29" s="200"/>
      <c r="J29" s="200"/>
      <c r="K29" s="204"/>
      <c r="L29" s="200"/>
      <c r="M29" s="200"/>
      <c r="N29" s="204"/>
      <c r="O29" s="204"/>
      <c r="P29" s="204"/>
      <c r="Q29" s="189"/>
      <c r="R29" s="204"/>
      <c r="S29" s="196"/>
      <c r="T29" s="196"/>
    </row>
    <row r="30" spans="1:20" s="116" customFormat="1" ht="12.75" customHeight="1" x14ac:dyDescent="0.25">
      <c r="A30" s="190"/>
      <c r="B30" s="203"/>
      <c r="C30" s="204"/>
      <c r="D30" s="204"/>
      <c r="E30" s="204"/>
      <c r="F30" s="200"/>
      <c r="G30" s="200"/>
      <c r="H30" s="200"/>
      <c r="I30" s="200"/>
      <c r="J30" s="200"/>
      <c r="K30" s="204"/>
      <c r="L30" s="200"/>
      <c r="M30" s="200"/>
      <c r="N30" s="204"/>
      <c r="O30" s="204"/>
      <c r="P30" s="204"/>
      <c r="Q30" s="189"/>
      <c r="R30" s="204"/>
      <c r="S30" s="196"/>
      <c r="T30" s="196"/>
    </row>
    <row r="31" spans="1:20" s="116" customFormat="1" ht="12.75" customHeight="1" x14ac:dyDescent="0.25">
      <c r="A31" s="190"/>
      <c r="B31" s="203"/>
      <c r="C31" s="204"/>
      <c r="D31" s="204"/>
      <c r="E31" s="204"/>
      <c r="F31" s="200"/>
      <c r="G31" s="200"/>
      <c r="H31" s="200"/>
      <c r="I31" s="200"/>
      <c r="J31" s="200"/>
      <c r="K31" s="204"/>
      <c r="L31" s="200"/>
      <c r="M31" s="200"/>
      <c r="N31" s="204"/>
      <c r="O31" s="204"/>
      <c r="P31" s="204"/>
      <c r="Q31" s="189"/>
      <c r="R31" s="204"/>
      <c r="S31" s="196"/>
      <c r="T31" s="196"/>
    </row>
    <row r="32" spans="1:20" s="116" customFormat="1" ht="12.75" customHeight="1" x14ac:dyDescent="0.25">
      <c r="A32" s="190"/>
      <c r="B32" s="203"/>
      <c r="C32" s="204"/>
      <c r="D32" s="204"/>
      <c r="E32" s="204"/>
      <c r="F32" s="200"/>
      <c r="G32" s="200"/>
      <c r="H32" s="200"/>
      <c r="I32" s="200"/>
      <c r="J32" s="200"/>
      <c r="K32" s="204"/>
      <c r="L32" s="200"/>
      <c r="M32" s="200"/>
      <c r="N32" s="204"/>
      <c r="O32" s="204"/>
      <c r="P32" s="204"/>
      <c r="Q32" s="189"/>
      <c r="R32" s="204"/>
      <c r="S32" s="196"/>
      <c r="T32" s="196"/>
    </row>
    <row r="33" spans="1:20" s="116" customFormat="1" ht="12.75" customHeight="1" x14ac:dyDescent="0.25">
      <c r="A33" s="190"/>
      <c r="B33" s="203"/>
      <c r="C33" s="204"/>
      <c r="D33" s="204"/>
      <c r="E33" s="204"/>
      <c r="F33" s="200"/>
      <c r="G33" s="200"/>
      <c r="H33" s="200"/>
      <c r="I33" s="200"/>
      <c r="J33" s="200"/>
      <c r="K33" s="204"/>
      <c r="L33" s="200"/>
      <c r="M33" s="200"/>
      <c r="N33" s="204"/>
      <c r="O33" s="204"/>
      <c r="P33" s="204"/>
      <c r="Q33" s="189"/>
      <c r="R33" s="204"/>
      <c r="S33" s="196"/>
      <c r="T33" s="196"/>
    </row>
    <row r="34" spans="1:20" s="116" customFormat="1" ht="12.75" customHeight="1" x14ac:dyDescent="0.25">
      <c r="A34" s="190"/>
      <c r="B34" s="203"/>
      <c r="C34" s="204"/>
      <c r="D34" s="204"/>
      <c r="E34" s="204"/>
      <c r="F34" s="200"/>
      <c r="G34" s="200"/>
      <c r="H34" s="200"/>
      <c r="I34" s="200"/>
      <c r="J34" s="200"/>
      <c r="K34" s="204"/>
      <c r="L34" s="200"/>
      <c r="M34" s="200"/>
      <c r="N34" s="204"/>
      <c r="O34" s="204"/>
      <c r="P34" s="204"/>
      <c r="Q34" s="189"/>
      <c r="R34" s="204"/>
      <c r="S34" s="196"/>
      <c r="T34" s="196"/>
    </row>
    <row r="35" spans="1:20" s="116" customFormat="1" ht="12.75" customHeight="1" x14ac:dyDescent="0.25">
      <c r="A35" s="190"/>
      <c r="B35" s="203"/>
      <c r="C35" s="204"/>
      <c r="D35" s="204"/>
      <c r="E35" s="204"/>
      <c r="F35" s="200"/>
      <c r="G35" s="200"/>
      <c r="H35" s="200"/>
      <c r="I35" s="200"/>
      <c r="J35" s="200"/>
      <c r="K35" s="204"/>
      <c r="L35" s="200"/>
      <c r="M35" s="200"/>
      <c r="N35" s="204"/>
      <c r="O35" s="204"/>
      <c r="P35" s="204"/>
      <c r="Q35" s="189"/>
      <c r="R35" s="204"/>
      <c r="S35" s="196"/>
      <c r="T35" s="196"/>
    </row>
    <row r="36" spans="1:20" ht="12.75" customHeight="1" x14ac:dyDescent="0.25">
      <c r="A36" s="181"/>
      <c r="B36" s="181"/>
      <c r="C36" s="172"/>
      <c r="D36" s="172"/>
      <c r="E36" s="204"/>
      <c r="F36" s="206"/>
      <c r="G36" s="206"/>
      <c r="H36" s="206"/>
      <c r="I36" s="206"/>
      <c r="J36" s="206"/>
      <c r="K36" s="172"/>
      <c r="L36" s="206"/>
      <c r="M36" s="206"/>
      <c r="N36" s="204"/>
      <c r="O36" s="172"/>
      <c r="P36" s="172"/>
      <c r="Q36" s="172"/>
      <c r="R36" s="204"/>
      <c r="S36" s="196"/>
      <c r="T36" s="196"/>
    </row>
    <row r="37" spans="1:20" ht="12.75" customHeight="1" x14ac:dyDescent="0.25">
      <c r="A37" s="181"/>
      <c r="B37" s="181"/>
      <c r="C37" s="172"/>
      <c r="D37" s="172"/>
      <c r="E37" s="204"/>
      <c r="F37" s="206"/>
      <c r="G37" s="206"/>
      <c r="H37" s="206"/>
      <c r="I37" s="206"/>
      <c r="J37" s="206"/>
      <c r="K37" s="172"/>
      <c r="L37" s="206"/>
      <c r="M37" s="206"/>
      <c r="N37" s="204"/>
      <c r="O37" s="172"/>
      <c r="P37" s="172"/>
      <c r="Q37" s="172"/>
      <c r="R37" s="204"/>
      <c r="S37" s="196"/>
      <c r="T37" s="196"/>
    </row>
    <row r="38" spans="1:20" ht="12.75" customHeight="1" x14ac:dyDescent="0.25">
      <c r="A38" s="181"/>
      <c r="B38" s="181"/>
      <c r="C38" s="172"/>
      <c r="D38" s="172"/>
      <c r="E38" s="204"/>
      <c r="F38" s="206"/>
      <c r="G38" s="206"/>
      <c r="H38" s="206"/>
      <c r="I38" s="206"/>
      <c r="J38" s="206"/>
      <c r="K38" s="172"/>
      <c r="L38" s="206"/>
      <c r="M38" s="206"/>
      <c r="N38" s="204"/>
      <c r="O38" s="172"/>
      <c r="P38" s="172"/>
      <c r="Q38" s="172"/>
      <c r="R38" s="204"/>
      <c r="S38" s="199"/>
      <c r="T38" s="199"/>
    </row>
    <row r="39" spans="1:20" ht="12.75" customHeight="1" x14ac:dyDescent="0.25">
      <c r="A39" s="181"/>
      <c r="B39" s="181"/>
      <c r="C39" s="172"/>
      <c r="D39" s="172"/>
      <c r="E39" s="204"/>
      <c r="F39" s="206"/>
      <c r="G39" s="206"/>
      <c r="H39" s="206"/>
      <c r="I39" s="206"/>
      <c r="J39" s="206"/>
      <c r="K39" s="172"/>
      <c r="L39" s="206"/>
      <c r="M39" s="206"/>
      <c r="N39" s="204"/>
      <c r="O39" s="172"/>
      <c r="P39" s="172"/>
      <c r="Q39" s="172"/>
      <c r="R39" s="204"/>
      <c r="S39" s="199"/>
      <c r="T39" s="199"/>
    </row>
    <row r="40" spans="1:20" ht="12.75" customHeight="1" x14ac:dyDescent="0.25">
      <c r="A40" s="181"/>
      <c r="B40" s="181"/>
      <c r="C40" s="172"/>
      <c r="D40" s="172"/>
      <c r="E40" s="204"/>
      <c r="F40" s="206"/>
      <c r="G40" s="206"/>
      <c r="H40" s="206"/>
      <c r="I40" s="206"/>
      <c r="J40" s="206"/>
      <c r="K40" s="172"/>
      <c r="L40" s="206"/>
      <c r="M40" s="206"/>
      <c r="N40" s="204"/>
      <c r="O40" s="172"/>
      <c r="P40" s="172"/>
      <c r="Q40" s="172"/>
      <c r="R40" s="204"/>
      <c r="S40" s="199"/>
      <c r="T40" s="199"/>
    </row>
    <row r="41" spans="1:20" ht="12.75" customHeight="1" x14ac:dyDescent="0.25">
      <c r="A41" s="181"/>
      <c r="B41" s="181"/>
      <c r="C41" s="172"/>
      <c r="D41" s="172"/>
      <c r="E41" s="204"/>
      <c r="F41" s="206"/>
      <c r="G41" s="206"/>
      <c r="H41" s="206"/>
      <c r="I41" s="206"/>
      <c r="J41" s="206"/>
      <c r="K41" s="172"/>
      <c r="L41" s="206"/>
      <c r="M41" s="206"/>
      <c r="N41" s="204"/>
      <c r="O41" s="172"/>
      <c r="P41" s="172"/>
      <c r="Q41" s="172"/>
      <c r="R41" s="204"/>
      <c r="S41" s="199"/>
      <c r="T41" s="199"/>
    </row>
    <row r="42" spans="1:20" ht="12.75" customHeight="1" x14ac:dyDescent="0.25">
      <c r="A42" s="181"/>
      <c r="B42" s="181"/>
      <c r="C42" s="172"/>
      <c r="D42" s="172"/>
      <c r="E42" s="204"/>
      <c r="F42" s="206"/>
      <c r="G42" s="206"/>
      <c r="H42" s="206"/>
      <c r="I42" s="206"/>
      <c r="J42" s="206"/>
      <c r="K42" s="172"/>
      <c r="L42" s="206"/>
      <c r="M42" s="206"/>
      <c r="N42" s="204"/>
      <c r="O42" s="172"/>
      <c r="P42" s="172"/>
      <c r="Q42" s="172"/>
      <c r="R42" s="204"/>
      <c r="S42" s="199"/>
      <c r="T42" s="199"/>
    </row>
    <row r="43" spans="1:20" ht="12.75" customHeight="1" x14ac:dyDescent="0.25">
      <c r="A43" s="181"/>
      <c r="B43" s="181"/>
      <c r="C43" s="172"/>
      <c r="D43" s="172"/>
      <c r="E43" s="204"/>
      <c r="F43" s="206"/>
      <c r="G43" s="206"/>
      <c r="H43" s="206"/>
      <c r="I43" s="206"/>
      <c r="J43" s="206"/>
      <c r="K43" s="172"/>
      <c r="L43" s="206"/>
      <c r="M43" s="206"/>
      <c r="N43" s="204"/>
      <c r="O43" s="172"/>
      <c r="P43" s="172"/>
      <c r="Q43" s="172"/>
      <c r="R43" s="204"/>
      <c r="S43" s="199"/>
      <c r="T43" s="199"/>
    </row>
    <row r="44" spans="1:20" ht="12.75" customHeight="1" x14ac:dyDescent="0.25">
      <c r="A44" s="181"/>
      <c r="B44" s="181"/>
      <c r="C44" s="172"/>
      <c r="D44" s="172"/>
      <c r="E44" s="204"/>
      <c r="F44" s="206"/>
      <c r="G44" s="206"/>
      <c r="H44" s="206"/>
      <c r="I44" s="206"/>
      <c r="J44" s="206"/>
      <c r="K44" s="172"/>
      <c r="L44" s="206"/>
      <c r="M44" s="206"/>
      <c r="N44" s="204"/>
      <c r="O44" s="172"/>
      <c r="P44" s="172"/>
      <c r="Q44" s="172"/>
      <c r="R44" s="204"/>
      <c r="S44" s="199"/>
      <c r="T44" s="199"/>
    </row>
    <row r="45" spans="1:20" ht="12.75" customHeight="1" x14ac:dyDescent="0.25">
      <c r="A45" s="181"/>
      <c r="B45" s="181"/>
      <c r="C45" s="172"/>
      <c r="D45" s="172"/>
      <c r="E45" s="204"/>
      <c r="F45" s="206"/>
      <c r="G45" s="206"/>
      <c r="H45" s="206"/>
      <c r="I45" s="206"/>
      <c r="J45" s="206"/>
      <c r="K45" s="172"/>
      <c r="L45" s="206"/>
      <c r="M45" s="206"/>
      <c r="N45" s="204"/>
      <c r="O45" s="172"/>
      <c r="P45" s="172"/>
      <c r="Q45" s="172"/>
      <c r="R45" s="204"/>
      <c r="S45" s="199"/>
      <c r="T45" s="199"/>
    </row>
    <row r="46" spans="1:20" ht="12.75" customHeight="1" x14ac:dyDescent="0.25">
      <c r="A46" s="181"/>
      <c r="B46" s="181"/>
      <c r="C46" s="172"/>
      <c r="D46" s="172"/>
      <c r="E46" s="204"/>
      <c r="F46" s="206"/>
      <c r="G46" s="206"/>
      <c r="H46" s="206"/>
      <c r="I46" s="206"/>
      <c r="J46" s="206"/>
      <c r="K46" s="172"/>
      <c r="L46" s="206"/>
      <c r="M46" s="206"/>
      <c r="N46" s="204"/>
      <c r="O46" s="172"/>
      <c r="P46" s="172"/>
      <c r="Q46" s="172"/>
      <c r="R46" s="204"/>
      <c r="S46" s="199"/>
      <c r="T46" s="199"/>
    </row>
    <row r="47" spans="1:20" ht="12.75" customHeight="1" x14ac:dyDescent="0.25">
      <c r="A47" s="181"/>
      <c r="B47" s="181"/>
      <c r="C47" s="172"/>
      <c r="D47" s="172"/>
      <c r="E47" s="204"/>
      <c r="F47" s="206"/>
      <c r="G47" s="206"/>
      <c r="H47" s="206"/>
      <c r="I47" s="206"/>
      <c r="J47" s="206"/>
      <c r="K47" s="172"/>
      <c r="L47" s="206"/>
      <c r="M47" s="206"/>
      <c r="N47" s="204"/>
      <c r="O47" s="172"/>
      <c r="P47" s="172"/>
      <c r="Q47" s="172"/>
      <c r="R47" s="204"/>
      <c r="S47" s="199"/>
      <c r="T47" s="199"/>
    </row>
    <row r="48" spans="1:20" ht="12.75" customHeight="1" x14ac:dyDescent="0.25">
      <c r="A48" s="181"/>
      <c r="B48" s="181"/>
      <c r="C48" s="172"/>
      <c r="D48" s="172"/>
      <c r="E48" s="204"/>
      <c r="F48" s="206"/>
      <c r="G48" s="206"/>
      <c r="H48" s="206"/>
      <c r="I48" s="206"/>
      <c r="J48" s="206"/>
      <c r="K48" s="172"/>
      <c r="L48" s="206"/>
      <c r="M48" s="206"/>
      <c r="N48" s="204"/>
      <c r="O48" s="172"/>
      <c r="P48" s="172"/>
      <c r="Q48" s="172"/>
      <c r="R48" s="204"/>
      <c r="S48" s="199"/>
      <c r="T48" s="199"/>
    </row>
    <row r="49" spans="1:20" ht="12.75" customHeight="1" x14ac:dyDescent="0.25">
      <c r="A49" s="181"/>
      <c r="B49" s="181"/>
      <c r="C49" s="172"/>
      <c r="D49" s="172"/>
      <c r="E49" s="204"/>
      <c r="F49" s="206"/>
      <c r="G49" s="206"/>
      <c r="H49" s="206"/>
      <c r="I49" s="206"/>
      <c r="J49" s="206"/>
      <c r="K49" s="172"/>
      <c r="L49" s="206"/>
      <c r="M49" s="206"/>
      <c r="N49" s="204"/>
      <c r="O49" s="172"/>
      <c r="P49" s="172"/>
      <c r="Q49" s="172"/>
      <c r="R49" s="204"/>
      <c r="S49" s="199"/>
      <c r="T49" s="199"/>
    </row>
    <row r="50" spans="1:20" ht="12.75" customHeight="1" x14ac:dyDescent="0.25">
      <c r="A50" s="181"/>
      <c r="B50" s="181"/>
      <c r="C50" s="172"/>
      <c r="D50" s="172"/>
      <c r="E50" s="204"/>
      <c r="F50" s="206"/>
      <c r="G50" s="206"/>
      <c r="H50" s="206"/>
      <c r="I50" s="206"/>
      <c r="J50" s="206"/>
      <c r="K50" s="172"/>
      <c r="L50" s="206"/>
      <c r="M50" s="206"/>
      <c r="N50" s="204"/>
      <c r="O50" s="172"/>
      <c r="P50" s="172"/>
      <c r="Q50" s="172"/>
      <c r="R50" s="204"/>
      <c r="S50" s="199"/>
      <c r="T50" s="199"/>
    </row>
    <row r="51" spans="1:20" ht="12.75" customHeight="1" x14ac:dyDescent="0.25">
      <c r="A51" s="181"/>
      <c r="B51" s="181"/>
      <c r="C51" s="172"/>
      <c r="D51" s="172"/>
      <c r="E51" s="204"/>
      <c r="F51" s="206"/>
      <c r="G51" s="206"/>
      <c r="H51" s="206"/>
      <c r="I51" s="206"/>
      <c r="J51" s="206"/>
      <c r="K51" s="172"/>
      <c r="L51" s="206"/>
      <c r="M51" s="206"/>
      <c r="N51" s="204"/>
      <c r="O51" s="172"/>
      <c r="P51" s="172"/>
      <c r="Q51" s="172"/>
      <c r="R51" s="204"/>
      <c r="S51" s="199"/>
      <c r="T51" s="199"/>
    </row>
    <row r="52" spans="1:20" ht="12.75" customHeight="1" x14ac:dyDescent="0.25">
      <c r="A52" s="181"/>
      <c r="B52" s="181"/>
      <c r="C52" s="172"/>
      <c r="D52" s="172"/>
      <c r="E52" s="204"/>
      <c r="F52" s="206"/>
      <c r="G52" s="206"/>
      <c r="H52" s="206"/>
      <c r="I52" s="206"/>
      <c r="J52" s="206"/>
      <c r="K52" s="172"/>
      <c r="L52" s="206"/>
      <c r="M52" s="206"/>
      <c r="N52" s="204"/>
      <c r="O52" s="172"/>
      <c r="P52" s="172"/>
      <c r="Q52" s="172"/>
      <c r="R52" s="204"/>
      <c r="S52" s="199"/>
      <c r="T52" s="199"/>
    </row>
    <row r="53" spans="1:20" ht="12.75" customHeight="1" x14ac:dyDescent="0.25">
      <c r="A53" s="181"/>
      <c r="B53" s="181"/>
      <c r="C53" s="172"/>
      <c r="D53" s="172"/>
      <c r="E53" s="204"/>
      <c r="F53" s="206"/>
      <c r="G53" s="206"/>
      <c r="H53" s="206"/>
      <c r="I53" s="206"/>
      <c r="J53" s="206"/>
      <c r="K53" s="172"/>
      <c r="L53" s="206"/>
      <c r="M53" s="206"/>
      <c r="N53" s="204"/>
      <c r="O53" s="172"/>
      <c r="P53" s="172"/>
      <c r="Q53" s="172"/>
      <c r="R53" s="204"/>
      <c r="S53" s="199"/>
      <c r="T53" s="199"/>
    </row>
    <row r="54" spans="1:20" ht="12.75" customHeight="1" x14ac:dyDescent="0.25">
      <c r="A54" s="181"/>
      <c r="B54" s="181"/>
      <c r="C54" s="172"/>
      <c r="D54" s="172"/>
      <c r="E54" s="204"/>
      <c r="F54" s="206"/>
      <c r="G54" s="206"/>
      <c r="H54" s="206"/>
      <c r="I54" s="206"/>
      <c r="J54" s="206"/>
      <c r="K54" s="172"/>
      <c r="L54" s="206"/>
      <c r="M54" s="206"/>
      <c r="N54" s="204"/>
      <c r="O54" s="172"/>
      <c r="P54" s="172"/>
      <c r="Q54" s="172"/>
      <c r="R54" s="204"/>
      <c r="S54" s="199"/>
      <c r="T54" s="199"/>
    </row>
    <row r="55" spans="1:20" ht="12.75" customHeight="1" x14ac:dyDescent="0.25">
      <c r="A55" s="181"/>
      <c r="B55" s="181"/>
      <c r="C55" s="172"/>
      <c r="D55" s="172"/>
      <c r="E55" s="204"/>
      <c r="F55" s="206"/>
      <c r="G55" s="206"/>
      <c r="H55" s="206"/>
      <c r="I55" s="206"/>
      <c r="J55" s="206"/>
      <c r="K55" s="172"/>
      <c r="L55" s="206"/>
      <c r="M55" s="206"/>
      <c r="N55" s="204"/>
      <c r="O55" s="172"/>
      <c r="P55" s="172"/>
      <c r="Q55" s="172"/>
      <c r="R55" s="204"/>
      <c r="S55" s="199"/>
      <c r="T55" s="199"/>
    </row>
    <row r="56" spans="1:20" ht="12.75" customHeight="1" x14ac:dyDescent="0.25">
      <c r="A56" s="181"/>
      <c r="B56" s="181"/>
      <c r="C56" s="172"/>
      <c r="D56" s="172"/>
      <c r="E56" s="204"/>
      <c r="F56" s="206"/>
      <c r="G56" s="206"/>
      <c r="H56" s="206"/>
      <c r="I56" s="206"/>
      <c r="J56" s="206"/>
      <c r="K56" s="172"/>
      <c r="L56" s="206"/>
      <c r="M56" s="206"/>
      <c r="N56" s="204"/>
      <c r="O56" s="172"/>
      <c r="P56" s="172"/>
      <c r="Q56" s="172"/>
      <c r="R56" s="204"/>
      <c r="S56" s="199"/>
      <c r="T56" s="199"/>
    </row>
    <row r="57" spans="1:20" ht="12.75" customHeight="1" x14ac:dyDescent="0.25">
      <c r="A57" s="181"/>
      <c r="B57" s="181"/>
      <c r="C57" s="172"/>
      <c r="D57" s="172"/>
      <c r="E57" s="204"/>
      <c r="F57" s="206"/>
      <c r="G57" s="206"/>
      <c r="H57" s="206"/>
      <c r="I57" s="206"/>
      <c r="J57" s="206"/>
      <c r="K57" s="172"/>
      <c r="L57" s="206"/>
      <c r="M57" s="206"/>
      <c r="N57" s="204"/>
      <c r="O57" s="172"/>
      <c r="P57" s="172"/>
      <c r="Q57" s="172"/>
      <c r="R57" s="204"/>
      <c r="S57" s="199"/>
      <c r="T57" s="199"/>
    </row>
    <row r="58" spans="1:20" ht="12.75" customHeight="1" x14ac:dyDescent="0.25">
      <c r="A58" s="181"/>
      <c r="B58" s="181"/>
      <c r="C58" s="172"/>
      <c r="D58" s="172"/>
      <c r="E58" s="204"/>
      <c r="F58" s="206"/>
      <c r="G58" s="206"/>
      <c r="H58" s="206"/>
      <c r="I58" s="206"/>
      <c r="J58" s="206"/>
      <c r="K58" s="172"/>
      <c r="L58" s="206"/>
      <c r="M58" s="206"/>
      <c r="N58" s="204"/>
      <c r="O58" s="172"/>
      <c r="P58" s="172"/>
      <c r="Q58" s="172"/>
      <c r="R58" s="204"/>
      <c r="S58" s="199"/>
      <c r="T58" s="199"/>
    </row>
    <row r="59" spans="1:20" ht="12.75" customHeight="1" x14ac:dyDescent="0.25">
      <c r="A59" s="181"/>
      <c r="B59" s="181"/>
      <c r="C59" s="172"/>
      <c r="D59" s="172"/>
      <c r="E59" s="204"/>
      <c r="F59" s="206"/>
      <c r="G59" s="206"/>
      <c r="H59" s="206"/>
      <c r="I59" s="206"/>
      <c r="J59" s="206"/>
      <c r="K59" s="172"/>
      <c r="L59" s="206"/>
      <c r="M59" s="206"/>
      <c r="N59" s="204"/>
      <c r="O59" s="172"/>
      <c r="P59" s="172"/>
      <c r="Q59" s="172"/>
      <c r="R59" s="204"/>
      <c r="S59" s="199"/>
      <c r="T59" s="199"/>
    </row>
    <row r="60" spans="1:20" ht="12.75" customHeight="1" x14ac:dyDescent="0.25">
      <c r="A60" s="181"/>
      <c r="B60" s="181"/>
      <c r="C60" s="172"/>
      <c r="D60" s="172"/>
      <c r="E60" s="204"/>
      <c r="F60" s="206"/>
      <c r="G60" s="206"/>
      <c r="H60" s="206"/>
      <c r="I60" s="206"/>
      <c r="J60" s="206"/>
      <c r="K60" s="172"/>
      <c r="L60" s="206"/>
      <c r="M60" s="206"/>
      <c r="N60" s="204"/>
      <c r="O60" s="172"/>
      <c r="P60" s="172"/>
      <c r="Q60" s="172"/>
      <c r="R60" s="204"/>
      <c r="S60" s="199"/>
      <c r="T60" s="199"/>
    </row>
    <row r="61" spans="1:20" ht="12.75" customHeight="1" x14ac:dyDescent="0.25">
      <c r="A61" s="181"/>
      <c r="B61" s="181"/>
      <c r="C61" s="172"/>
      <c r="D61" s="172"/>
      <c r="E61" s="204"/>
      <c r="F61" s="206"/>
      <c r="G61" s="206"/>
      <c r="H61" s="206"/>
      <c r="I61" s="206"/>
      <c r="J61" s="206"/>
      <c r="K61" s="172"/>
      <c r="L61" s="206"/>
      <c r="M61" s="206"/>
      <c r="N61" s="204"/>
      <c r="O61" s="172"/>
      <c r="P61" s="172"/>
      <c r="Q61" s="172"/>
      <c r="R61" s="204"/>
      <c r="S61" s="199"/>
      <c r="T61" s="199"/>
    </row>
    <row r="62" spans="1:20" ht="12.75" customHeight="1" x14ac:dyDescent="0.25">
      <c r="A62" s="181"/>
      <c r="B62" s="181"/>
      <c r="C62" s="172"/>
      <c r="D62" s="172"/>
      <c r="E62" s="204"/>
      <c r="F62" s="206"/>
      <c r="G62" s="206"/>
      <c r="H62" s="206"/>
      <c r="I62" s="206"/>
      <c r="J62" s="206"/>
      <c r="K62" s="172"/>
      <c r="L62" s="206"/>
      <c r="M62" s="206"/>
      <c r="N62" s="204"/>
      <c r="O62" s="172"/>
      <c r="P62" s="172"/>
      <c r="Q62" s="172"/>
      <c r="R62" s="204"/>
      <c r="S62" s="199"/>
      <c r="T62" s="199"/>
    </row>
    <row r="63" spans="1:20" ht="12.75" customHeight="1" x14ac:dyDescent="0.25">
      <c r="A63" s="181"/>
      <c r="B63" s="181"/>
      <c r="C63" s="172"/>
      <c r="D63" s="172"/>
      <c r="E63" s="204"/>
      <c r="F63" s="206"/>
      <c r="G63" s="206"/>
      <c r="H63" s="206"/>
      <c r="I63" s="206"/>
      <c r="J63" s="206"/>
      <c r="K63" s="172"/>
      <c r="L63" s="206"/>
      <c r="M63" s="206"/>
      <c r="N63" s="204"/>
      <c r="O63" s="172"/>
      <c r="P63" s="172"/>
      <c r="Q63" s="172"/>
      <c r="R63" s="204"/>
      <c r="S63" s="199"/>
      <c r="T63" s="199"/>
    </row>
    <row r="64" spans="1:20" ht="12.75" customHeight="1" x14ac:dyDescent="0.25">
      <c r="A64" s="181"/>
      <c r="B64" s="181"/>
      <c r="C64" s="172"/>
      <c r="D64" s="172"/>
      <c r="E64" s="204"/>
      <c r="F64" s="206"/>
      <c r="G64" s="206"/>
      <c r="H64" s="206"/>
      <c r="I64" s="206"/>
      <c r="J64" s="206"/>
      <c r="K64" s="172"/>
      <c r="L64" s="206"/>
      <c r="M64" s="206"/>
      <c r="N64" s="204"/>
      <c r="O64" s="172"/>
      <c r="P64" s="172"/>
      <c r="Q64" s="172"/>
      <c r="R64" s="204"/>
      <c r="S64" s="199"/>
      <c r="T64" s="199"/>
    </row>
    <row r="65" spans="1:20" ht="12.75" customHeight="1" x14ac:dyDescent="0.25">
      <c r="A65" s="181"/>
      <c r="B65" s="181"/>
      <c r="C65" s="172"/>
      <c r="D65" s="172"/>
      <c r="E65" s="204"/>
      <c r="F65" s="206"/>
      <c r="G65" s="206"/>
      <c r="H65" s="206"/>
      <c r="I65" s="206"/>
      <c r="J65" s="206"/>
      <c r="K65" s="172"/>
      <c r="L65" s="206"/>
      <c r="M65" s="206"/>
      <c r="N65" s="204"/>
      <c r="O65" s="172"/>
      <c r="P65" s="172"/>
      <c r="Q65" s="172"/>
      <c r="R65" s="204"/>
      <c r="S65" s="199"/>
      <c r="T65" s="199"/>
    </row>
    <row r="66" spans="1:20" ht="12.75" customHeight="1" x14ac:dyDescent="0.25">
      <c r="A66" s="181"/>
      <c r="B66" s="181"/>
      <c r="C66" s="172"/>
      <c r="D66" s="172"/>
      <c r="E66" s="204"/>
      <c r="F66" s="206"/>
      <c r="G66" s="206"/>
      <c r="H66" s="206"/>
      <c r="I66" s="206"/>
      <c r="J66" s="206"/>
      <c r="K66" s="172"/>
      <c r="L66" s="206"/>
      <c r="M66" s="206"/>
      <c r="N66" s="204"/>
      <c r="O66" s="172"/>
      <c r="P66" s="172"/>
      <c r="Q66" s="172"/>
      <c r="R66" s="204"/>
      <c r="S66" s="199"/>
      <c r="T66" s="199"/>
    </row>
    <row r="67" spans="1:20" ht="12.75" customHeight="1" x14ac:dyDescent="0.25">
      <c r="A67" s="181"/>
      <c r="B67" s="181"/>
      <c r="C67" s="172"/>
      <c r="D67" s="172"/>
      <c r="E67" s="204"/>
      <c r="F67" s="206"/>
      <c r="G67" s="206"/>
      <c r="H67" s="206"/>
      <c r="I67" s="206"/>
      <c r="J67" s="206"/>
      <c r="K67" s="172"/>
      <c r="L67" s="206"/>
      <c r="M67" s="206"/>
      <c r="N67" s="204"/>
      <c r="O67" s="172"/>
      <c r="P67" s="172"/>
      <c r="Q67" s="172"/>
      <c r="R67" s="204"/>
      <c r="S67" s="199"/>
      <c r="T67" s="199"/>
    </row>
    <row r="68" spans="1:20" ht="12.75" customHeight="1" x14ac:dyDescent="0.25">
      <c r="A68" s="181"/>
      <c r="B68" s="181"/>
      <c r="C68" s="172"/>
      <c r="D68" s="172"/>
      <c r="E68" s="204"/>
      <c r="F68" s="206"/>
      <c r="G68" s="206"/>
      <c r="H68" s="206"/>
      <c r="I68" s="206"/>
      <c r="J68" s="206"/>
      <c r="K68" s="172"/>
      <c r="L68" s="206"/>
      <c r="M68" s="206"/>
      <c r="N68" s="204"/>
      <c r="O68" s="172"/>
      <c r="P68" s="172"/>
      <c r="Q68" s="172"/>
      <c r="R68" s="204"/>
      <c r="S68" s="199"/>
      <c r="T68" s="199"/>
    </row>
    <row r="69" spans="1:20" ht="12.75" customHeight="1" x14ac:dyDescent="0.25">
      <c r="A69" s="181"/>
      <c r="B69" s="181"/>
      <c r="C69" s="172"/>
      <c r="D69" s="172"/>
      <c r="E69" s="204"/>
      <c r="F69" s="206"/>
      <c r="G69" s="206"/>
      <c r="H69" s="206"/>
      <c r="I69" s="206"/>
      <c r="J69" s="206"/>
      <c r="K69" s="172"/>
      <c r="L69" s="206"/>
      <c r="M69" s="206"/>
      <c r="N69" s="204"/>
      <c r="O69" s="172"/>
      <c r="P69" s="172"/>
      <c r="Q69" s="172"/>
      <c r="R69" s="204"/>
      <c r="S69" s="199"/>
      <c r="T69" s="199"/>
    </row>
    <row r="70" spans="1:20" ht="12.75" customHeight="1" x14ac:dyDescent="0.25">
      <c r="A70" s="181"/>
      <c r="B70" s="181"/>
      <c r="C70" s="172"/>
      <c r="D70" s="172"/>
      <c r="E70" s="204"/>
      <c r="F70" s="206"/>
      <c r="G70" s="206"/>
      <c r="H70" s="206"/>
      <c r="I70" s="206"/>
      <c r="J70" s="206"/>
      <c r="K70" s="172"/>
      <c r="L70" s="206"/>
      <c r="M70" s="206"/>
      <c r="N70" s="204"/>
      <c r="O70" s="172"/>
      <c r="P70" s="172"/>
      <c r="Q70" s="172"/>
      <c r="R70" s="204"/>
      <c r="S70" s="199"/>
      <c r="T70" s="199"/>
    </row>
    <row r="71" spans="1:20" ht="12.75" customHeight="1" x14ac:dyDescent="0.25">
      <c r="A71" s="181"/>
      <c r="B71" s="181"/>
      <c r="C71" s="172"/>
      <c r="D71" s="172"/>
      <c r="E71" s="204"/>
      <c r="F71" s="206"/>
      <c r="G71" s="206"/>
      <c r="H71" s="206"/>
      <c r="I71" s="206"/>
      <c r="J71" s="206"/>
      <c r="K71" s="172"/>
      <c r="L71" s="206"/>
      <c r="M71" s="206"/>
      <c r="N71" s="204"/>
      <c r="O71" s="172"/>
      <c r="P71" s="172"/>
      <c r="Q71" s="172"/>
      <c r="R71" s="204"/>
      <c r="S71" s="199"/>
      <c r="T71" s="199"/>
    </row>
    <row r="72" spans="1:20" ht="12.75" customHeight="1" x14ac:dyDescent="0.25">
      <c r="A72" s="181"/>
      <c r="B72" s="181"/>
      <c r="C72" s="172"/>
      <c r="D72" s="172"/>
      <c r="E72" s="204"/>
      <c r="F72" s="206"/>
      <c r="G72" s="206"/>
      <c r="H72" s="206"/>
      <c r="I72" s="206"/>
      <c r="J72" s="206"/>
      <c r="K72" s="172"/>
      <c r="L72" s="206"/>
      <c r="M72" s="206"/>
      <c r="N72" s="204"/>
      <c r="O72" s="172"/>
      <c r="P72" s="172"/>
      <c r="Q72" s="172"/>
      <c r="R72" s="204"/>
      <c r="S72" s="199"/>
      <c r="T72" s="199"/>
    </row>
    <row r="73" spans="1:20" ht="12.75" customHeight="1" x14ac:dyDescent="0.25">
      <c r="A73" s="181"/>
      <c r="B73" s="181"/>
      <c r="C73" s="172"/>
      <c r="D73" s="172"/>
      <c r="E73" s="204"/>
      <c r="F73" s="206"/>
      <c r="G73" s="206"/>
      <c r="H73" s="206"/>
      <c r="I73" s="206"/>
      <c r="J73" s="206"/>
      <c r="K73" s="172"/>
      <c r="L73" s="206"/>
      <c r="M73" s="206"/>
      <c r="N73" s="204"/>
      <c r="O73" s="172"/>
      <c r="P73" s="172"/>
      <c r="Q73" s="172"/>
      <c r="R73" s="204"/>
      <c r="S73" s="199"/>
      <c r="T73" s="199"/>
    </row>
    <row r="74" spans="1:20" ht="12.75" customHeight="1" x14ac:dyDescent="0.25">
      <c r="A74" s="181"/>
      <c r="B74" s="181"/>
      <c r="C74" s="172"/>
      <c r="D74" s="172"/>
      <c r="E74" s="204"/>
      <c r="F74" s="206"/>
      <c r="G74" s="206"/>
      <c r="H74" s="206"/>
      <c r="I74" s="206"/>
      <c r="J74" s="206"/>
      <c r="K74" s="172"/>
      <c r="L74" s="206"/>
      <c r="M74" s="206"/>
      <c r="N74" s="204"/>
      <c r="O74" s="172"/>
      <c r="P74" s="172"/>
      <c r="Q74" s="172"/>
      <c r="R74" s="204"/>
      <c r="S74" s="199"/>
      <c r="T74" s="199"/>
    </row>
    <row r="75" spans="1:20" ht="12.75" customHeight="1" x14ac:dyDescent="0.25">
      <c r="A75" s="181"/>
      <c r="B75" s="181"/>
      <c r="C75" s="172"/>
      <c r="D75" s="172"/>
      <c r="E75" s="204"/>
      <c r="F75" s="206"/>
      <c r="G75" s="206"/>
      <c r="H75" s="206"/>
      <c r="I75" s="206"/>
      <c r="J75" s="206"/>
      <c r="K75" s="172"/>
      <c r="L75" s="206"/>
      <c r="M75" s="206"/>
      <c r="N75" s="204"/>
      <c r="O75" s="172"/>
      <c r="P75" s="172"/>
      <c r="Q75" s="172"/>
      <c r="R75" s="204"/>
      <c r="S75" s="199"/>
      <c r="T75" s="199"/>
    </row>
    <row r="76" spans="1:20" ht="12.75" customHeight="1" x14ac:dyDescent="0.25">
      <c r="A76" s="181"/>
      <c r="B76" s="181"/>
      <c r="C76" s="172"/>
      <c r="D76" s="172"/>
      <c r="E76" s="204"/>
      <c r="F76" s="206"/>
      <c r="G76" s="206"/>
      <c r="H76" s="206"/>
      <c r="I76" s="206"/>
      <c r="J76" s="206"/>
      <c r="K76" s="172"/>
      <c r="L76" s="206"/>
      <c r="M76" s="206"/>
      <c r="N76" s="204"/>
      <c r="O76" s="172"/>
      <c r="P76" s="172"/>
      <c r="Q76" s="172"/>
      <c r="R76" s="204"/>
      <c r="S76" s="199"/>
      <c r="T76" s="199"/>
    </row>
    <row r="77" spans="1:20" ht="12.75" customHeight="1" x14ac:dyDescent="0.25">
      <c r="A77" s="181"/>
      <c r="B77" s="181"/>
      <c r="C77" s="172"/>
      <c r="D77" s="172"/>
      <c r="E77" s="204"/>
      <c r="F77" s="206"/>
      <c r="G77" s="206"/>
      <c r="H77" s="206"/>
      <c r="I77" s="206"/>
      <c r="J77" s="206"/>
      <c r="K77" s="172"/>
      <c r="L77" s="206"/>
      <c r="M77" s="206"/>
      <c r="N77" s="204"/>
      <c r="O77" s="172"/>
      <c r="P77" s="172"/>
      <c r="Q77" s="172"/>
      <c r="R77" s="204"/>
      <c r="S77" s="199"/>
      <c r="T77" s="199"/>
    </row>
    <row r="78" spans="1:20" ht="12.75" customHeight="1" x14ac:dyDescent="0.25">
      <c r="A78" s="181"/>
      <c r="B78" s="181"/>
      <c r="C78" s="172"/>
      <c r="D78" s="172"/>
      <c r="E78" s="204"/>
      <c r="F78" s="206"/>
      <c r="G78" s="206"/>
      <c r="H78" s="206"/>
      <c r="I78" s="206"/>
      <c r="J78" s="206"/>
      <c r="K78" s="172"/>
      <c r="L78" s="206"/>
      <c r="M78" s="206"/>
      <c r="N78" s="204"/>
      <c r="O78" s="172"/>
      <c r="P78" s="172"/>
      <c r="Q78" s="172"/>
      <c r="R78" s="204"/>
      <c r="S78" s="199"/>
      <c r="T78" s="199"/>
    </row>
    <row r="79" spans="1:20" ht="12.75" customHeight="1" x14ac:dyDescent="0.25">
      <c r="A79" s="181"/>
      <c r="B79" s="181"/>
      <c r="C79" s="172"/>
      <c r="D79" s="172"/>
      <c r="E79" s="204"/>
      <c r="F79" s="206"/>
      <c r="G79" s="206"/>
      <c r="H79" s="206"/>
      <c r="I79" s="206"/>
      <c r="J79" s="206"/>
      <c r="K79" s="172"/>
      <c r="L79" s="206"/>
      <c r="M79" s="206"/>
      <c r="N79" s="204"/>
      <c r="O79" s="172"/>
      <c r="P79" s="172"/>
      <c r="Q79" s="172"/>
      <c r="R79" s="204"/>
      <c r="S79" s="199"/>
      <c r="T79" s="199"/>
    </row>
    <row r="80" spans="1:20" ht="12.75" customHeight="1" x14ac:dyDescent="0.25">
      <c r="A80" s="181"/>
      <c r="B80" s="181"/>
      <c r="C80" s="172"/>
      <c r="D80" s="172"/>
      <c r="E80" s="204"/>
      <c r="F80" s="206"/>
      <c r="G80" s="206"/>
      <c r="H80" s="206"/>
      <c r="I80" s="206"/>
      <c r="J80" s="206"/>
      <c r="K80" s="172"/>
      <c r="L80" s="206"/>
      <c r="M80" s="206"/>
      <c r="N80" s="204"/>
      <c r="O80" s="172"/>
      <c r="P80" s="172"/>
      <c r="Q80" s="172"/>
      <c r="R80" s="204"/>
      <c r="S80" s="199"/>
      <c r="T80" s="199"/>
    </row>
    <row r="81" spans="1:20" ht="12.75" customHeight="1" x14ac:dyDescent="0.25">
      <c r="A81" s="181"/>
      <c r="B81" s="181"/>
      <c r="C81" s="172"/>
      <c r="D81" s="172"/>
      <c r="E81" s="204"/>
      <c r="F81" s="206"/>
      <c r="G81" s="206"/>
      <c r="H81" s="206"/>
      <c r="I81" s="206"/>
      <c r="J81" s="206"/>
      <c r="K81" s="172"/>
      <c r="L81" s="206"/>
      <c r="M81" s="206"/>
      <c r="N81" s="204"/>
      <c r="O81" s="172"/>
      <c r="P81" s="172"/>
      <c r="Q81" s="172"/>
      <c r="R81" s="204"/>
      <c r="S81" s="199"/>
      <c r="T81" s="199"/>
    </row>
    <row r="82" spans="1:20" ht="12.75" customHeight="1" x14ac:dyDescent="0.25">
      <c r="A82" s="181"/>
      <c r="B82" s="181"/>
      <c r="C82" s="172"/>
      <c r="D82" s="172"/>
      <c r="E82" s="204"/>
      <c r="F82" s="206"/>
      <c r="G82" s="206"/>
      <c r="H82" s="206"/>
      <c r="I82" s="206"/>
      <c r="J82" s="206"/>
      <c r="K82" s="172"/>
      <c r="L82" s="206"/>
      <c r="M82" s="206"/>
      <c r="N82" s="204"/>
      <c r="O82" s="172"/>
      <c r="P82" s="172"/>
      <c r="Q82" s="172"/>
      <c r="R82" s="204"/>
      <c r="S82" s="199"/>
      <c r="T82" s="199"/>
    </row>
    <row r="83" spans="1:20" ht="12.75" customHeight="1" x14ac:dyDescent="0.25">
      <c r="A83" s="181"/>
      <c r="B83" s="181"/>
      <c r="C83" s="172"/>
      <c r="D83" s="172"/>
      <c r="E83" s="204"/>
      <c r="F83" s="206"/>
      <c r="G83" s="206"/>
      <c r="H83" s="206"/>
      <c r="I83" s="206"/>
      <c r="J83" s="206"/>
      <c r="K83" s="172"/>
      <c r="L83" s="206"/>
      <c r="M83" s="206"/>
      <c r="N83" s="204"/>
      <c r="O83" s="172"/>
      <c r="P83" s="172"/>
      <c r="Q83" s="172"/>
      <c r="R83" s="204"/>
      <c r="S83" s="199"/>
      <c r="T83" s="199"/>
    </row>
    <row r="84" spans="1:20" ht="12.75" customHeight="1" x14ac:dyDescent="0.25">
      <c r="A84" s="181"/>
      <c r="B84" s="181"/>
      <c r="C84" s="172"/>
      <c r="D84" s="172"/>
      <c r="E84" s="204"/>
      <c r="F84" s="206"/>
      <c r="G84" s="206"/>
      <c r="H84" s="206"/>
      <c r="I84" s="206"/>
      <c r="J84" s="206"/>
      <c r="K84" s="172"/>
      <c r="L84" s="206"/>
      <c r="M84" s="206"/>
      <c r="N84" s="204"/>
      <c r="O84" s="172"/>
      <c r="P84" s="172"/>
      <c r="Q84" s="172"/>
      <c r="R84" s="204"/>
      <c r="S84" s="199"/>
      <c r="T84" s="199"/>
    </row>
    <row r="85" spans="1:20" ht="12.75" customHeight="1" x14ac:dyDescent="0.25">
      <c r="A85" s="181"/>
      <c r="B85" s="181"/>
      <c r="C85" s="172"/>
      <c r="D85" s="172"/>
      <c r="E85" s="204"/>
      <c r="F85" s="206"/>
      <c r="G85" s="206"/>
      <c r="H85" s="206"/>
      <c r="I85" s="206"/>
      <c r="J85" s="206"/>
      <c r="K85" s="172"/>
      <c r="L85" s="206"/>
      <c r="M85" s="206"/>
      <c r="N85" s="204"/>
      <c r="O85" s="172"/>
      <c r="P85" s="172"/>
      <c r="Q85" s="172"/>
      <c r="R85" s="204"/>
      <c r="S85" s="199"/>
      <c r="T85" s="199"/>
    </row>
    <row r="86" spans="1:20" ht="12.75" customHeight="1" x14ac:dyDescent="0.25">
      <c r="A86" s="181"/>
      <c r="B86" s="181"/>
      <c r="C86" s="172"/>
      <c r="D86" s="172"/>
      <c r="E86" s="204"/>
      <c r="F86" s="206"/>
      <c r="G86" s="206"/>
      <c r="H86" s="206"/>
      <c r="I86" s="206"/>
      <c r="J86" s="206"/>
      <c r="K86" s="172"/>
      <c r="L86" s="206"/>
      <c r="M86" s="206"/>
      <c r="N86" s="204"/>
      <c r="O86" s="172"/>
      <c r="P86" s="172"/>
      <c r="Q86" s="172"/>
      <c r="R86" s="204"/>
      <c r="S86" s="199"/>
      <c r="T86" s="199"/>
    </row>
    <row r="87" spans="1:20" ht="12.75" customHeight="1" x14ac:dyDescent="0.25">
      <c r="A87" s="181"/>
      <c r="B87" s="181"/>
      <c r="C87" s="172"/>
      <c r="D87" s="172"/>
      <c r="E87" s="204"/>
      <c r="F87" s="206"/>
      <c r="G87" s="206"/>
      <c r="H87" s="206"/>
      <c r="I87" s="206"/>
      <c r="J87" s="206"/>
      <c r="K87" s="172"/>
      <c r="L87" s="206"/>
      <c r="M87" s="206"/>
      <c r="N87" s="204"/>
      <c r="O87" s="172"/>
      <c r="P87" s="172"/>
      <c r="Q87" s="172"/>
      <c r="R87" s="204"/>
      <c r="S87" s="199"/>
      <c r="T87" s="199"/>
    </row>
    <row r="88" spans="1:20" ht="12.75" customHeight="1" x14ac:dyDescent="0.25">
      <c r="A88" s="181"/>
      <c r="B88" s="181"/>
      <c r="C88" s="172"/>
      <c r="D88" s="172"/>
      <c r="E88" s="204"/>
      <c r="F88" s="206"/>
      <c r="G88" s="206"/>
      <c r="H88" s="206"/>
      <c r="I88" s="206"/>
      <c r="J88" s="206"/>
      <c r="K88" s="172"/>
      <c r="L88" s="206"/>
      <c r="M88" s="206"/>
      <c r="N88" s="204"/>
      <c r="O88" s="172"/>
      <c r="P88" s="172"/>
      <c r="Q88" s="172"/>
      <c r="R88" s="204"/>
      <c r="S88" s="199"/>
      <c r="T88" s="199"/>
    </row>
    <row r="89" spans="1:20" ht="12.75" customHeight="1" x14ac:dyDescent="0.25">
      <c r="A89" s="181"/>
      <c r="B89" s="181"/>
      <c r="C89" s="172"/>
      <c r="D89" s="172"/>
      <c r="E89" s="204"/>
      <c r="F89" s="206"/>
      <c r="G89" s="206"/>
      <c r="H89" s="206"/>
      <c r="I89" s="206"/>
      <c r="J89" s="206"/>
      <c r="K89" s="172"/>
      <c r="L89" s="206"/>
      <c r="M89" s="206"/>
      <c r="N89" s="204"/>
      <c r="O89" s="172"/>
      <c r="P89" s="172"/>
      <c r="Q89" s="172"/>
      <c r="R89" s="204"/>
      <c r="S89" s="199"/>
      <c r="T89" s="199"/>
    </row>
    <row r="90" spans="1:20" ht="12.75" customHeight="1" x14ac:dyDescent="0.25">
      <c r="A90" s="181"/>
      <c r="B90" s="181"/>
      <c r="C90" s="172"/>
      <c r="D90" s="172"/>
      <c r="E90" s="204"/>
      <c r="F90" s="206"/>
      <c r="G90" s="206"/>
      <c r="H90" s="206"/>
      <c r="I90" s="206"/>
      <c r="J90" s="206"/>
      <c r="K90" s="172"/>
      <c r="L90" s="206"/>
      <c r="M90" s="206"/>
      <c r="N90" s="204"/>
      <c r="O90" s="172"/>
      <c r="P90" s="172"/>
      <c r="Q90" s="172"/>
      <c r="R90" s="204"/>
      <c r="S90" s="199"/>
      <c r="T90" s="199"/>
    </row>
    <row r="91" spans="1:20" ht="12.75" customHeight="1" x14ac:dyDescent="0.25">
      <c r="A91" s="181"/>
      <c r="B91" s="181"/>
      <c r="C91" s="172"/>
      <c r="D91" s="172"/>
      <c r="E91" s="204"/>
      <c r="F91" s="206"/>
      <c r="G91" s="206"/>
      <c r="H91" s="206"/>
      <c r="I91" s="206"/>
      <c r="J91" s="206"/>
      <c r="K91" s="172"/>
      <c r="L91" s="206"/>
      <c r="M91" s="206"/>
      <c r="N91" s="204"/>
      <c r="O91" s="172"/>
      <c r="P91" s="172"/>
      <c r="Q91" s="172"/>
      <c r="R91" s="204"/>
      <c r="S91" s="199"/>
      <c r="T91" s="199"/>
    </row>
    <row r="92" spans="1:20" ht="12.75" customHeight="1" x14ac:dyDescent="0.25">
      <c r="A92" s="181"/>
      <c r="B92" s="181"/>
      <c r="C92" s="172"/>
      <c r="D92" s="172"/>
      <c r="E92" s="204"/>
      <c r="F92" s="206"/>
      <c r="G92" s="206"/>
      <c r="H92" s="206"/>
      <c r="I92" s="206"/>
      <c r="J92" s="206"/>
      <c r="K92" s="172"/>
      <c r="L92" s="206"/>
      <c r="M92" s="206"/>
      <c r="N92" s="204"/>
      <c r="O92" s="172"/>
      <c r="P92" s="172"/>
      <c r="Q92" s="172"/>
      <c r="R92" s="204"/>
      <c r="S92" s="199"/>
      <c r="T92" s="199"/>
    </row>
    <row r="93" spans="1:20" ht="12.75" customHeight="1" x14ac:dyDescent="0.25">
      <c r="A93" s="181"/>
      <c r="B93" s="181"/>
      <c r="C93" s="172"/>
      <c r="D93" s="172"/>
      <c r="E93" s="204"/>
      <c r="F93" s="206"/>
      <c r="G93" s="206"/>
      <c r="H93" s="206"/>
      <c r="I93" s="206"/>
      <c r="J93" s="206"/>
      <c r="K93" s="172"/>
      <c r="L93" s="206"/>
      <c r="M93" s="206"/>
      <c r="N93" s="204"/>
      <c r="O93" s="172"/>
      <c r="P93" s="172"/>
      <c r="Q93" s="172"/>
      <c r="R93" s="204"/>
      <c r="S93" s="199"/>
      <c r="T93" s="199"/>
    </row>
    <row r="94" spans="1:20" ht="12.75" customHeight="1" x14ac:dyDescent="0.25">
      <c r="A94" s="181"/>
      <c r="B94" s="181"/>
      <c r="C94" s="172"/>
      <c r="D94" s="172"/>
      <c r="E94" s="204"/>
      <c r="F94" s="206"/>
      <c r="G94" s="206"/>
      <c r="H94" s="206"/>
      <c r="I94" s="206"/>
      <c r="J94" s="206"/>
      <c r="K94" s="172"/>
      <c r="L94" s="206"/>
      <c r="M94" s="206"/>
      <c r="N94" s="204"/>
      <c r="O94" s="172"/>
      <c r="P94" s="172"/>
      <c r="Q94" s="172"/>
      <c r="R94" s="204"/>
      <c r="S94" s="199"/>
      <c r="T94" s="199"/>
    </row>
    <row r="95" spans="1:20" ht="12.75" customHeight="1" x14ac:dyDescent="0.25">
      <c r="A95" s="181"/>
      <c r="B95" s="181"/>
      <c r="C95" s="172"/>
      <c r="D95" s="172"/>
      <c r="E95" s="204"/>
      <c r="F95" s="206"/>
      <c r="G95" s="206"/>
      <c r="H95" s="206"/>
      <c r="I95" s="206"/>
      <c r="J95" s="206"/>
      <c r="K95" s="172"/>
      <c r="L95" s="206"/>
      <c r="M95" s="206"/>
      <c r="N95" s="204"/>
      <c r="O95" s="172"/>
      <c r="P95" s="172"/>
      <c r="Q95" s="172"/>
      <c r="R95" s="204"/>
      <c r="S95" s="199"/>
      <c r="T95" s="199"/>
    </row>
    <row r="96" spans="1:20" ht="12.75" customHeight="1" x14ac:dyDescent="0.25">
      <c r="A96" s="181"/>
      <c r="B96" s="181"/>
      <c r="C96" s="172"/>
      <c r="D96" s="172"/>
      <c r="E96" s="204"/>
      <c r="F96" s="206"/>
      <c r="G96" s="206"/>
      <c r="H96" s="206"/>
      <c r="I96" s="206"/>
      <c r="J96" s="206"/>
      <c r="K96" s="172"/>
      <c r="L96" s="206"/>
      <c r="M96" s="206"/>
      <c r="N96" s="204"/>
      <c r="O96" s="172"/>
      <c r="P96" s="172"/>
      <c r="Q96" s="172"/>
      <c r="R96" s="204"/>
      <c r="S96" s="199"/>
      <c r="T96" s="199"/>
    </row>
    <row r="97" spans="1:20" ht="12.75" customHeight="1" x14ac:dyDescent="0.25">
      <c r="A97" s="181"/>
      <c r="B97" s="181"/>
      <c r="C97" s="172"/>
      <c r="D97" s="172"/>
      <c r="E97" s="204"/>
      <c r="F97" s="206"/>
      <c r="G97" s="206"/>
      <c r="H97" s="206"/>
      <c r="I97" s="206"/>
      <c r="J97" s="206"/>
      <c r="K97" s="172"/>
      <c r="L97" s="206"/>
      <c r="M97" s="206"/>
      <c r="N97" s="204"/>
      <c r="O97" s="172"/>
      <c r="P97" s="172"/>
      <c r="Q97" s="172"/>
      <c r="R97" s="204"/>
      <c r="S97" s="199"/>
      <c r="T97" s="199"/>
    </row>
    <row r="98" spans="1:20" ht="12.75" customHeight="1" x14ac:dyDescent="0.25">
      <c r="A98" s="181"/>
      <c r="B98" s="181"/>
      <c r="C98" s="172"/>
      <c r="D98" s="172"/>
      <c r="E98" s="204"/>
      <c r="F98" s="206"/>
      <c r="G98" s="206"/>
      <c r="H98" s="206"/>
      <c r="I98" s="206"/>
      <c r="J98" s="206"/>
      <c r="K98" s="172"/>
      <c r="L98" s="206"/>
      <c r="M98" s="206"/>
      <c r="N98" s="204"/>
      <c r="O98" s="172"/>
      <c r="P98" s="172"/>
      <c r="Q98" s="172"/>
      <c r="R98" s="204"/>
      <c r="S98" s="199"/>
      <c r="T98" s="199"/>
    </row>
    <row r="99" spans="1:20" ht="12.75" customHeight="1" x14ac:dyDescent="0.25">
      <c r="A99" s="181"/>
      <c r="B99" s="181"/>
      <c r="C99" s="172"/>
      <c r="D99" s="172"/>
      <c r="E99" s="204"/>
      <c r="F99" s="206"/>
      <c r="G99" s="206"/>
      <c r="H99" s="206"/>
      <c r="I99" s="206"/>
      <c r="J99" s="206"/>
      <c r="K99" s="172"/>
      <c r="L99" s="206"/>
      <c r="M99" s="206"/>
      <c r="N99" s="204"/>
      <c r="O99" s="172"/>
      <c r="P99" s="172"/>
      <c r="Q99" s="172"/>
      <c r="R99" s="204"/>
      <c r="S99" s="199"/>
      <c r="T99" s="199"/>
    </row>
    <row r="100" spans="1:20" ht="12.75" customHeight="1" x14ac:dyDescent="0.25">
      <c r="A100" s="181"/>
      <c r="B100" s="181"/>
      <c r="C100" s="172"/>
      <c r="D100" s="172"/>
      <c r="E100" s="204"/>
      <c r="F100" s="206"/>
      <c r="G100" s="206"/>
      <c r="H100" s="206"/>
      <c r="I100" s="206"/>
      <c r="J100" s="206"/>
      <c r="K100" s="172"/>
      <c r="L100" s="206"/>
      <c r="M100" s="206"/>
      <c r="N100" s="204"/>
      <c r="O100" s="172"/>
      <c r="P100" s="172"/>
      <c r="Q100" s="172"/>
      <c r="R100" s="204"/>
      <c r="S100" s="199"/>
      <c r="T100" s="199"/>
    </row>
    <row r="101" spans="1:20" ht="12.75" customHeight="1" x14ac:dyDescent="0.25">
      <c r="A101" s="181"/>
      <c r="B101" s="181"/>
      <c r="C101" s="172"/>
      <c r="D101" s="172"/>
      <c r="E101" s="204"/>
      <c r="F101" s="206"/>
      <c r="G101" s="206"/>
      <c r="H101" s="206"/>
      <c r="I101" s="206"/>
      <c r="J101" s="206"/>
      <c r="K101" s="172"/>
      <c r="L101" s="206"/>
      <c r="M101" s="206"/>
      <c r="N101" s="204"/>
      <c r="O101" s="172"/>
      <c r="P101" s="172"/>
      <c r="Q101" s="172"/>
      <c r="R101" s="204"/>
      <c r="S101" s="199"/>
      <c r="T101" s="199"/>
    </row>
    <row r="102" spans="1:20" ht="12.75" customHeight="1" x14ac:dyDescent="0.25">
      <c r="A102" s="181"/>
      <c r="B102" s="181"/>
      <c r="C102" s="172"/>
      <c r="D102" s="172"/>
      <c r="E102" s="204"/>
      <c r="F102" s="206"/>
      <c r="G102" s="206"/>
      <c r="H102" s="206"/>
      <c r="I102" s="206"/>
      <c r="J102" s="206"/>
      <c r="K102" s="172"/>
      <c r="L102" s="206"/>
      <c r="M102" s="206"/>
      <c r="N102" s="204"/>
      <c r="O102" s="172"/>
      <c r="P102" s="172"/>
      <c r="Q102" s="172"/>
      <c r="R102" s="204"/>
      <c r="S102" s="199"/>
      <c r="T102" s="199"/>
    </row>
    <row r="103" spans="1:20" ht="12.75" customHeight="1" x14ac:dyDescent="0.25">
      <c r="A103" s="181"/>
      <c r="B103" s="181"/>
      <c r="C103" s="172"/>
      <c r="D103" s="172"/>
      <c r="E103" s="204"/>
      <c r="F103" s="206"/>
      <c r="G103" s="206"/>
      <c r="H103" s="206"/>
      <c r="I103" s="206"/>
      <c r="J103" s="206"/>
      <c r="K103" s="172"/>
      <c r="L103" s="206"/>
      <c r="M103" s="206"/>
      <c r="N103" s="204"/>
      <c r="O103" s="172"/>
      <c r="P103" s="172"/>
      <c r="Q103" s="172"/>
      <c r="R103" s="204"/>
      <c r="S103" s="199"/>
      <c r="T103" s="199"/>
    </row>
    <row r="104" spans="1:20" ht="12.75" customHeight="1" x14ac:dyDescent="0.25">
      <c r="A104" s="181"/>
      <c r="B104" s="181"/>
      <c r="C104" s="172"/>
      <c r="D104" s="172"/>
      <c r="E104" s="204"/>
      <c r="F104" s="206"/>
      <c r="G104" s="206"/>
      <c r="H104" s="206"/>
      <c r="I104" s="206"/>
      <c r="J104" s="206"/>
      <c r="K104" s="172"/>
      <c r="L104" s="206"/>
      <c r="M104" s="206"/>
      <c r="N104" s="204"/>
      <c r="O104" s="172"/>
      <c r="P104" s="172"/>
      <c r="Q104" s="172"/>
      <c r="R104" s="204"/>
      <c r="S104" s="199"/>
      <c r="T104" s="199"/>
    </row>
    <row r="105" spans="1:20" ht="12.75" customHeight="1" x14ac:dyDescent="0.25">
      <c r="A105" s="181"/>
      <c r="B105" s="181"/>
      <c r="C105" s="172"/>
      <c r="D105" s="172"/>
      <c r="E105" s="204"/>
      <c r="F105" s="206"/>
      <c r="G105" s="206"/>
      <c r="H105" s="206"/>
      <c r="I105" s="206"/>
      <c r="J105" s="206"/>
      <c r="K105" s="172"/>
      <c r="L105" s="206"/>
      <c r="M105" s="206"/>
      <c r="N105" s="204"/>
      <c r="O105" s="172"/>
      <c r="P105" s="172"/>
      <c r="Q105" s="172"/>
      <c r="R105" s="204"/>
      <c r="S105" s="199"/>
      <c r="T105" s="199"/>
    </row>
    <row r="106" spans="1:20" ht="12.75" customHeight="1" x14ac:dyDescent="0.25">
      <c r="A106" s="181"/>
      <c r="B106" s="181"/>
      <c r="C106" s="172"/>
      <c r="D106" s="172"/>
      <c r="E106" s="204"/>
      <c r="F106" s="206"/>
      <c r="G106" s="206"/>
      <c r="H106" s="206"/>
      <c r="I106" s="206"/>
      <c r="J106" s="206"/>
      <c r="K106" s="172"/>
      <c r="L106" s="206"/>
      <c r="M106" s="206"/>
      <c r="N106" s="204"/>
      <c r="O106" s="172"/>
      <c r="P106" s="172"/>
      <c r="Q106" s="172"/>
      <c r="R106" s="204"/>
      <c r="S106" s="199"/>
      <c r="T106" s="199"/>
    </row>
    <row r="107" spans="1:20" ht="12.75" customHeight="1" x14ac:dyDescent="0.25">
      <c r="A107" s="181"/>
      <c r="B107" s="181"/>
      <c r="C107" s="172"/>
      <c r="D107" s="172"/>
      <c r="E107" s="204"/>
      <c r="F107" s="206"/>
      <c r="G107" s="206"/>
      <c r="H107" s="206"/>
      <c r="I107" s="206"/>
      <c r="J107" s="206"/>
      <c r="K107" s="172"/>
      <c r="L107" s="206"/>
      <c r="M107" s="206"/>
      <c r="N107" s="204"/>
      <c r="O107" s="172"/>
      <c r="P107" s="172"/>
      <c r="Q107" s="172"/>
      <c r="R107" s="204"/>
      <c r="S107" s="199"/>
      <c r="T107" s="199"/>
    </row>
    <row r="108" spans="1:20" ht="12.75" customHeight="1" x14ac:dyDescent="0.25">
      <c r="A108" s="181"/>
      <c r="B108" s="181"/>
      <c r="C108" s="172"/>
      <c r="D108" s="172"/>
      <c r="E108" s="204"/>
      <c r="F108" s="206"/>
      <c r="G108" s="206"/>
      <c r="H108" s="206"/>
      <c r="I108" s="206"/>
      <c r="J108" s="206"/>
      <c r="K108" s="172"/>
      <c r="L108" s="206"/>
      <c r="M108" s="206"/>
      <c r="N108" s="204"/>
      <c r="O108" s="172"/>
      <c r="P108" s="172"/>
      <c r="Q108" s="172"/>
      <c r="R108" s="204"/>
      <c r="S108" s="199"/>
      <c r="T108" s="199"/>
    </row>
    <row r="109" spans="1:20" ht="12.75" customHeight="1" x14ac:dyDescent="0.25">
      <c r="A109" s="181"/>
      <c r="B109" s="181"/>
      <c r="C109" s="172"/>
      <c r="D109" s="172"/>
      <c r="E109" s="204"/>
      <c r="F109" s="206"/>
      <c r="G109" s="206"/>
      <c r="H109" s="206"/>
      <c r="I109" s="206"/>
      <c r="J109" s="206"/>
      <c r="K109" s="172"/>
      <c r="L109" s="206"/>
      <c r="M109" s="206"/>
      <c r="N109" s="204"/>
      <c r="O109" s="172"/>
      <c r="P109" s="172"/>
      <c r="Q109" s="172"/>
      <c r="R109" s="204"/>
      <c r="S109" s="199"/>
      <c r="T109" s="199"/>
    </row>
    <row r="110" spans="1:20" ht="12.75" customHeight="1" x14ac:dyDescent="0.25">
      <c r="A110" s="181"/>
      <c r="B110" s="181"/>
      <c r="C110" s="172"/>
      <c r="D110" s="172"/>
      <c r="E110" s="204"/>
      <c r="F110" s="206"/>
      <c r="G110" s="206"/>
      <c r="H110" s="206"/>
      <c r="I110" s="206"/>
      <c r="J110" s="206"/>
      <c r="K110" s="172"/>
      <c r="L110" s="206"/>
      <c r="M110" s="206"/>
      <c r="N110" s="204"/>
      <c r="O110" s="172"/>
      <c r="P110" s="172"/>
      <c r="Q110" s="172"/>
      <c r="R110" s="204"/>
      <c r="S110" s="199"/>
      <c r="T110" s="199"/>
    </row>
    <row r="111" spans="1:20" ht="12.75" customHeight="1" x14ac:dyDescent="0.25">
      <c r="A111" s="181"/>
      <c r="B111" s="181"/>
      <c r="C111" s="172"/>
      <c r="D111" s="172"/>
      <c r="E111" s="204"/>
      <c r="F111" s="206"/>
      <c r="G111" s="206"/>
      <c r="H111" s="206"/>
      <c r="I111" s="206"/>
      <c r="J111" s="206"/>
      <c r="K111" s="172"/>
      <c r="L111" s="206"/>
      <c r="M111" s="206"/>
      <c r="N111" s="204"/>
      <c r="O111" s="172"/>
      <c r="P111" s="172"/>
      <c r="Q111" s="172"/>
      <c r="R111" s="204"/>
      <c r="S111" s="199"/>
      <c r="T111" s="199"/>
    </row>
    <row r="112" spans="1:20" ht="12.75" customHeight="1" x14ac:dyDescent="0.25">
      <c r="A112" s="181"/>
      <c r="B112" s="181"/>
      <c r="C112" s="172"/>
      <c r="D112" s="172"/>
      <c r="E112" s="204"/>
      <c r="F112" s="206"/>
      <c r="G112" s="206"/>
      <c r="H112" s="206"/>
      <c r="I112" s="206"/>
      <c r="J112" s="206"/>
      <c r="K112" s="172"/>
      <c r="L112" s="206"/>
      <c r="M112" s="206"/>
      <c r="N112" s="204"/>
      <c r="O112" s="172"/>
      <c r="P112" s="172"/>
      <c r="Q112" s="172"/>
      <c r="R112" s="204"/>
      <c r="S112" s="199"/>
      <c r="T112" s="199"/>
    </row>
    <row r="113" spans="1:20" ht="12.75" customHeight="1" x14ac:dyDescent="0.25">
      <c r="A113" s="181"/>
      <c r="B113" s="181"/>
      <c r="C113" s="172"/>
      <c r="D113" s="172"/>
      <c r="E113" s="204"/>
      <c r="F113" s="206"/>
      <c r="G113" s="206"/>
      <c r="H113" s="206"/>
      <c r="I113" s="206"/>
      <c r="J113" s="206"/>
      <c r="K113" s="172"/>
      <c r="L113" s="206"/>
      <c r="M113" s="206"/>
      <c r="N113" s="204"/>
      <c r="O113" s="172"/>
      <c r="P113" s="172"/>
      <c r="Q113" s="172"/>
      <c r="R113" s="204"/>
      <c r="S113" s="199"/>
      <c r="T113" s="199"/>
    </row>
    <row r="114" spans="1:20" ht="12.75" customHeight="1" x14ac:dyDescent="0.25">
      <c r="A114" s="181"/>
      <c r="B114" s="181"/>
      <c r="C114" s="172"/>
      <c r="D114" s="172"/>
      <c r="E114" s="204"/>
      <c r="F114" s="206"/>
      <c r="G114" s="206"/>
      <c r="H114" s="206"/>
      <c r="I114" s="206"/>
      <c r="J114" s="206"/>
      <c r="K114" s="172"/>
      <c r="L114" s="206"/>
      <c r="M114" s="206"/>
      <c r="N114" s="204"/>
      <c r="O114" s="172"/>
      <c r="P114" s="172"/>
      <c r="Q114" s="172"/>
      <c r="R114" s="204"/>
      <c r="S114" s="199"/>
      <c r="T114" s="199"/>
    </row>
    <row r="115" spans="1:20" ht="12.75" customHeight="1" x14ac:dyDescent="0.25">
      <c r="A115" s="181"/>
      <c r="B115" s="181"/>
      <c r="C115" s="172"/>
      <c r="D115" s="172"/>
      <c r="E115" s="204"/>
      <c r="F115" s="206"/>
      <c r="G115" s="206"/>
      <c r="H115" s="206"/>
      <c r="I115" s="206"/>
      <c r="J115" s="206"/>
      <c r="K115" s="172"/>
      <c r="L115" s="206"/>
      <c r="M115" s="206"/>
      <c r="N115" s="204"/>
      <c r="O115" s="172"/>
      <c r="P115" s="172"/>
      <c r="Q115" s="172"/>
      <c r="R115" s="204"/>
      <c r="S115" s="199"/>
      <c r="T115" s="199"/>
    </row>
    <row r="116" spans="1:20" ht="12.75" customHeight="1" x14ac:dyDescent="0.25">
      <c r="A116" s="181"/>
      <c r="B116" s="181"/>
      <c r="C116" s="172"/>
      <c r="D116" s="172"/>
      <c r="E116" s="204"/>
      <c r="F116" s="206"/>
      <c r="G116" s="206"/>
      <c r="H116" s="206"/>
      <c r="I116" s="206"/>
      <c r="J116" s="206"/>
      <c r="K116" s="172"/>
      <c r="L116" s="206"/>
      <c r="M116" s="206"/>
      <c r="N116" s="204"/>
      <c r="O116" s="172"/>
      <c r="P116" s="172"/>
      <c r="Q116" s="172"/>
      <c r="R116" s="204"/>
      <c r="S116" s="199"/>
      <c r="T116" s="199"/>
    </row>
    <row r="117" spans="1:20" ht="12.75" customHeight="1" x14ac:dyDescent="0.25">
      <c r="A117" s="181"/>
      <c r="B117" s="181"/>
      <c r="C117" s="172"/>
      <c r="D117" s="172"/>
      <c r="E117" s="204"/>
      <c r="F117" s="206"/>
      <c r="G117" s="206"/>
      <c r="H117" s="206"/>
      <c r="I117" s="206"/>
      <c r="J117" s="206"/>
      <c r="K117" s="172"/>
      <c r="L117" s="206"/>
      <c r="M117" s="206"/>
      <c r="N117" s="204"/>
      <c r="O117" s="172"/>
      <c r="P117" s="172"/>
      <c r="Q117" s="172"/>
      <c r="R117" s="204"/>
      <c r="S117" s="199"/>
      <c r="T117" s="199"/>
    </row>
    <row r="118" spans="1:20" ht="12.75" customHeight="1" x14ac:dyDescent="0.25">
      <c r="A118" s="181"/>
      <c r="B118" s="181"/>
      <c r="C118" s="172"/>
      <c r="D118" s="172"/>
      <c r="E118" s="204"/>
      <c r="F118" s="206"/>
      <c r="G118" s="206"/>
      <c r="H118" s="206"/>
      <c r="I118" s="206"/>
      <c r="J118" s="206"/>
      <c r="K118" s="172"/>
      <c r="L118" s="206"/>
      <c r="M118" s="206"/>
      <c r="N118" s="204"/>
      <c r="O118" s="172"/>
      <c r="P118" s="172"/>
      <c r="Q118" s="172"/>
      <c r="R118" s="204"/>
      <c r="S118" s="199"/>
      <c r="T118" s="199"/>
    </row>
    <row r="119" spans="1:20" ht="12.75" customHeight="1" x14ac:dyDescent="0.25">
      <c r="A119" s="181"/>
      <c r="B119" s="181"/>
      <c r="C119" s="172"/>
      <c r="D119" s="172"/>
      <c r="E119" s="204"/>
      <c r="F119" s="206"/>
      <c r="G119" s="206"/>
      <c r="H119" s="206"/>
      <c r="I119" s="206"/>
      <c r="J119" s="206"/>
      <c r="K119" s="172"/>
      <c r="L119" s="206"/>
      <c r="M119" s="206"/>
      <c r="N119" s="204"/>
      <c r="O119" s="172"/>
      <c r="P119" s="172"/>
      <c r="Q119" s="172"/>
      <c r="R119" s="204"/>
      <c r="S119" s="199"/>
      <c r="T119" s="199"/>
    </row>
    <row r="120" spans="1:20" ht="12.75" customHeight="1" x14ac:dyDescent="0.25">
      <c r="A120" s="181"/>
      <c r="B120" s="181"/>
      <c r="C120" s="172"/>
      <c r="D120" s="172"/>
      <c r="E120" s="204"/>
      <c r="F120" s="206"/>
      <c r="G120" s="206"/>
      <c r="H120" s="206"/>
      <c r="I120" s="206"/>
      <c r="J120" s="206"/>
      <c r="K120" s="172"/>
      <c r="L120" s="206"/>
      <c r="M120" s="206"/>
      <c r="N120" s="204"/>
      <c r="O120" s="172"/>
      <c r="P120" s="172"/>
      <c r="Q120" s="172"/>
      <c r="R120" s="204"/>
      <c r="S120" s="199"/>
      <c r="T120" s="199"/>
    </row>
    <row r="121" spans="1:20" ht="12.75" customHeight="1" x14ac:dyDescent="0.25">
      <c r="A121" s="181"/>
      <c r="B121" s="181"/>
      <c r="C121" s="172"/>
      <c r="D121" s="172"/>
      <c r="E121" s="204"/>
      <c r="F121" s="206"/>
      <c r="G121" s="206"/>
      <c r="H121" s="206"/>
      <c r="I121" s="206"/>
      <c r="J121" s="206"/>
      <c r="K121" s="172"/>
      <c r="L121" s="206"/>
      <c r="M121" s="206"/>
      <c r="N121" s="204"/>
      <c r="O121" s="172"/>
      <c r="P121" s="172"/>
      <c r="Q121" s="172"/>
      <c r="R121" s="204"/>
      <c r="S121" s="199"/>
      <c r="T121" s="199"/>
    </row>
    <row r="122" spans="1:20" ht="12.75" customHeight="1" x14ac:dyDescent="0.25">
      <c r="A122" s="181"/>
      <c r="B122" s="181"/>
      <c r="C122" s="172"/>
      <c r="D122" s="172"/>
      <c r="E122" s="204"/>
      <c r="F122" s="206"/>
      <c r="G122" s="206"/>
      <c r="H122" s="206"/>
      <c r="I122" s="206"/>
      <c r="J122" s="206"/>
      <c r="K122" s="172"/>
      <c r="L122" s="206"/>
      <c r="M122" s="206"/>
      <c r="N122" s="204"/>
      <c r="O122" s="172"/>
      <c r="P122" s="172"/>
      <c r="Q122" s="172"/>
      <c r="R122" s="204"/>
      <c r="S122" s="199"/>
      <c r="T122" s="199"/>
    </row>
    <row r="123" spans="1:20" ht="12.75" customHeight="1" x14ac:dyDescent="0.25">
      <c r="A123" s="181"/>
      <c r="B123" s="181"/>
      <c r="C123" s="172"/>
      <c r="D123" s="172"/>
      <c r="E123" s="204"/>
      <c r="F123" s="206"/>
      <c r="G123" s="206"/>
      <c r="H123" s="206"/>
      <c r="I123" s="206"/>
      <c r="J123" s="206"/>
      <c r="K123" s="172"/>
      <c r="L123" s="206"/>
      <c r="M123" s="206"/>
      <c r="N123" s="204"/>
      <c r="O123" s="172"/>
      <c r="P123" s="172"/>
      <c r="Q123" s="172"/>
      <c r="R123" s="204"/>
      <c r="S123" s="199"/>
      <c r="T123" s="199"/>
    </row>
    <row r="124" spans="1:20" ht="12.75" customHeight="1" x14ac:dyDescent="0.25">
      <c r="A124" s="181"/>
      <c r="B124" s="181"/>
      <c r="C124" s="172"/>
      <c r="D124" s="172"/>
      <c r="E124" s="204"/>
      <c r="F124" s="206"/>
      <c r="G124" s="206"/>
      <c r="H124" s="206"/>
      <c r="I124" s="206"/>
      <c r="J124" s="206"/>
      <c r="K124" s="172"/>
      <c r="L124" s="206"/>
      <c r="M124" s="206"/>
      <c r="N124" s="204"/>
      <c r="O124" s="172"/>
      <c r="P124" s="172"/>
      <c r="Q124" s="172"/>
      <c r="R124" s="204"/>
      <c r="S124" s="199"/>
      <c r="T124" s="199"/>
    </row>
    <row r="125" spans="1:20" ht="12.75" customHeight="1" x14ac:dyDescent="0.25">
      <c r="A125" s="181"/>
      <c r="B125" s="181"/>
      <c r="C125" s="172"/>
      <c r="D125" s="172"/>
      <c r="E125" s="204"/>
      <c r="F125" s="206"/>
      <c r="G125" s="206"/>
      <c r="H125" s="206"/>
      <c r="I125" s="206"/>
      <c r="J125" s="206"/>
      <c r="K125" s="172"/>
      <c r="L125" s="206"/>
      <c r="M125" s="206"/>
      <c r="N125" s="204"/>
      <c r="O125" s="172"/>
      <c r="P125" s="172"/>
      <c r="Q125" s="172"/>
      <c r="R125" s="204"/>
      <c r="S125" s="199"/>
      <c r="T125" s="199"/>
    </row>
    <row r="126" spans="1:20" ht="12.75" customHeight="1" x14ac:dyDescent="0.25">
      <c r="A126" s="181"/>
      <c r="B126" s="181"/>
      <c r="C126" s="172"/>
      <c r="D126" s="172"/>
      <c r="E126" s="204"/>
      <c r="F126" s="206"/>
      <c r="G126" s="206"/>
      <c r="H126" s="206"/>
      <c r="I126" s="206"/>
      <c r="J126" s="206"/>
      <c r="K126" s="172"/>
      <c r="L126" s="206"/>
      <c r="M126" s="206"/>
      <c r="N126" s="204"/>
      <c r="O126" s="172"/>
      <c r="P126" s="172"/>
      <c r="Q126" s="172"/>
      <c r="R126" s="204"/>
      <c r="S126" s="199"/>
      <c r="T126" s="199"/>
    </row>
    <row r="127" spans="1:20" ht="12.75" customHeight="1" x14ac:dyDescent="0.25">
      <c r="A127" s="181"/>
      <c r="B127" s="181"/>
      <c r="C127" s="172"/>
      <c r="D127" s="172"/>
      <c r="E127" s="204"/>
      <c r="F127" s="206"/>
      <c r="G127" s="206"/>
      <c r="H127" s="206"/>
      <c r="I127" s="206"/>
      <c r="J127" s="206"/>
      <c r="K127" s="172"/>
      <c r="L127" s="206"/>
      <c r="M127" s="206"/>
      <c r="N127" s="204"/>
      <c r="O127" s="172"/>
      <c r="P127" s="172"/>
      <c r="Q127" s="172"/>
      <c r="R127" s="204"/>
      <c r="S127" s="199"/>
      <c r="T127" s="199"/>
    </row>
    <row r="128" spans="1:20" ht="12.75" customHeight="1" x14ac:dyDescent="0.25">
      <c r="A128" s="181"/>
      <c r="B128" s="181"/>
      <c r="C128" s="172"/>
      <c r="D128" s="172"/>
      <c r="E128" s="204"/>
      <c r="F128" s="206"/>
      <c r="G128" s="206"/>
      <c r="H128" s="206"/>
      <c r="I128" s="206"/>
      <c r="J128" s="206"/>
      <c r="K128" s="172"/>
      <c r="L128" s="206"/>
      <c r="M128" s="206"/>
      <c r="N128" s="204"/>
      <c r="O128" s="172"/>
      <c r="P128" s="172"/>
      <c r="Q128" s="172"/>
      <c r="R128" s="204"/>
      <c r="S128" s="199"/>
      <c r="T128" s="199"/>
    </row>
    <row r="129" spans="1:20" ht="12.75" customHeight="1" x14ac:dyDescent="0.25">
      <c r="A129" s="181"/>
      <c r="B129" s="181"/>
      <c r="C129" s="172"/>
      <c r="D129" s="172"/>
      <c r="E129" s="204"/>
      <c r="F129" s="206"/>
      <c r="G129" s="206"/>
      <c r="H129" s="206"/>
      <c r="I129" s="206"/>
      <c r="J129" s="206"/>
      <c r="K129" s="172"/>
      <c r="L129" s="206"/>
      <c r="M129" s="206"/>
      <c r="N129" s="204"/>
      <c r="O129" s="172"/>
      <c r="P129" s="172"/>
      <c r="Q129" s="172"/>
      <c r="R129" s="204"/>
      <c r="S129" s="199"/>
      <c r="T129" s="199"/>
    </row>
    <row r="130" spans="1:20" ht="12.75" customHeight="1" x14ac:dyDescent="0.25">
      <c r="A130" s="181"/>
      <c r="B130" s="181"/>
      <c r="C130" s="172"/>
      <c r="D130" s="172"/>
      <c r="E130" s="204"/>
      <c r="F130" s="206"/>
      <c r="G130" s="206"/>
      <c r="H130" s="206"/>
      <c r="I130" s="206"/>
      <c r="J130" s="206"/>
      <c r="K130" s="172"/>
      <c r="L130" s="206"/>
      <c r="M130" s="206"/>
      <c r="N130" s="204"/>
      <c r="O130" s="172"/>
      <c r="P130" s="172"/>
      <c r="Q130" s="172"/>
      <c r="R130" s="204"/>
      <c r="S130" s="199"/>
      <c r="T130" s="199"/>
    </row>
    <row r="131" spans="1:20" ht="12.75" customHeight="1" x14ac:dyDescent="0.25">
      <c r="A131" s="181"/>
      <c r="B131" s="181"/>
      <c r="C131" s="172"/>
      <c r="D131" s="172"/>
      <c r="E131" s="204"/>
      <c r="F131" s="206"/>
      <c r="G131" s="206"/>
      <c r="H131" s="206"/>
      <c r="I131" s="206"/>
      <c r="J131" s="206"/>
      <c r="K131" s="172"/>
      <c r="L131" s="206"/>
      <c r="M131" s="206"/>
      <c r="N131" s="204"/>
      <c r="O131" s="172"/>
      <c r="P131" s="172"/>
      <c r="Q131" s="172"/>
      <c r="R131" s="204"/>
      <c r="S131" s="199"/>
      <c r="T131" s="199"/>
    </row>
    <row r="132" spans="1:20" ht="12.75" customHeight="1" x14ac:dyDescent="0.25">
      <c r="A132" s="181"/>
      <c r="B132" s="181"/>
      <c r="C132" s="172"/>
      <c r="D132" s="172"/>
      <c r="E132" s="204"/>
      <c r="F132" s="206"/>
      <c r="G132" s="206"/>
      <c r="H132" s="206"/>
      <c r="I132" s="206"/>
      <c r="J132" s="206"/>
      <c r="K132" s="172"/>
      <c r="L132" s="206"/>
      <c r="M132" s="206"/>
      <c r="N132" s="204"/>
      <c r="O132" s="172"/>
      <c r="P132" s="172"/>
      <c r="Q132" s="172"/>
      <c r="R132" s="204"/>
      <c r="S132" s="199"/>
      <c r="T132" s="199"/>
    </row>
    <row r="133" spans="1:20" ht="12.75" customHeight="1" x14ac:dyDescent="0.25">
      <c r="A133" s="181"/>
      <c r="B133" s="181"/>
      <c r="C133" s="172"/>
      <c r="D133" s="172"/>
      <c r="E133" s="204"/>
      <c r="F133" s="206"/>
      <c r="G133" s="206"/>
      <c r="H133" s="206"/>
      <c r="I133" s="206"/>
      <c r="J133" s="206"/>
      <c r="K133" s="172"/>
      <c r="L133" s="206"/>
      <c r="M133" s="206"/>
      <c r="N133" s="204"/>
      <c r="O133" s="172"/>
      <c r="P133" s="172"/>
      <c r="Q133" s="172"/>
      <c r="R133" s="204"/>
      <c r="S133" s="199"/>
      <c r="T133" s="199"/>
    </row>
    <row r="134" spans="1:20" ht="12.75" customHeight="1" x14ac:dyDescent="0.25">
      <c r="A134" s="181"/>
      <c r="B134" s="181"/>
      <c r="C134" s="172"/>
      <c r="D134" s="172"/>
      <c r="E134" s="204"/>
      <c r="F134" s="206"/>
      <c r="G134" s="206"/>
      <c r="H134" s="206"/>
      <c r="I134" s="206"/>
      <c r="J134" s="206"/>
      <c r="K134" s="172"/>
      <c r="L134" s="206"/>
      <c r="M134" s="206"/>
      <c r="N134" s="204"/>
      <c r="O134" s="172"/>
      <c r="P134" s="172"/>
      <c r="Q134" s="172"/>
      <c r="R134" s="204"/>
      <c r="S134" s="199"/>
      <c r="T134" s="199"/>
    </row>
    <row r="135" spans="1:20" ht="12.75" customHeight="1" x14ac:dyDescent="0.25">
      <c r="A135" s="181"/>
      <c r="B135" s="181"/>
      <c r="C135" s="172"/>
      <c r="D135" s="172"/>
      <c r="E135" s="204"/>
      <c r="F135" s="206"/>
      <c r="G135" s="206"/>
      <c r="H135" s="206"/>
      <c r="I135" s="206"/>
      <c r="J135" s="206"/>
      <c r="K135" s="172"/>
      <c r="L135" s="206"/>
      <c r="M135" s="206"/>
      <c r="N135" s="204"/>
      <c r="O135" s="172"/>
      <c r="P135" s="172"/>
      <c r="Q135" s="172"/>
      <c r="R135" s="204"/>
      <c r="S135" s="199"/>
      <c r="T135" s="199"/>
    </row>
    <row r="136" spans="1:20" ht="12.75" customHeight="1" x14ac:dyDescent="0.25">
      <c r="A136" s="181"/>
      <c r="B136" s="181"/>
      <c r="C136" s="172"/>
      <c r="D136" s="172"/>
      <c r="E136" s="204"/>
      <c r="F136" s="206"/>
      <c r="G136" s="206"/>
      <c r="H136" s="206"/>
      <c r="I136" s="206"/>
      <c r="J136" s="206"/>
      <c r="K136" s="172"/>
      <c r="L136" s="206"/>
      <c r="M136" s="206"/>
      <c r="N136" s="204"/>
      <c r="O136" s="172"/>
      <c r="P136" s="172"/>
      <c r="Q136" s="172"/>
      <c r="R136" s="204"/>
      <c r="S136" s="199"/>
      <c r="T136" s="199"/>
    </row>
    <row r="137" spans="1:20" ht="12.75" customHeight="1" x14ac:dyDescent="0.25">
      <c r="A137" s="181"/>
      <c r="B137" s="181"/>
      <c r="C137" s="172"/>
      <c r="D137" s="172"/>
      <c r="E137" s="204"/>
      <c r="F137" s="206"/>
      <c r="G137" s="206"/>
      <c r="H137" s="206"/>
      <c r="I137" s="206"/>
      <c r="J137" s="206"/>
      <c r="K137" s="172"/>
      <c r="L137" s="206"/>
      <c r="M137" s="206"/>
      <c r="N137" s="204"/>
      <c r="O137" s="172"/>
      <c r="P137" s="172"/>
      <c r="Q137" s="172"/>
      <c r="R137" s="204"/>
      <c r="S137" s="199"/>
      <c r="T137" s="199"/>
    </row>
    <row r="138" spans="1:20" ht="12.75" customHeight="1" x14ac:dyDescent="0.25">
      <c r="A138" s="181"/>
      <c r="B138" s="181"/>
      <c r="C138" s="172"/>
      <c r="D138" s="172"/>
      <c r="E138" s="204"/>
      <c r="F138" s="206"/>
      <c r="G138" s="206"/>
      <c r="H138" s="206"/>
      <c r="I138" s="206"/>
      <c r="J138" s="206"/>
      <c r="K138" s="172"/>
      <c r="L138" s="206"/>
      <c r="M138" s="206"/>
      <c r="N138" s="204"/>
      <c r="O138" s="172"/>
      <c r="P138" s="172"/>
      <c r="Q138" s="172"/>
      <c r="R138" s="204"/>
      <c r="S138" s="199"/>
      <c r="T138" s="199"/>
    </row>
    <row r="139" spans="1:20" ht="12.75" customHeight="1" x14ac:dyDescent="0.25">
      <c r="A139" s="181"/>
      <c r="B139" s="181"/>
      <c r="C139" s="172"/>
      <c r="D139" s="172"/>
      <c r="E139" s="204"/>
      <c r="F139" s="206"/>
      <c r="G139" s="206"/>
      <c r="H139" s="206"/>
      <c r="I139" s="206"/>
      <c r="J139" s="206"/>
      <c r="K139" s="172"/>
      <c r="L139" s="206"/>
      <c r="M139" s="206"/>
      <c r="N139" s="204"/>
      <c r="O139" s="172"/>
      <c r="P139" s="172"/>
      <c r="Q139" s="172"/>
      <c r="R139" s="204"/>
      <c r="S139" s="199"/>
      <c r="T139" s="199"/>
    </row>
    <row r="140" spans="1:20" ht="12.75" customHeight="1" x14ac:dyDescent="0.25">
      <c r="A140" s="181"/>
      <c r="B140" s="181"/>
      <c r="C140" s="172"/>
      <c r="D140" s="172"/>
      <c r="E140" s="204"/>
      <c r="F140" s="206"/>
      <c r="G140" s="206"/>
      <c r="H140" s="206"/>
      <c r="I140" s="206"/>
      <c r="J140" s="206"/>
      <c r="K140" s="172"/>
      <c r="L140" s="206"/>
      <c r="M140" s="206"/>
      <c r="N140" s="204"/>
      <c r="O140" s="172"/>
      <c r="P140" s="172"/>
      <c r="Q140" s="172"/>
      <c r="R140" s="204"/>
      <c r="S140" s="199"/>
      <c r="T140" s="199"/>
    </row>
    <row r="141" spans="1:20" ht="12.75" customHeight="1" x14ac:dyDescent="0.25">
      <c r="A141" s="181"/>
      <c r="B141" s="181"/>
      <c r="C141" s="172"/>
      <c r="D141" s="172"/>
      <c r="E141" s="204"/>
      <c r="F141" s="206"/>
      <c r="G141" s="206"/>
      <c r="H141" s="206"/>
      <c r="I141" s="206"/>
      <c r="J141" s="206"/>
      <c r="K141" s="172"/>
      <c r="L141" s="206"/>
      <c r="M141" s="206"/>
      <c r="N141" s="204"/>
      <c r="O141" s="172"/>
      <c r="P141" s="172"/>
      <c r="Q141" s="172"/>
      <c r="R141" s="204"/>
      <c r="S141" s="199"/>
      <c r="T141" s="199"/>
    </row>
    <row r="142" spans="1:20" ht="12.75" customHeight="1" x14ac:dyDescent="0.25">
      <c r="A142" s="181"/>
      <c r="B142" s="181"/>
      <c r="C142" s="172"/>
      <c r="D142" s="172"/>
      <c r="E142" s="204"/>
      <c r="F142" s="206"/>
      <c r="G142" s="206"/>
      <c r="H142" s="206"/>
      <c r="I142" s="206"/>
      <c r="J142" s="206"/>
      <c r="K142" s="172"/>
      <c r="L142" s="206"/>
      <c r="M142" s="206"/>
      <c r="N142" s="204"/>
      <c r="O142" s="172"/>
      <c r="P142" s="172"/>
      <c r="Q142" s="172"/>
      <c r="R142" s="204"/>
      <c r="S142" s="199"/>
      <c r="T142" s="199"/>
    </row>
    <row r="143" spans="1:20" ht="12.75" customHeight="1" x14ac:dyDescent="0.25">
      <c r="A143" s="181"/>
      <c r="B143" s="181"/>
      <c r="C143" s="172"/>
      <c r="D143" s="172"/>
      <c r="E143" s="204"/>
      <c r="F143" s="206"/>
      <c r="G143" s="206"/>
      <c r="H143" s="206"/>
      <c r="I143" s="206"/>
      <c r="J143" s="206"/>
      <c r="K143" s="172"/>
      <c r="L143" s="206"/>
      <c r="M143" s="206"/>
      <c r="N143" s="204"/>
      <c r="O143" s="172"/>
      <c r="P143" s="172"/>
      <c r="Q143" s="172"/>
      <c r="R143" s="204"/>
      <c r="S143" s="199"/>
      <c r="T143" s="199"/>
    </row>
    <row r="144" spans="1:20" ht="12.75" customHeight="1" x14ac:dyDescent="0.25">
      <c r="A144" s="181"/>
      <c r="B144" s="181"/>
      <c r="C144" s="172"/>
      <c r="D144" s="172"/>
      <c r="E144" s="204"/>
      <c r="F144" s="206"/>
      <c r="G144" s="206"/>
      <c r="H144" s="206"/>
      <c r="I144" s="206"/>
      <c r="J144" s="206"/>
      <c r="K144" s="172"/>
      <c r="L144" s="206"/>
      <c r="M144" s="206"/>
      <c r="N144" s="204"/>
      <c r="O144" s="172"/>
      <c r="P144" s="172"/>
      <c r="Q144" s="172"/>
      <c r="R144" s="204"/>
      <c r="S144" s="199"/>
      <c r="T144" s="199"/>
    </row>
    <row r="145" spans="1:20" ht="12.75" customHeight="1" x14ac:dyDescent="0.25">
      <c r="A145" s="181"/>
      <c r="B145" s="181"/>
      <c r="C145" s="172"/>
      <c r="D145" s="172"/>
      <c r="E145" s="204"/>
      <c r="F145" s="206"/>
      <c r="G145" s="206"/>
      <c r="H145" s="206"/>
      <c r="I145" s="206"/>
      <c r="J145" s="206"/>
      <c r="K145" s="172"/>
      <c r="L145" s="206"/>
      <c r="M145" s="206"/>
      <c r="N145" s="204"/>
      <c r="O145" s="172"/>
      <c r="P145" s="172"/>
      <c r="Q145" s="172"/>
      <c r="R145" s="204"/>
      <c r="S145" s="199"/>
      <c r="T145" s="199"/>
    </row>
    <row r="146" spans="1:20" ht="12.75" customHeight="1" x14ac:dyDescent="0.25">
      <c r="A146" s="181"/>
      <c r="B146" s="181"/>
      <c r="C146" s="172"/>
      <c r="D146" s="172"/>
      <c r="E146" s="204"/>
      <c r="F146" s="206"/>
      <c r="G146" s="206"/>
      <c r="H146" s="206"/>
      <c r="I146" s="206"/>
      <c r="J146" s="206"/>
      <c r="K146" s="172"/>
      <c r="L146" s="206"/>
      <c r="M146" s="206"/>
      <c r="N146" s="204"/>
      <c r="O146" s="172"/>
      <c r="P146" s="172"/>
      <c r="Q146" s="172"/>
      <c r="R146" s="204"/>
      <c r="S146" s="199"/>
      <c r="T146" s="199"/>
    </row>
    <row r="147" spans="1:20" ht="12.75" customHeight="1" x14ac:dyDescent="0.25">
      <c r="A147" s="181"/>
      <c r="B147" s="181"/>
      <c r="C147" s="172"/>
      <c r="D147" s="172"/>
      <c r="E147" s="204"/>
      <c r="F147" s="206"/>
      <c r="G147" s="206"/>
      <c r="H147" s="206"/>
      <c r="I147" s="206"/>
      <c r="J147" s="206"/>
      <c r="K147" s="172"/>
      <c r="L147" s="206"/>
      <c r="M147" s="206"/>
      <c r="N147" s="204"/>
      <c r="O147" s="172"/>
      <c r="P147" s="172"/>
      <c r="Q147" s="172"/>
      <c r="R147" s="204"/>
      <c r="S147" s="199"/>
      <c r="T147" s="199"/>
    </row>
    <row r="148" spans="1:20" ht="12.75" customHeight="1" x14ac:dyDescent="0.25">
      <c r="A148" s="181"/>
      <c r="B148" s="181"/>
      <c r="C148" s="172"/>
      <c r="D148" s="172"/>
      <c r="E148" s="204"/>
      <c r="F148" s="206"/>
      <c r="G148" s="206"/>
      <c r="H148" s="206"/>
      <c r="I148" s="206"/>
      <c r="J148" s="206"/>
      <c r="K148" s="172"/>
      <c r="L148" s="206"/>
      <c r="M148" s="206"/>
      <c r="N148" s="204"/>
      <c r="O148" s="172"/>
      <c r="P148" s="172"/>
      <c r="Q148" s="172"/>
      <c r="R148" s="204"/>
      <c r="S148" s="199"/>
      <c r="T148" s="199"/>
    </row>
    <row r="149" spans="1:20" ht="12.75" customHeight="1" x14ac:dyDescent="0.25">
      <c r="A149" s="181"/>
      <c r="B149" s="181"/>
      <c r="C149" s="172"/>
      <c r="D149" s="172"/>
      <c r="E149" s="204"/>
      <c r="F149" s="206"/>
      <c r="G149" s="206"/>
      <c r="H149" s="206"/>
      <c r="I149" s="206"/>
      <c r="J149" s="206"/>
      <c r="K149" s="172"/>
      <c r="L149" s="206"/>
      <c r="M149" s="206"/>
      <c r="N149" s="204"/>
      <c r="O149" s="172"/>
      <c r="P149" s="172"/>
      <c r="Q149" s="172"/>
      <c r="R149" s="204"/>
      <c r="S149" s="199"/>
      <c r="T149" s="199"/>
    </row>
    <row r="150" spans="1:20" ht="12.75" customHeight="1" x14ac:dyDescent="0.25">
      <c r="A150" s="181"/>
      <c r="B150" s="181"/>
      <c r="C150" s="172"/>
      <c r="D150" s="172"/>
      <c r="E150" s="204"/>
      <c r="F150" s="206"/>
      <c r="G150" s="206"/>
      <c r="H150" s="206"/>
      <c r="I150" s="206"/>
      <c r="J150" s="206"/>
      <c r="K150" s="172"/>
      <c r="L150" s="206"/>
      <c r="M150" s="206"/>
      <c r="N150" s="204"/>
      <c r="O150" s="172"/>
      <c r="P150" s="172"/>
      <c r="Q150" s="172"/>
      <c r="R150" s="204"/>
      <c r="S150" s="199"/>
      <c r="T150" s="199"/>
    </row>
    <row r="151" spans="1:20" ht="12.75" customHeight="1" x14ac:dyDescent="0.25">
      <c r="A151" s="181"/>
      <c r="B151" s="181"/>
      <c r="C151" s="172"/>
      <c r="D151" s="172"/>
      <c r="E151" s="204"/>
      <c r="F151" s="206"/>
      <c r="G151" s="206"/>
      <c r="H151" s="206"/>
      <c r="I151" s="206"/>
      <c r="J151" s="206"/>
      <c r="K151" s="172"/>
      <c r="L151" s="206"/>
      <c r="M151" s="206"/>
      <c r="N151" s="204"/>
      <c r="O151" s="172"/>
      <c r="P151" s="172"/>
      <c r="Q151" s="172"/>
      <c r="R151" s="204"/>
      <c r="S151" s="199"/>
      <c r="T151" s="199"/>
    </row>
    <row r="152" spans="1:20" ht="12.75" customHeight="1" x14ac:dyDescent="0.25">
      <c r="A152" s="181"/>
      <c r="B152" s="181"/>
      <c r="C152" s="172"/>
      <c r="D152" s="172"/>
      <c r="E152" s="204"/>
      <c r="F152" s="206"/>
      <c r="G152" s="206"/>
      <c r="H152" s="206"/>
      <c r="I152" s="206"/>
      <c r="J152" s="206"/>
      <c r="K152" s="172"/>
      <c r="L152" s="206"/>
      <c r="M152" s="206"/>
      <c r="N152" s="204"/>
      <c r="O152" s="172"/>
      <c r="P152" s="172"/>
      <c r="Q152" s="172"/>
      <c r="R152" s="204"/>
      <c r="S152" s="199"/>
      <c r="T152" s="199"/>
    </row>
    <row r="153" spans="1:20" ht="12.75" customHeight="1" x14ac:dyDescent="0.25">
      <c r="A153" s="181"/>
      <c r="B153" s="181"/>
      <c r="C153" s="172"/>
      <c r="D153" s="172"/>
      <c r="E153" s="204"/>
      <c r="F153" s="206"/>
      <c r="G153" s="206"/>
      <c r="H153" s="206"/>
      <c r="I153" s="206"/>
      <c r="J153" s="206"/>
      <c r="K153" s="172"/>
      <c r="L153" s="206"/>
      <c r="M153" s="206"/>
      <c r="N153" s="204"/>
      <c r="O153" s="172"/>
      <c r="P153" s="172"/>
      <c r="Q153" s="172"/>
      <c r="R153" s="204"/>
      <c r="S153" s="199"/>
      <c r="T153" s="199"/>
    </row>
    <row r="154" spans="1:20" ht="12.75" customHeight="1" x14ac:dyDescent="0.25">
      <c r="A154" s="181"/>
      <c r="B154" s="181"/>
      <c r="C154" s="172"/>
      <c r="D154" s="172"/>
      <c r="E154" s="204"/>
      <c r="F154" s="206"/>
      <c r="G154" s="206"/>
      <c r="H154" s="206"/>
      <c r="I154" s="206"/>
      <c r="J154" s="206"/>
      <c r="K154" s="172"/>
      <c r="L154" s="206"/>
      <c r="M154" s="206"/>
      <c r="N154" s="204"/>
      <c r="O154" s="172"/>
      <c r="P154" s="172"/>
      <c r="Q154" s="172"/>
      <c r="R154" s="204"/>
      <c r="S154" s="199"/>
      <c r="T154" s="199"/>
    </row>
    <row r="155" spans="1:20" ht="12.75" customHeight="1" x14ac:dyDescent="0.25">
      <c r="A155" s="181"/>
      <c r="B155" s="181"/>
      <c r="C155" s="172"/>
      <c r="D155" s="172"/>
      <c r="E155" s="204"/>
      <c r="F155" s="206"/>
      <c r="G155" s="206"/>
      <c r="H155" s="206"/>
      <c r="I155" s="206"/>
      <c r="J155" s="206"/>
      <c r="K155" s="172"/>
      <c r="L155" s="206"/>
      <c r="M155" s="206"/>
      <c r="N155" s="204"/>
      <c r="O155" s="172"/>
      <c r="P155" s="172"/>
      <c r="Q155" s="172"/>
      <c r="R155" s="204"/>
      <c r="S155" s="199"/>
      <c r="T155" s="199"/>
    </row>
    <row r="156" spans="1:20" ht="12.75" customHeight="1" x14ac:dyDescent="0.25">
      <c r="A156" s="181"/>
      <c r="B156" s="181"/>
      <c r="C156" s="172"/>
      <c r="D156" s="172"/>
      <c r="E156" s="204"/>
      <c r="F156" s="206"/>
      <c r="G156" s="206"/>
      <c r="H156" s="206"/>
      <c r="I156" s="206"/>
      <c r="J156" s="206"/>
      <c r="K156" s="172"/>
      <c r="L156" s="206"/>
      <c r="M156" s="206"/>
      <c r="N156" s="204"/>
      <c r="O156" s="172"/>
      <c r="P156" s="172"/>
      <c r="Q156" s="172"/>
      <c r="R156" s="204"/>
      <c r="S156" s="199"/>
      <c r="T156" s="199"/>
    </row>
    <row r="157" spans="1:20" ht="12.75" customHeight="1" x14ac:dyDescent="0.25">
      <c r="A157" s="181"/>
      <c r="B157" s="181"/>
      <c r="C157" s="172"/>
      <c r="D157" s="172"/>
      <c r="E157" s="204"/>
      <c r="F157" s="206"/>
      <c r="G157" s="206"/>
      <c r="H157" s="206"/>
      <c r="I157" s="206"/>
      <c r="J157" s="206"/>
      <c r="K157" s="172"/>
      <c r="L157" s="206"/>
      <c r="M157" s="206"/>
      <c r="N157" s="204"/>
      <c r="O157" s="172"/>
      <c r="P157" s="172"/>
      <c r="Q157" s="172"/>
      <c r="R157" s="204"/>
      <c r="S157" s="199"/>
      <c r="T157" s="199"/>
    </row>
    <row r="158" spans="1:20" ht="12.75" customHeight="1" x14ac:dyDescent="0.25">
      <c r="A158" s="181"/>
      <c r="B158" s="181"/>
      <c r="C158" s="172"/>
      <c r="D158" s="172"/>
      <c r="E158" s="204"/>
      <c r="F158" s="206"/>
      <c r="G158" s="206"/>
      <c r="H158" s="206"/>
      <c r="I158" s="206"/>
      <c r="J158" s="206"/>
      <c r="K158" s="172"/>
      <c r="L158" s="206"/>
      <c r="M158" s="206"/>
      <c r="N158" s="204"/>
      <c r="O158" s="172"/>
      <c r="P158" s="172"/>
      <c r="Q158" s="172"/>
      <c r="R158" s="204"/>
      <c r="S158" s="199"/>
      <c r="T158" s="199"/>
    </row>
    <row r="159" spans="1:20" ht="12.75" customHeight="1" x14ac:dyDescent="0.25">
      <c r="A159" s="181"/>
      <c r="B159" s="181"/>
      <c r="C159" s="172"/>
      <c r="D159" s="172"/>
      <c r="E159" s="204"/>
      <c r="F159" s="206"/>
      <c r="G159" s="206"/>
      <c r="H159" s="206"/>
      <c r="I159" s="206"/>
      <c r="J159" s="206"/>
      <c r="K159" s="172"/>
      <c r="L159" s="206"/>
      <c r="M159" s="206"/>
      <c r="N159" s="204"/>
      <c r="O159" s="172"/>
      <c r="P159" s="172"/>
      <c r="Q159" s="172"/>
      <c r="R159" s="204"/>
      <c r="S159" s="199"/>
      <c r="T159" s="199"/>
    </row>
    <row r="160" spans="1:20" ht="12.75" customHeight="1" x14ac:dyDescent="0.25">
      <c r="A160" s="181"/>
      <c r="B160" s="181"/>
      <c r="C160" s="172"/>
      <c r="D160" s="172"/>
      <c r="E160" s="204"/>
      <c r="F160" s="206"/>
      <c r="G160" s="206"/>
      <c r="H160" s="206"/>
      <c r="I160" s="206"/>
      <c r="J160" s="206"/>
      <c r="K160" s="172"/>
      <c r="L160" s="206"/>
      <c r="M160" s="206"/>
      <c r="N160" s="204"/>
      <c r="O160" s="172"/>
      <c r="P160" s="172"/>
      <c r="Q160" s="172"/>
      <c r="R160" s="204"/>
      <c r="S160" s="199"/>
      <c r="T160" s="199"/>
    </row>
    <row r="161" spans="1:20" ht="12.75" customHeight="1" x14ac:dyDescent="0.25">
      <c r="A161" s="181"/>
      <c r="B161" s="181"/>
      <c r="C161" s="172"/>
      <c r="D161" s="172"/>
      <c r="E161" s="204"/>
      <c r="F161" s="206"/>
      <c r="G161" s="206"/>
      <c r="H161" s="206"/>
      <c r="I161" s="206"/>
      <c r="J161" s="206"/>
      <c r="K161" s="172"/>
      <c r="L161" s="206"/>
      <c r="M161" s="206"/>
      <c r="N161" s="204"/>
      <c r="O161" s="172"/>
      <c r="P161" s="172"/>
      <c r="Q161" s="172"/>
      <c r="R161" s="204"/>
      <c r="S161" s="199"/>
      <c r="T161" s="199"/>
    </row>
    <row r="162" spans="1:20" ht="12.75" customHeight="1" x14ac:dyDescent="0.25">
      <c r="A162" s="181"/>
      <c r="B162" s="181"/>
      <c r="C162" s="172"/>
      <c r="D162" s="172"/>
      <c r="E162" s="204"/>
      <c r="F162" s="206"/>
      <c r="G162" s="206"/>
      <c r="H162" s="206"/>
      <c r="I162" s="206"/>
      <c r="J162" s="206"/>
      <c r="K162" s="172"/>
      <c r="L162" s="206"/>
      <c r="M162" s="206"/>
      <c r="N162" s="204"/>
      <c r="O162" s="172"/>
      <c r="P162" s="172"/>
      <c r="Q162" s="172"/>
      <c r="R162" s="204"/>
      <c r="S162" s="199"/>
      <c r="T162" s="199"/>
    </row>
    <row r="163" spans="1:20" ht="12.75" customHeight="1" x14ac:dyDescent="0.25">
      <c r="A163" s="181"/>
      <c r="B163" s="181"/>
      <c r="C163" s="172"/>
      <c r="D163" s="172"/>
      <c r="E163" s="204"/>
      <c r="F163" s="206"/>
      <c r="G163" s="206"/>
      <c r="H163" s="206"/>
      <c r="I163" s="206"/>
      <c r="J163" s="206"/>
      <c r="K163" s="172"/>
      <c r="L163" s="206"/>
      <c r="M163" s="206"/>
      <c r="N163" s="204"/>
      <c r="O163" s="172"/>
      <c r="P163" s="172"/>
      <c r="Q163" s="172"/>
      <c r="R163" s="204"/>
      <c r="S163" s="199"/>
      <c r="T163" s="199"/>
    </row>
    <row r="164" spans="1:20" ht="12.75" customHeight="1" x14ac:dyDescent="0.25">
      <c r="A164" s="181"/>
      <c r="B164" s="181"/>
      <c r="C164" s="172"/>
      <c r="D164" s="172"/>
      <c r="E164" s="204"/>
      <c r="F164" s="206"/>
      <c r="G164" s="206"/>
      <c r="H164" s="206"/>
      <c r="I164" s="206"/>
      <c r="J164" s="206"/>
      <c r="K164" s="172"/>
      <c r="L164" s="206"/>
      <c r="M164" s="206"/>
      <c r="N164" s="204"/>
      <c r="O164" s="172"/>
      <c r="P164" s="172"/>
      <c r="Q164" s="172"/>
      <c r="R164" s="204"/>
      <c r="S164" s="199"/>
      <c r="T164" s="199"/>
    </row>
    <row r="165" spans="1:20" ht="12.75" customHeight="1" x14ac:dyDescent="0.25">
      <c r="A165" s="181"/>
      <c r="B165" s="181"/>
      <c r="C165" s="172"/>
      <c r="D165" s="172"/>
      <c r="E165" s="204"/>
      <c r="F165" s="206"/>
      <c r="G165" s="206"/>
      <c r="H165" s="206"/>
      <c r="I165" s="206"/>
      <c r="J165" s="206"/>
      <c r="K165" s="172"/>
      <c r="L165" s="206"/>
      <c r="M165" s="206"/>
      <c r="N165" s="204"/>
      <c r="O165" s="172"/>
      <c r="P165" s="172"/>
      <c r="Q165" s="172"/>
      <c r="R165" s="204"/>
      <c r="S165" s="199"/>
      <c r="T165" s="199"/>
    </row>
    <row r="166" spans="1:20" ht="12.75" customHeight="1" x14ac:dyDescent="0.25">
      <c r="A166" s="181"/>
      <c r="B166" s="181"/>
      <c r="C166" s="172"/>
      <c r="D166" s="172"/>
      <c r="E166" s="204"/>
      <c r="F166" s="206"/>
      <c r="G166" s="206"/>
      <c r="H166" s="206"/>
      <c r="I166" s="206"/>
      <c r="J166" s="206"/>
      <c r="K166" s="172"/>
      <c r="L166" s="206"/>
      <c r="M166" s="206"/>
      <c r="N166" s="204"/>
      <c r="O166" s="172"/>
      <c r="P166" s="172"/>
      <c r="Q166" s="172"/>
      <c r="R166" s="204"/>
      <c r="S166" s="199"/>
      <c r="T166" s="199"/>
    </row>
    <row r="167" spans="1:20" ht="12.75" customHeight="1" x14ac:dyDescent="0.25">
      <c r="A167" s="181"/>
      <c r="B167" s="181"/>
      <c r="C167" s="172"/>
      <c r="D167" s="172"/>
      <c r="E167" s="204"/>
      <c r="F167" s="206"/>
      <c r="G167" s="206"/>
      <c r="H167" s="206"/>
      <c r="I167" s="206"/>
      <c r="J167" s="206"/>
      <c r="K167" s="172"/>
      <c r="L167" s="206"/>
      <c r="M167" s="206"/>
      <c r="N167" s="204"/>
      <c r="O167" s="172"/>
      <c r="P167" s="172"/>
      <c r="Q167" s="172"/>
      <c r="R167" s="204"/>
      <c r="S167" s="199"/>
      <c r="T167" s="199"/>
    </row>
    <row r="168" spans="1:20" ht="12.75" customHeight="1" x14ac:dyDescent="0.25">
      <c r="A168" s="181"/>
      <c r="B168" s="181"/>
      <c r="C168" s="172"/>
      <c r="D168" s="172"/>
      <c r="E168" s="204"/>
      <c r="F168" s="206"/>
      <c r="G168" s="206"/>
      <c r="H168" s="206"/>
      <c r="I168" s="206"/>
      <c r="J168" s="206"/>
      <c r="K168" s="172"/>
      <c r="L168" s="206"/>
      <c r="M168" s="206"/>
      <c r="N168" s="204"/>
      <c r="O168" s="172"/>
      <c r="P168" s="172"/>
      <c r="Q168" s="172"/>
      <c r="R168" s="204"/>
      <c r="S168" s="199"/>
      <c r="T168" s="199"/>
    </row>
    <row r="169" spans="1:20" ht="12.75" customHeight="1" x14ac:dyDescent="0.25">
      <c r="A169" s="181"/>
      <c r="B169" s="181"/>
      <c r="C169" s="172"/>
      <c r="D169" s="172"/>
      <c r="E169" s="204"/>
      <c r="F169" s="206"/>
      <c r="G169" s="206"/>
      <c r="H169" s="206"/>
      <c r="I169" s="206"/>
      <c r="J169" s="206"/>
      <c r="K169" s="172"/>
      <c r="L169" s="206"/>
      <c r="M169" s="206"/>
      <c r="N169" s="204"/>
      <c r="O169" s="172"/>
      <c r="P169" s="172"/>
      <c r="Q169" s="172"/>
      <c r="R169" s="204"/>
      <c r="S169" s="199"/>
      <c r="T169" s="199"/>
    </row>
    <row r="170" spans="1:20" ht="12.75" customHeight="1" x14ac:dyDescent="0.25">
      <c r="A170" s="181"/>
      <c r="B170" s="181"/>
      <c r="C170" s="172"/>
      <c r="D170" s="172"/>
      <c r="E170" s="204"/>
      <c r="F170" s="206"/>
      <c r="G170" s="206"/>
      <c r="H170" s="206"/>
      <c r="I170" s="206"/>
      <c r="J170" s="206"/>
      <c r="K170" s="172"/>
      <c r="L170" s="206"/>
      <c r="M170" s="206"/>
      <c r="N170" s="204"/>
      <c r="O170" s="172"/>
      <c r="P170" s="172"/>
      <c r="Q170" s="172"/>
      <c r="R170" s="204"/>
      <c r="S170" s="199"/>
      <c r="T170" s="199"/>
    </row>
    <row r="171" spans="1:20" ht="12.75" customHeight="1" x14ac:dyDescent="0.25">
      <c r="A171" s="181"/>
      <c r="B171" s="181"/>
      <c r="C171" s="172"/>
      <c r="D171" s="172"/>
      <c r="E171" s="204"/>
      <c r="F171" s="206"/>
      <c r="G171" s="206"/>
      <c r="H171" s="206"/>
      <c r="I171" s="206"/>
      <c r="J171" s="206"/>
      <c r="K171" s="172"/>
      <c r="L171" s="206"/>
      <c r="M171" s="206"/>
      <c r="N171" s="204"/>
      <c r="O171" s="172"/>
      <c r="P171" s="172"/>
      <c r="Q171" s="172"/>
      <c r="R171" s="204"/>
      <c r="S171" s="199"/>
      <c r="T171" s="199"/>
    </row>
    <row r="172" spans="1:20" ht="12.75" customHeight="1" x14ac:dyDescent="0.25">
      <c r="A172" s="181"/>
      <c r="B172" s="181"/>
      <c r="C172" s="172"/>
      <c r="D172" s="172"/>
      <c r="E172" s="204"/>
      <c r="F172" s="206"/>
      <c r="G172" s="206"/>
      <c r="H172" s="206"/>
      <c r="I172" s="206"/>
      <c r="J172" s="206"/>
      <c r="K172" s="172"/>
      <c r="L172" s="206"/>
      <c r="M172" s="206"/>
      <c r="N172" s="204"/>
      <c r="O172" s="172"/>
      <c r="P172" s="172"/>
      <c r="Q172" s="172"/>
      <c r="R172" s="204"/>
      <c r="S172" s="199"/>
      <c r="T172" s="199"/>
    </row>
    <row r="173" spans="1:20" ht="12.75" customHeight="1" x14ac:dyDescent="0.25">
      <c r="A173" s="181"/>
      <c r="B173" s="181"/>
      <c r="C173" s="172"/>
      <c r="D173" s="172"/>
      <c r="E173" s="204"/>
      <c r="F173" s="206"/>
      <c r="G173" s="206"/>
      <c r="H173" s="206"/>
      <c r="I173" s="206"/>
      <c r="J173" s="206"/>
      <c r="K173" s="172"/>
      <c r="L173" s="206"/>
      <c r="M173" s="206"/>
      <c r="N173" s="204"/>
      <c r="O173" s="172"/>
      <c r="P173" s="172"/>
      <c r="Q173" s="172"/>
      <c r="R173" s="204"/>
      <c r="S173" s="199"/>
      <c r="T173" s="199"/>
    </row>
    <row r="174" spans="1:20" ht="12.75" customHeight="1" x14ac:dyDescent="0.25">
      <c r="A174" s="181"/>
      <c r="B174" s="181"/>
      <c r="C174" s="172"/>
      <c r="D174" s="172"/>
      <c r="E174" s="204"/>
      <c r="F174" s="206"/>
      <c r="G174" s="206"/>
      <c r="H174" s="206"/>
      <c r="I174" s="206"/>
      <c r="J174" s="206"/>
      <c r="K174" s="172"/>
      <c r="L174" s="206"/>
      <c r="M174" s="206"/>
      <c r="N174" s="204"/>
      <c r="O174" s="172"/>
      <c r="P174" s="172"/>
      <c r="Q174" s="172"/>
      <c r="R174" s="204"/>
      <c r="S174" s="199"/>
      <c r="T174" s="199"/>
    </row>
    <row r="175" spans="1:20" ht="12.75" customHeight="1" x14ac:dyDescent="0.25">
      <c r="A175" s="181"/>
      <c r="B175" s="181"/>
      <c r="C175" s="172"/>
      <c r="D175" s="172"/>
      <c r="E175" s="204"/>
      <c r="F175" s="206"/>
      <c r="G175" s="206"/>
      <c r="H175" s="206"/>
      <c r="I175" s="206"/>
      <c r="J175" s="206"/>
      <c r="K175" s="172"/>
      <c r="L175" s="206"/>
      <c r="M175" s="206"/>
      <c r="N175" s="204"/>
      <c r="O175" s="172"/>
      <c r="P175" s="172"/>
      <c r="Q175" s="172"/>
      <c r="R175" s="204"/>
      <c r="S175" s="199"/>
      <c r="T175" s="199"/>
    </row>
    <row r="176" spans="1:20" ht="12.75" customHeight="1" x14ac:dyDescent="0.25">
      <c r="A176" s="181"/>
      <c r="B176" s="181"/>
      <c r="C176" s="172"/>
      <c r="D176" s="172"/>
      <c r="E176" s="204"/>
      <c r="F176" s="206"/>
      <c r="G176" s="206"/>
      <c r="H176" s="206"/>
      <c r="I176" s="206"/>
      <c r="J176" s="206"/>
      <c r="K176" s="172"/>
      <c r="L176" s="206"/>
      <c r="M176" s="206"/>
      <c r="N176" s="204"/>
      <c r="O176" s="172"/>
      <c r="P176" s="172"/>
      <c r="Q176" s="172"/>
      <c r="R176" s="204"/>
      <c r="S176" s="199"/>
      <c r="T176" s="199"/>
    </row>
    <row r="177" spans="1:20" ht="12.75" customHeight="1" x14ac:dyDescent="0.25">
      <c r="A177" s="181"/>
      <c r="B177" s="181"/>
      <c r="C177" s="172"/>
      <c r="D177" s="172"/>
      <c r="E177" s="204"/>
      <c r="F177" s="206"/>
      <c r="G177" s="206"/>
      <c r="H177" s="206"/>
      <c r="I177" s="206"/>
      <c r="J177" s="206"/>
      <c r="K177" s="172"/>
      <c r="L177" s="206"/>
      <c r="M177" s="206"/>
      <c r="N177" s="204"/>
      <c r="O177" s="172"/>
      <c r="P177" s="172"/>
      <c r="Q177" s="172"/>
      <c r="R177" s="204"/>
      <c r="S177" s="199"/>
      <c r="T177" s="199"/>
    </row>
    <row r="178" spans="1:20" ht="12.75" customHeight="1" x14ac:dyDescent="0.25">
      <c r="A178" s="181"/>
      <c r="B178" s="181"/>
      <c r="C178" s="172"/>
      <c r="D178" s="172"/>
      <c r="E178" s="204"/>
      <c r="F178" s="206"/>
      <c r="G178" s="206"/>
      <c r="H178" s="206"/>
      <c r="I178" s="206"/>
      <c r="J178" s="206"/>
      <c r="K178" s="172"/>
      <c r="L178" s="206"/>
      <c r="M178" s="206"/>
      <c r="N178" s="204"/>
      <c r="O178" s="172"/>
      <c r="P178" s="172"/>
      <c r="Q178" s="172"/>
      <c r="R178" s="204"/>
      <c r="S178" s="199"/>
      <c r="T178" s="199"/>
    </row>
    <row r="179" spans="1:20" ht="12.75" customHeight="1" x14ac:dyDescent="0.25">
      <c r="A179" s="181"/>
      <c r="B179" s="181"/>
      <c r="C179" s="172"/>
      <c r="D179" s="172"/>
      <c r="E179" s="204"/>
      <c r="F179" s="206"/>
      <c r="G179" s="206"/>
      <c r="H179" s="206"/>
      <c r="I179" s="206"/>
      <c r="J179" s="206"/>
      <c r="K179" s="172"/>
      <c r="L179" s="206"/>
      <c r="M179" s="206"/>
      <c r="N179" s="204"/>
      <c r="O179" s="172"/>
      <c r="P179" s="172"/>
      <c r="Q179" s="172"/>
      <c r="R179" s="204"/>
      <c r="S179" s="199"/>
      <c r="T179" s="199"/>
    </row>
    <row r="180" spans="1:20" ht="12.75" customHeight="1" x14ac:dyDescent="0.25">
      <c r="A180" s="181"/>
      <c r="B180" s="181"/>
      <c r="C180" s="172"/>
      <c r="D180" s="172"/>
      <c r="E180" s="204"/>
      <c r="F180" s="206"/>
      <c r="G180" s="206"/>
      <c r="H180" s="206"/>
      <c r="I180" s="206"/>
      <c r="J180" s="206"/>
      <c r="K180" s="172"/>
      <c r="L180" s="206"/>
      <c r="M180" s="206"/>
      <c r="N180" s="204"/>
      <c r="O180" s="172"/>
      <c r="P180" s="172"/>
      <c r="Q180" s="172"/>
      <c r="R180" s="204"/>
      <c r="S180" s="199"/>
      <c r="T180" s="199"/>
    </row>
    <row r="181" spans="1:20" ht="12.75" customHeight="1" x14ac:dyDescent="0.25">
      <c r="A181" s="181"/>
      <c r="B181" s="181"/>
      <c r="C181" s="172"/>
      <c r="D181" s="172"/>
      <c r="E181" s="204"/>
      <c r="F181" s="206"/>
      <c r="G181" s="206"/>
      <c r="H181" s="206"/>
      <c r="I181" s="206"/>
      <c r="J181" s="206"/>
      <c r="K181" s="172"/>
      <c r="L181" s="206"/>
      <c r="M181" s="206"/>
      <c r="N181" s="204"/>
      <c r="O181" s="172"/>
      <c r="P181" s="172"/>
      <c r="Q181" s="172"/>
      <c r="R181" s="204"/>
      <c r="S181" s="199"/>
      <c r="T181" s="199"/>
    </row>
    <row r="182" spans="1:20" ht="12.75" customHeight="1" x14ac:dyDescent="0.25">
      <c r="A182" s="181"/>
      <c r="B182" s="181"/>
      <c r="C182" s="172"/>
      <c r="D182" s="172"/>
      <c r="E182" s="204"/>
      <c r="F182" s="206"/>
      <c r="G182" s="206"/>
      <c r="H182" s="206"/>
      <c r="I182" s="206"/>
      <c r="J182" s="206"/>
      <c r="K182" s="172"/>
      <c r="L182" s="206"/>
      <c r="M182" s="206"/>
      <c r="N182" s="204"/>
      <c r="O182" s="172"/>
      <c r="P182" s="172"/>
      <c r="Q182" s="172"/>
      <c r="R182" s="204"/>
      <c r="S182" s="199"/>
      <c r="T182" s="199"/>
    </row>
    <row r="183" spans="1:20" ht="12.75" customHeight="1" x14ac:dyDescent="0.25">
      <c r="A183" s="181"/>
      <c r="B183" s="181"/>
      <c r="C183" s="172"/>
      <c r="D183" s="172"/>
      <c r="E183" s="204"/>
      <c r="F183" s="206"/>
      <c r="G183" s="206"/>
      <c r="H183" s="206"/>
      <c r="I183" s="206"/>
      <c r="J183" s="206"/>
      <c r="K183" s="172"/>
      <c r="L183" s="206"/>
      <c r="M183" s="206"/>
      <c r="N183" s="204"/>
      <c r="O183" s="172"/>
      <c r="P183" s="172"/>
      <c r="Q183" s="172"/>
      <c r="R183" s="204"/>
      <c r="S183" s="199"/>
      <c r="T183" s="199"/>
    </row>
    <row r="184" spans="1:20" ht="12.75" customHeight="1" x14ac:dyDescent="0.25">
      <c r="A184" s="181"/>
      <c r="B184" s="181"/>
      <c r="C184" s="172"/>
      <c r="D184" s="172"/>
      <c r="E184" s="204"/>
      <c r="F184" s="206"/>
      <c r="G184" s="206"/>
      <c r="H184" s="206"/>
      <c r="I184" s="206"/>
      <c r="J184" s="206"/>
      <c r="K184" s="172"/>
      <c r="L184" s="206"/>
      <c r="M184" s="206"/>
      <c r="N184" s="204"/>
      <c r="O184" s="172"/>
      <c r="P184" s="172"/>
      <c r="Q184" s="172"/>
      <c r="R184" s="204"/>
      <c r="S184" s="199"/>
      <c r="T184" s="199"/>
    </row>
    <row r="185" spans="1:20" ht="12.75" customHeight="1" x14ac:dyDescent="0.25">
      <c r="A185" s="181"/>
      <c r="B185" s="181"/>
      <c r="C185" s="172"/>
      <c r="D185" s="172"/>
      <c r="E185" s="204"/>
      <c r="F185" s="206"/>
      <c r="G185" s="206"/>
      <c r="H185" s="206"/>
      <c r="I185" s="206"/>
      <c r="J185" s="206"/>
      <c r="K185" s="172"/>
      <c r="L185" s="206"/>
      <c r="M185" s="206"/>
      <c r="N185" s="204"/>
      <c r="O185" s="172"/>
      <c r="P185" s="172"/>
      <c r="Q185" s="172"/>
      <c r="R185" s="204"/>
      <c r="S185" s="199"/>
      <c r="T185" s="199"/>
    </row>
    <row r="186" spans="1:20" ht="12.75" customHeight="1" x14ac:dyDescent="0.25">
      <c r="A186" s="181"/>
      <c r="B186" s="181"/>
      <c r="C186" s="172"/>
      <c r="D186" s="172"/>
      <c r="E186" s="204"/>
      <c r="F186" s="206"/>
      <c r="G186" s="206"/>
      <c r="H186" s="206"/>
      <c r="I186" s="206"/>
      <c r="J186" s="206"/>
      <c r="K186" s="172"/>
      <c r="L186" s="206"/>
      <c r="M186" s="206"/>
      <c r="N186" s="204"/>
      <c r="O186" s="172"/>
      <c r="P186" s="172"/>
      <c r="Q186" s="172"/>
      <c r="R186" s="204"/>
      <c r="S186" s="199"/>
      <c r="T186" s="199"/>
    </row>
    <row r="187" spans="1:20" ht="12.75" customHeight="1" x14ac:dyDescent="0.25">
      <c r="A187" s="181"/>
      <c r="B187" s="181"/>
      <c r="C187" s="172"/>
      <c r="D187" s="172"/>
      <c r="E187" s="204"/>
      <c r="F187" s="206"/>
      <c r="G187" s="206"/>
      <c r="H187" s="206"/>
      <c r="I187" s="206"/>
      <c r="J187" s="206"/>
      <c r="K187" s="172"/>
      <c r="L187" s="206"/>
      <c r="M187" s="206"/>
      <c r="N187" s="204"/>
      <c r="O187" s="172"/>
      <c r="P187" s="172"/>
      <c r="Q187" s="172"/>
      <c r="R187" s="204"/>
      <c r="S187" s="199"/>
      <c r="T187" s="199"/>
    </row>
    <row r="188" spans="1:20" ht="12.75" customHeight="1" x14ac:dyDescent="0.25">
      <c r="A188" s="181"/>
      <c r="B188" s="181"/>
      <c r="C188" s="172"/>
      <c r="D188" s="172"/>
      <c r="E188" s="204"/>
      <c r="F188" s="206"/>
      <c r="G188" s="206"/>
      <c r="H188" s="206"/>
      <c r="I188" s="206"/>
      <c r="J188" s="206"/>
      <c r="K188" s="172"/>
      <c r="L188" s="206"/>
      <c r="M188" s="206"/>
      <c r="N188" s="204"/>
      <c r="O188" s="172"/>
      <c r="P188" s="172"/>
      <c r="Q188" s="172"/>
      <c r="R188" s="204"/>
      <c r="S188" s="199"/>
      <c r="T188" s="199"/>
    </row>
    <row r="189" spans="1:20" ht="12.75" customHeight="1" x14ac:dyDescent="0.25">
      <c r="A189" s="181"/>
      <c r="B189" s="181"/>
      <c r="C189" s="172"/>
      <c r="D189" s="172"/>
      <c r="E189" s="204"/>
      <c r="F189" s="206"/>
      <c r="G189" s="206"/>
      <c r="H189" s="206"/>
      <c r="I189" s="206"/>
      <c r="J189" s="206"/>
      <c r="K189" s="172"/>
      <c r="L189" s="206"/>
      <c r="M189" s="206"/>
      <c r="N189" s="204"/>
      <c r="O189" s="172"/>
      <c r="P189" s="172"/>
      <c r="Q189" s="172"/>
      <c r="R189" s="204"/>
      <c r="S189" s="199"/>
      <c r="T189" s="199"/>
    </row>
    <row r="190" spans="1:20" ht="12.75" customHeight="1" x14ac:dyDescent="0.25">
      <c r="A190" s="181"/>
      <c r="B190" s="181"/>
      <c r="C190" s="172"/>
      <c r="D190" s="172"/>
      <c r="E190" s="204"/>
      <c r="F190" s="206"/>
      <c r="G190" s="206"/>
      <c r="H190" s="206"/>
      <c r="I190" s="206"/>
      <c r="J190" s="206"/>
      <c r="K190" s="172"/>
      <c r="L190" s="206"/>
      <c r="M190" s="206"/>
      <c r="N190" s="204"/>
      <c r="O190" s="172"/>
      <c r="P190" s="172"/>
      <c r="Q190" s="172"/>
      <c r="R190" s="204"/>
      <c r="S190" s="199"/>
      <c r="T190" s="199"/>
    </row>
    <row r="191" spans="1:20" ht="12.75" customHeight="1" x14ac:dyDescent="0.25">
      <c r="A191" s="181"/>
      <c r="B191" s="181"/>
      <c r="C191" s="172"/>
      <c r="D191" s="172"/>
      <c r="E191" s="204"/>
      <c r="F191" s="206"/>
      <c r="G191" s="206"/>
      <c r="H191" s="206"/>
      <c r="I191" s="206"/>
      <c r="J191" s="206"/>
      <c r="K191" s="172"/>
      <c r="L191" s="206"/>
      <c r="M191" s="206"/>
      <c r="N191" s="204"/>
      <c r="O191" s="172"/>
      <c r="P191" s="172"/>
      <c r="Q191" s="172"/>
      <c r="R191" s="204"/>
      <c r="S191" s="199"/>
      <c r="T191" s="199"/>
    </row>
    <row r="192" spans="1:20" ht="12.75" customHeight="1" x14ac:dyDescent="0.25">
      <c r="A192" s="181"/>
      <c r="B192" s="181"/>
      <c r="C192" s="172"/>
      <c r="D192" s="172"/>
      <c r="E192" s="204"/>
      <c r="F192" s="206"/>
      <c r="G192" s="206"/>
      <c r="H192" s="206"/>
      <c r="I192" s="206"/>
      <c r="J192" s="206"/>
      <c r="K192" s="172"/>
      <c r="L192" s="206"/>
      <c r="M192" s="206"/>
      <c r="N192" s="204"/>
      <c r="O192" s="172"/>
      <c r="P192" s="172"/>
      <c r="Q192" s="172"/>
      <c r="R192" s="204"/>
      <c r="S192" s="199"/>
      <c r="T192" s="199"/>
    </row>
    <row r="193" spans="1:20" ht="12.75" customHeight="1" x14ac:dyDescent="0.25">
      <c r="A193" s="181"/>
      <c r="B193" s="181"/>
      <c r="C193" s="172"/>
      <c r="D193" s="172"/>
      <c r="E193" s="204"/>
      <c r="F193" s="206"/>
      <c r="G193" s="206"/>
      <c r="H193" s="206"/>
      <c r="I193" s="206"/>
      <c r="J193" s="206"/>
      <c r="K193" s="172"/>
      <c r="L193" s="206"/>
      <c r="M193" s="206"/>
      <c r="N193" s="204"/>
      <c r="O193" s="172"/>
      <c r="P193" s="172"/>
      <c r="Q193" s="172"/>
      <c r="R193" s="204"/>
      <c r="S193" s="199"/>
      <c r="T193" s="199"/>
    </row>
    <row r="194" spans="1:20" ht="12.75" customHeight="1" x14ac:dyDescent="0.25">
      <c r="A194" s="181"/>
      <c r="B194" s="181"/>
      <c r="C194" s="172"/>
      <c r="D194" s="172"/>
      <c r="E194" s="204"/>
      <c r="F194" s="206"/>
      <c r="G194" s="206"/>
      <c r="H194" s="206"/>
      <c r="I194" s="206"/>
      <c r="J194" s="206"/>
      <c r="K194" s="172"/>
      <c r="L194" s="206"/>
      <c r="M194" s="206"/>
      <c r="N194" s="204"/>
      <c r="O194" s="172"/>
      <c r="P194" s="172"/>
      <c r="Q194" s="172"/>
      <c r="R194" s="204"/>
      <c r="S194" s="199"/>
      <c r="T194" s="199"/>
    </row>
    <row r="195" spans="1:20" ht="12.75" customHeight="1" x14ac:dyDescent="0.25">
      <c r="A195" s="181"/>
      <c r="B195" s="181"/>
      <c r="C195" s="172"/>
      <c r="D195" s="172"/>
      <c r="E195" s="204"/>
      <c r="F195" s="206"/>
      <c r="G195" s="206"/>
      <c r="H195" s="206"/>
      <c r="I195" s="206"/>
      <c r="J195" s="206"/>
      <c r="K195" s="172"/>
      <c r="L195" s="206"/>
      <c r="M195" s="206"/>
      <c r="N195" s="204"/>
      <c r="O195" s="172"/>
      <c r="P195" s="172"/>
      <c r="Q195" s="172"/>
      <c r="R195" s="204"/>
      <c r="S195" s="199"/>
      <c r="T195" s="199"/>
    </row>
    <row r="196" spans="1:20" ht="12.75" customHeight="1" x14ac:dyDescent="0.25">
      <c r="A196" s="181"/>
      <c r="B196" s="181"/>
      <c r="C196" s="172"/>
      <c r="D196" s="172"/>
      <c r="E196" s="204"/>
      <c r="F196" s="206"/>
      <c r="G196" s="206"/>
      <c r="H196" s="206"/>
      <c r="I196" s="206"/>
      <c r="J196" s="206"/>
      <c r="K196" s="172"/>
      <c r="L196" s="206"/>
      <c r="M196" s="206"/>
      <c r="N196" s="204"/>
      <c r="O196" s="172"/>
      <c r="P196" s="172"/>
      <c r="Q196" s="172"/>
      <c r="R196" s="204"/>
      <c r="S196" s="199"/>
      <c r="T196" s="199"/>
    </row>
    <row r="197" spans="1:20" ht="12.75" customHeight="1" x14ac:dyDescent="0.25">
      <c r="A197" s="181"/>
      <c r="B197" s="181"/>
      <c r="C197" s="172"/>
      <c r="D197" s="172"/>
      <c r="E197" s="204"/>
      <c r="F197" s="206"/>
      <c r="G197" s="206"/>
      <c r="H197" s="206"/>
      <c r="I197" s="206"/>
      <c r="J197" s="206"/>
      <c r="K197" s="172"/>
      <c r="L197" s="206"/>
      <c r="M197" s="206"/>
      <c r="N197" s="204"/>
      <c r="O197" s="172"/>
      <c r="P197" s="172"/>
      <c r="Q197" s="172"/>
      <c r="R197" s="204"/>
      <c r="S197" s="199"/>
      <c r="T197" s="199"/>
    </row>
    <row r="198" spans="1:20" ht="12.75" customHeight="1" x14ac:dyDescent="0.25">
      <c r="A198" s="181"/>
      <c r="B198" s="181"/>
      <c r="C198" s="172"/>
      <c r="D198" s="172"/>
      <c r="E198" s="204"/>
      <c r="F198" s="206"/>
      <c r="G198" s="206"/>
      <c r="H198" s="206"/>
      <c r="I198" s="206"/>
      <c r="J198" s="206"/>
      <c r="K198" s="172"/>
      <c r="L198" s="206"/>
      <c r="M198" s="206"/>
      <c r="N198" s="204"/>
      <c r="O198" s="172"/>
      <c r="P198" s="172"/>
      <c r="Q198" s="172"/>
      <c r="R198" s="204"/>
      <c r="S198" s="199"/>
      <c r="T198" s="199"/>
    </row>
    <row r="199" spans="1:20" ht="12.75" customHeight="1" x14ac:dyDescent="0.25">
      <c r="A199" s="181"/>
      <c r="B199" s="181"/>
      <c r="C199" s="172"/>
      <c r="D199" s="172"/>
      <c r="E199" s="204"/>
      <c r="F199" s="206"/>
      <c r="G199" s="206"/>
      <c r="H199" s="206"/>
      <c r="I199" s="206"/>
      <c r="J199" s="206"/>
      <c r="K199" s="172"/>
      <c r="L199" s="206"/>
      <c r="M199" s="206"/>
      <c r="N199" s="204"/>
      <c r="O199" s="172"/>
      <c r="P199" s="172"/>
      <c r="Q199" s="172"/>
      <c r="R199" s="204"/>
      <c r="S199" s="199"/>
      <c r="T199" s="199"/>
    </row>
    <row r="200" spans="1:20" ht="12.75" customHeight="1" x14ac:dyDescent="0.25">
      <c r="A200" s="181"/>
      <c r="B200" s="181"/>
      <c r="C200" s="172"/>
      <c r="D200" s="172"/>
      <c r="E200" s="204"/>
      <c r="F200" s="206"/>
      <c r="G200" s="206"/>
      <c r="H200" s="206"/>
      <c r="I200" s="206"/>
      <c r="J200" s="206"/>
      <c r="K200" s="172"/>
      <c r="L200" s="206"/>
      <c r="M200" s="206"/>
      <c r="N200" s="204"/>
      <c r="O200" s="172"/>
      <c r="P200" s="172"/>
      <c r="Q200" s="172"/>
      <c r="R200" s="204"/>
      <c r="S200" s="199"/>
      <c r="T200" s="199"/>
    </row>
    <row r="201" spans="1:20"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sX+GrNDME+/AQBnXX29LHemyBHX0a/f4dVFeJ7zt4MX36vyTLrZJ+DbyQTUbLANteeht6yNa+C43RUCMZh92Bg==" saltValue="t2no9gvHD/3mqNL56kiP2Q==" spinCount="100000" sheet="1" objects="1" scenarios="1" formatCells="0" formatRows="0"/>
  <conditionalFormatting sqref="R13:R200">
    <cfRule type="expression" priority="7">
      <formula>$E13="Cancelled"</formula>
    </cfRule>
    <cfRule type="expression" dxfId="59" priority="8">
      <formula>$E13&lt;&gt;"Cancelled"</formula>
    </cfRule>
  </conditionalFormatting>
  <conditionalFormatting sqref="N13:Q200">
    <cfRule type="expression" priority="5">
      <formula>$E13&lt;&gt;"Not Started"</formula>
    </cfRule>
    <cfRule type="expression" dxfId="58" priority="6">
      <formula>$E13="Not Started"</formula>
    </cfRule>
  </conditionalFormatting>
  <conditionalFormatting sqref="S13:S200">
    <cfRule type="expression" dxfId="57" priority="3" stopIfTrue="1">
      <formula>OR($E13="Not Started",$E13="Cancelled",$E13="")</formula>
    </cfRule>
    <cfRule type="expression" priority="4">
      <formula>AND($E13&lt;&gt;"Not Started",$E13&lt;&gt;"Cancelled")</formula>
    </cfRule>
  </conditionalFormatting>
  <conditionalFormatting sqref="T13:T200">
    <cfRule type="expression" dxfId="56" priority="1" stopIfTrue="1">
      <formula>$E13&lt;&gt;"Completed"</formula>
    </cfRule>
    <cfRule type="expression" priority="2">
      <formula>$E13="Completed"</formula>
    </cfRule>
  </conditionalFormatting>
  <dataValidations count="12">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whole" operator="lessThanOrEqual" allowBlank="1" showInputMessage="1" showErrorMessage="1" errorTitle="Max Length Exceed" error="Value cannot exceed 7 digits." sqref="O13:O200" xr:uid="{99A627F6-11F2-4335-AF22-2613C979CA39}">
      <formula1>9999999</formula1>
    </dataValidation>
    <dataValidation type="whole" operator="lessThanOrEqual" allowBlank="1" showInputMessage="1" showErrorMessage="1" errorTitle="Max Length Exceed" error="Value cannot exceed 10 digits." sqref="Q13:Q200" xr:uid="{59899CE4-4877-4521-BEAC-35AC43B27F58}">
      <formula1>9999999999</formula1>
    </dataValidation>
    <dataValidation type="textLength" operator="lessThanOrEqual" allowBlank="1" showInputMessage="1" showErrorMessage="1" errorTitle="Max Length Exceed" error="Value cannot exceed 255 characters." sqref="R13:R200" xr:uid="{4DCFA90A-3F6F-46AA-BDA1-8545D17606A2}">
      <formula1>255</formula1>
    </dataValidation>
    <dataValidation type="date" operator="lessThan" allowBlank="1" showInputMessage="1" showErrorMessage="1" errorTitle="Date Format" error="Please check the format of the date you entered." sqref="S13:T200" xr:uid="{0A8F5A83-0E41-485D-B81E-5ACFA9E66F0D}">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25.6328125" style="113" customWidth="1"/>
    <col min="5" max="5" width="23.6328125" style="113" customWidth="1"/>
    <col min="6" max="10" width="15.6328125" style="113" customWidth="1"/>
    <col min="11" max="11" width="28.6328125" style="113" customWidth="1"/>
    <col min="12"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73" width="19.7265625" style="113" customWidth="1"/>
    <col min="74" max="16384" width="9.1796875" style="113"/>
  </cols>
  <sheetData>
    <row r="1" spans="1:73" ht="27" hidden="1" customHeight="1" x14ac:dyDescent="0.2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2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970</v>
      </c>
      <c r="BS3" s="67" t="s">
        <v>971</v>
      </c>
      <c r="BT3" s="105" t="s">
        <v>1012</v>
      </c>
      <c r="BU3" s="105" t="s">
        <v>1013</v>
      </c>
    </row>
    <row r="4" spans="1:73" s="146"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46"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1014</v>
      </c>
      <c r="BU5" s="68" t="s">
        <v>1015</v>
      </c>
    </row>
    <row r="6" spans="1:73" s="146"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46"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46"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46"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46" customFormat="1" ht="35.15"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990</v>
      </c>
      <c r="AG10" s="42" t="s">
        <v>990</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974</v>
      </c>
      <c r="BS10" s="42" t="s">
        <v>973</v>
      </c>
      <c r="BT10" s="39" t="s">
        <v>1014</v>
      </c>
      <c r="BU10" s="39" t="s">
        <v>1015</v>
      </c>
    </row>
    <row r="11" spans="1:73"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c r="BT11" s="165"/>
      <c r="BU11" s="165"/>
    </row>
    <row r="12" spans="1:73" ht="195"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248</v>
      </c>
      <c r="O12" s="184" t="s">
        <v>249</v>
      </c>
      <c r="P12" s="184" t="s">
        <v>650</v>
      </c>
      <c r="Q12" s="184" t="s">
        <v>252</v>
      </c>
      <c r="R12" s="184" t="s">
        <v>330</v>
      </c>
      <c r="S12" s="184" t="s">
        <v>332</v>
      </c>
      <c r="T12" s="184" t="s">
        <v>331</v>
      </c>
      <c r="U12" s="184" t="s">
        <v>335</v>
      </c>
      <c r="V12" s="184" t="s">
        <v>333</v>
      </c>
      <c r="W12" s="184" t="s">
        <v>334</v>
      </c>
      <c r="X12" s="184" t="s">
        <v>336</v>
      </c>
      <c r="Y12" s="184" t="s">
        <v>337</v>
      </c>
      <c r="Z12" s="184" t="s">
        <v>338</v>
      </c>
      <c r="AA12" s="184" t="s">
        <v>339</v>
      </c>
      <c r="AB12" s="184" t="s">
        <v>340</v>
      </c>
      <c r="AC12" s="184" t="s">
        <v>341</v>
      </c>
      <c r="AD12" s="184" t="s">
        <v>343</v>
      </c>
      <c r="AE12" s="184" t="s">
        <v>342</v>
      </c>
      <c r="AF12" s="184" t="s">
        <v>576</v>
      </c>
      <c r="AG12" s="184" t="s">
        <v>577</v>
      </c>
      <c r="AH12" s="184" t="s">
        <v>952</v>
      </c>
      <c r="AI12" s="184" t="s">
        <v>649</v>
      </c>
      <c r="AJ12" s="184" t="s">
        <v>648</v>
      </c>
      <c r="AK12" s="184" t="s">
        <v>582</v>
      </c>
      <c r="AL12" s="184" t="s">
        <v>583</v>
      </c>
      <c r="AM12" s="184" t="s">
        <v>943</v>
      </c>
      <c r="AN12" s="184" t="s">
        <v>821</v>
      </c>
      <c r="AO12" s="184" t="s">
        <v>824</v>
      </c>
      <c r="AP12" s="184" t="s">
        <v>825</v>
      </c>
      <c r="AQ12" s="184" t="s">
        <v>826</v>
      </c>
      <c r="AR12" s="184" t="s">
        <v>831</v>
      </c>
      <c r="AS12" s="184" t="s">
        <v>832</v>
      </c>
      <c r="AT12" s="184" t="s">
        <v>833</v>
      </c>
      <c r="AU12" s="184" t="s">
        <v>834</v>
      </c>
      <c r="AV12" s="184" t="s">
        <v>838</v>
      </c>
      <c r="AW12" s="184" t="s">
        <v>840</v>
      </c>
      <c r="AX12" s="184" t="s">
        <v>849</v>
      </c>
      <c r="AY12" s="184" t="s">
        <v>850</v>
      </c>
      <c r="AZ12" s="184" t="s">
        <v>841</v>
      </c>
      <c r="BA12" s="184" t="s">
        <v>844</v>
      </c>
      <c r="BB12" s="184" t="s">
        <v>852</v>
      </c>
      <c r="BC12" s="184" t="s">
        <v>851</v>
      </c>
      <c r="BD12" s="184" t="s">
        <v>857</v>
      </c>
      <c r="BE12" s="184" t="s">
        <v>858</v>
      </c>
      <c r="BF12" s="184" t="s">
        <v>859</v>
      </c>
      <c r="BG12" s="184" t="s">
        <v>860</v>
      </c>
      <c r="BH12" s="184" t="s">
        <v>863</v>
      </c>
      <c r="BI12" s="184" t="s">
        <v>864</v>
      </c>
      <c r="BJ12" s="184" t="s">
        <v>867</v>
      </c>
      <c r="BK12" s="184" t="s">
        <v>868</v>
      </c>
      <c r="BL12" s="184" t="s">
        <v>873</v>
      </c>
      <c r="BM12" s="184" t="s">
        <v>874</v>
      </c>
      <c r="BN12" s="184" t="s">
        <v>776</v>
      </c>
      <c r="BO12" s="184" t="s">
        <v>810</v>
      </c>
      <c r="BP12" s="184" t="s">
        <v>946</v>
      </c>
      <c r="BQ12" s="184" t="s">
        <v>947</v>
      </c>
      <c r="BR12" s="259" t="s">
        <v>969</v>
      </c>
      <c r="BS12" s="259" t="s">
        <v>972</v>
      </c>
      <c r="BT12" s="184" t="s">
        <v>1016</v>
      </c>
      <c r="BU12" s="184" t="s">
        <v>1017</v>
      </c>
    </row>
    <row r="13" spans="1:73" s="116" customFormat="1" ht="12.75" customHeight="1" x14ac:dyDescent="0.25">
      <c r="A13" s="190" t="s">
        <v>135</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c r="BT13" s="196"/>
      <c r="BU13" s="196"/>
    </row>
    <row r="14" spans="1:73"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c r="BT14" s="196"/>
      <c r="BU14" s="196"/>
    </row>
    <row r="15" spans="1:73"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c r="BT15" s="196"/>
      <c r="BU15" s="196"/>
    </row>
    <row r="16" spans="1:73"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c r="BT16" s="196"/>
      <c r="BU16" s="196"/>
    </row>
    <row r="17" spans="1:73"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c r="BT17" s="196"/>
      <c r="BU17" s="196"/>
    </row>
    <row r="18" spans="1:73"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c r="BT18" s="196"/>
      <c r="BU18" s="196"/>
    </row>
    <row r="19" spans="1:73"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c r="BT19" s="196"/>
      <c r="BU19" s="196"/>
    </row>
    <row r="20" spans="1:73"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c r="BT20" s="196"/>
      <c r="BU20" s="196"/>
    </row>
    <row r="21" spans="1:73"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c r="BT21" s="196"/>
      <c r="BU21" s="196"/>
    </row>
    <row r="22" spans="1:73"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c r="BT22" s="196"/>
      <c r="BU22" s="196"/>
    </row>
    <row r="23" spans="1:73"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c r="BT23" s="196"/>
      <c r="BU23" s="196"/>
    </row>
    <row r="24" spans="1:73"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c r="BT24" s="196"/>
      <c r="BU24" s="196"/>
    </row>
    <row r="25" spans="1:73"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c r="BT25" s="196"/>
      <c r="BU25" s="196"/>
    </row>
    <row r="26" spans="1:73"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c r="BT26" s="196"/>
      <c r="BU26" s="196"/>
    </row>
    <row r="27" spans="1:73"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c r="BT27" s="196"/>
      <c r="BU27" s="196"/>
    </row>
    <row r="28" spans="1:73"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c r="BT28" s="196"/>
      <c r="BU28" s="196"/>
    </row>
    <row r="29" spans="1:73"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c r="BT29" s="196"/>
      <c r="BU29" s="196"/>
    </row>
    <row r="30" spans="1:73"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c r="BT30" s="196"/>
      <c r="BU30" s="196"/>
    </row>
    <row r="31" spans="1:73"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c r="BT31" s="196"/>
      <c r="BU31" s="196"/>
    </row>
    <row r="32" spans="1:73"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c r="BT32" s="196"/>
      <c r="BU32" s="196"/>
    </row>
    <row r="33" spans="1:73"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c r="BT33" s="196"/>
      <c r="BU33" s="196"/>
    </row>
    <row r="34" spans="1:73"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c r="BT34" s="196"/>
      <c r="BU34" s="196"/>
    </row>
    <row r="35" spans="1:73"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c r="BT35" s="196"/>
      <c r="BU35" s="196"/>
    </row>
    <row r="36" spans="1:73"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c r="BT36" s="196"/>
      <c r="BU36" s="196"/>
    </row>
    <row r="37" spans="1:73"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c r="BT37" s="196"/>
      <c r="BU37" s="196"/>
    </row>
    <row r="38" spans="1:73"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c r="BT38" s="199"/>
      <c r="BU38" s="199"/>
    </row>
    <row r="39" spans="1:73"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c r="BT39" s="199"/>
      <c r="BU39" s="199"/>
    </row>
    <row r="40" spans="1:73"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c r="BT40" s="199"/>
      <c r="BU40" s="199"/>
    </row>
    <row r="41" spans="1:73"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c r="BT41" s="199"/>
      <c r="BU41" s="199"/>
    </row>
    <row r="42" spans="1:73"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c r="BT42" s="199"/>
      <c r="BU42" s="199"/>
    </row>
    <row r="43" spans="1:73"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c r="BT43" s="199"/>
      <c r="BU43" s="199"/>
    </row>
    <row r="44" spans="1:73"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c r="BT44" s="199"/>
      <c r="BU44" s="199"/>
    </row>
    <row r="45" spans="1:73"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c r="BT45" s="199"/>
      <c r="BU45" s="199"/>
    </row>
    <row r="46" spans="1:73"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c r="BT46" s="199"/>
      <c r="BU46" s="199"/>
    </row>
    <row r="47" spans="1:73"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c r="BT47" s="199"/>
      <c r="BU47" s="199"/>
    </row>
    <row r="48" spans="1:73"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c r="BT48" s="199"/>
      <c r="BU48" s="199"/>
    </row>
    <row r="49" spans="1:73"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c r="BT49" s="199"/>
      <c r="BU49" s="199"/>
    </row>
    <row r="50" spans="1:73"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c r="BT50" s="199"/>
      <c r="BU50" s="199"/>
    </row>
    <row r="51" spans="1:73"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c r="BT51" s="199"/>
      <c r="BU51" s="199"/>
    </row>
    <row r="52" spans="1:73"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c r="BT52" s="199"/>
      <c r="BU52" s="199"/>
    </row>
    <row r="53" spans="1:73"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c r="BT53" s="199"/>
      <c r="BU53" s="199"/>
    </row>
    <row r="54" spans="1:73"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c r="BT54" s="199"/>
      <c r="BU54" s="199"/>
    </row>
    <row r="55" spans="1:73"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c r="BT55" s="199"/>
      <c r="BU55" s="199"/>
    </row>
    <row r="56" spans="1:73"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c r="BT56" s="199"/>
      <c r="BU56" s="199"/>
    </row>
    <row r="57" spans="1:73"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c r="BT57" s="199"/>
      <c r="BU57" s="199"/>
    </row>
    <row r="58" spans="1:73"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c r="BT58" s="199"/>
      <c r="BU58" s="199"/>
    </row>
    <row r="59" spans="1:73"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c r="BT59" s="199"/>
      <c r="BU59" s="199"/>
    </row>
    <row r="60" spans="1:73"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c r="BT60" s="199"/>
      <c r="BU60" s="199"/>
    </row>
    <row r="61" spans="1:73"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c r="BT61" s="199"/>
      <c r="BU61" s="199"/>
    </row>
    <row r="62" spans="1:73"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c r="BT62" s="199"/>
      <c r="BU62" s="199"/>
    </row>
    <row r="63" spans="1:73"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c r="BT63" s="199"/>
      <c r="BU63" s="199"/>
    </row>
    <row r="64" spans="1:73"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c r="BT64" s="199"/>
      <c r="BU64" s="199"/>
    </row>
    <row r="65" spans="1:73"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c r="BT65" s="199"/>
      <c r="BU65" s="199"/>
    </row>
    <row r="66" spans="1:73"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c r="BT66" s="199"/>
      <c r="BU66" s="199"/>
    </row>
    <row r="67" spans="1:73"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c r="BT67" s="199"/>
      <c r="BU67" s="199"/>
    </row>
    <row r="68" spans="1:73"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c r="BT68" s="199"/>
      <c r="BU68" s="199"/>
    </row>
    <row r="69" spans="1:73"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c r="BT69" s="199"/>
      <c r="BU69" s="199"/>
    </row>
    <row r="70" spans="1:73"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c r="BT70" s="199"/>
      <c r="BU70" s="199"/>
    </row>
    <row r="71" spans="1:73"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c r="BT71" s="199"/>
      <c r="BU71" s="199"/>
    </row>
    <row r="72" spans="1:73"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c r="BT72" s="199"/>
      <c r="BU72" s="199"/>
    </row>
    <row r="73" spans="1:73"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c r="BT73" s="199"/>
      <c r="BU73" s="199"/>
    </row>
    <row r="74" spans="1:73"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c r="BT74" s="199"/>
      <c r="BU74" s="199"/>
    </row>
    <row r="75" spans="1:73"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c r="BT75" s="199"/>
      <c r="BU75" s="199"/>
    </row>
    <row r="76" spans="1:73"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c r="BT76" s="199"/>
      <c r="BU76" s="199"/>
    </row>
    <row r="77" spans="1:73"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c r="BT77" s="199"/>
      <c r="BU77" s="199"/>
    </row>
    <row r="78" spans="1:73"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c r="BT78" s="199"/>
      <c r="BU78" s="199"/>
    </row>
    <row r="79" spans="1:73"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c r="BT79" s="199"/>
      <c r="BU79" s="199"/>
    </row>
    <row r="80" spans="1:73"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c r="BT80" s="199"/>
      <c r="BU80" s="199"/>
    </row>
    <row r="81" spans="1:73"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c r="BT81" s="199"/>
      <c r="BU81" s="199"/>
    </row>
    <row r="82" spans="1:73"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c r="BT82" s="199"/>
      <c r="BU82" s="199"/>
    </row>
    <row r="83" spans="1:73"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c r="BT83" s="199"/>
      <c r="BU83" s="199"/>
    </row>
    <row r="84" spans="1:73"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c r="BT84" s="199"/>
      <c r="BU84" s="199"/>
    </row>
    <row r="85" spans="1:73"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c r="BT85" s="199"/>
      <c r="BU85" s="199"/>
    </row>
    <row r="86" spans="1:73"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c r="BT86" s="199"/>
      <c r="BU86" s="199"/>
    </row>
    <row r="87" spans="1:73"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c r="BT87" s="199"/>
      <c r="BU87" s="199"/>
    </row>
    <row r="88" spans="1:73"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c r="BT88" s="199"/>
      <c r="BU88" s="199"/>
    </row>
    <row r="89" spans="1:73"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c r="BT89" s="199"/>
      <c r="BU89" s="199"/>
    </row>
    <row r="90" spans="1:73"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c r="BT90" s="199"/>
      <c r="BU90" s="199"/>
    </row>
    <row r="91" spans="1:73"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c r="BT91" s="199"/>
      <c r="BU91" s="199"/>
    </row>
    <row r="92" spans="1:73"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c r="BT92" s="199"/>
      <c r="BU92" s="199"/>
    </row>
    <row r="93" spans="1:73"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c r="BT93" s="199"/>
      <c r="BU93" s="199"/>
    </row>
    <row r="94" spans="1:73"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c r="BT94" s="199"/>
      <c r="BU94" s="199"/>
    </row>
    <row r="95" spans="1:73"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c r="BT95" s="199"/>
      <c r="BU95" s="199"/>
    </row>
    <row r="96" spans="1:73"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c r="BT96" s="199"/>
      <c r="BU96" s="199"/>
    </row>
    <row r="97" spans="1:73"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c r="BT97" s="199"/>
      <c r="BU97" s="199"/>
    </row>
    <row r="98" spans="1:73"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c r="BT98" s="199"/>
      <c r="BU98" s="199"/>
    </row>
    <row r="99" spans="1:73"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c r="BT99" s="199"/>
      <c r="BU99" s="199"/>
    </row>
    <row r="100" spans="1:73"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c r="BT100" s="199"/>
      <c r="BU100" s="199"/>
    </row>
    <row r="101" spans="1:73"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c r="BT101" s="199"/>
      <c r="BU101" s="199"/>
    </row>
    <row r="102" spans="1:73"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c r="BT102" s="199"/>
      <c r="BU102" s="199"/>
    </row>
    <row r="103" spans="1:73"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c r="BT103" s="199"/>
      <c r="BU103" s="199"/>
    </row>
    <row r="104" spans="1:73"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c r="BT104" s="199"/>
      <c r="BU104" s="199"/>
    </row>
    <row r="105" spans="1:73"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c r="BT105" s="199"/>
      <c r="BU105" s="199"/>
    </row>
    <row r="106" spans="1:73"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c r="BT106" s="199"/>
      <c r="BU106" s="199"/>
    </row>
    <row r="107" spans="1:73"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c r="BT107" s="199"/>
      <c r="BU107" s="199"/>
    </row>
    <row r="108" spans="1:73"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c r="BT108" s="199"/>
      <c r="BU108" s="199"/>
    </row>
    <row r="109" spans="1:73"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c r="BT109" s="199"/>
      <c r="BU109" s="199"/>
    </row>
    <row r="110" spans="1:73"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c r="BT110" s="199"/>
      <c r="BU110" s="199"/>
    </row>
    <row r="111" spans="1:73"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c r="BT111" s="199"/>
      <c r="BU111" s="199"/>
    </row>
    <row r="112" spans="1:73"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c r="BT112" s="199"/>
      <c r="BU112" s="199"/>
    </row>
    <row r="113" spans="1:73"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c r="BT113" s="199"/>
      <c r="BU113" s="199"/>
    </row>
    <row r="114" spans="1:73"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c r="BT114" s="199"/>
      <c r="BU114" s="199"/>
    </row>
    <row r="115" spans="1:73"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c r="BT115" s="199"/>
      <c r="BU115" s="199"/>
    </row>
    <row r="116" spans="1:73"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c r="BT116" s="199"/>
      <c r="BU116" s="199"/>
    </row>
    <row r="117" spans="1:73"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c r="BT117" s="199"/>
      <c r="BU117" s="199"/>
    </row>
    <row r="118" spans="1:73"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c r="BT118" s="199"/>
      <c r="BU118" s="199"/>
    </row>
    <row r="119" spans="1:73"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c r="BT119" s="199"/>
      <c r="BU119" s="199"/>
    </row>
    <row r="120" spans="1:73"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c r="BT120" s="199"/>
      <c r="BU120" s="199"/>
    </row>
    <row r="121" spans="1:73"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c r="BT121" s="199"/>
      <c r="BU121" s="199"/>
    </row>
    <row r="122" spans="1:73"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c r="BT122" s="199"/>
      <c r="BU122" s="199"/>
    </row>
    <row r="123" spans="1:73"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c r="BT123" s="199"/>
      <c r="BU123" s="199"/>
    </row>
    <row r="124" spans="1:73"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c r="BT124" s="199"/>
      <c r="BU124" s="199"/>
    </row>
    <row r="125" spans="1:73"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c r="BT125" s="199"/>
      <c r="BU125" s="199"/>
    </row>
    <row r="126" spans="1:73"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c r="BT126" s="199"/>
      <c r="BU126" s="199"/>
    </row>
    <row r="127" spans="1:73"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c r="BT127" s="199"/>
      <c r="BU127" s="199"/>
    </row>
    <row r="128" spans="1:73"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c r="BT128" s="199"/>
      <c r="BU128" s="199"/>
    </row>
    <row r="129" spans="1:73"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c r="BT129" s="199"/>
      <c r="BU129" s="199"/>
    </row>
    <row r="130" spans="1:73"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c r="BT130" s="199"/>
      <c r="BU130" s="199"/>
    </row>
    <row r="131" spans="1:73"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c r="BT131" s="199"/>
      <c r="BU131" s="199"/>
    </row>
    <row r="132" spans="1:73"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c r="BT132" s="199"/>
      <c r="BU132" s="199"/>
    </row>
    <row r="133" spans="1:73"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c r="BT133" s="199"/>
      <c r="BU133" s="199"/>
    </row>
    <row r="134" spans="1:73"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c r="BT134" s="199"/>
      <c r="BU134" s="199"/>
    </row>
    <row r="135" spans="1:73"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c r="BT135" s="199"/>
      <c r="BU135" s="199"/>
    </row>
    <row r="136" spans="1:73"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c r="BT136" s="199"/>
      <c r="BU136" s="199"/>
    </row>
    <row r="137" spans="1:73"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c r="BT137" s="199"/>
      <c r="BU137" s="199"/>
    </row>
    <row r="138" spans="1:73"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c r="BT138" s="199"/>
      <c r="BU138" s="199"/>
    </row>
    <row r="139" spans="1:73"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c r="BT139" s="199"/>
      <c r="BU139" s="199"/>
    </row>
    <row r="140" spans="1:73"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c r="BT140" s="199"/>
      <c r="BU140" s="199"/>
    </row>
    <row r="141" spans="1:73"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c r="BT141" s="199"/>
      <c r="BU141" s="199"/>
    </row>
    <row r="142" spans="1:73"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c r="BT142" s="199"/>
      <c r="BU142" s="199"/>
    </row>
    <row r="143" spans="1:73"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c r="BT143" s="199"/>
      <c r="BU143" s="199"/>
    </row>
    <row r="144" spans="1:73"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c r="BT144" s="199"/>
      <c r="BU144" s="199"/>
    </row>
    <row r="145" spans="1:73"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c r="BT145" s="199"/>
      <c r="BU145" s="199"/>
    </row>
    <row r="146" spans="1:73"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c r="BT146" s="199"/>
      <c r="BU146" s="199"/>
    </row>
    <row r="147" spans="1:73"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c r="BT147" s="199"/>
      <c r="BU147" s="199"/>
    </row>
    <row r="148" spans="1:73"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c r="BT148" s="199"/>
      <c r="BU148" s="199"/>
    </row>
    <row r="149" spans="1:73"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c r="BT149" s="199"/>
      <c r="BU149" s="199"/>
    </row>
    <row r="150" spans="1:73"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c r="BT150" s="199"/>
      <c r="BU150" s="199"/>
    </row>
    <row r="151" spans="1:73"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c r="BT151" s="199"/>
      <c r="BU151" s="199"/>
    </row>
    <row r="152" spans="1:73"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c r="BT152" s="199"/>
      <c r="BU152" s="199"/>
    </row>
    <row r="153" spans="1:73"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c r="BT153" s="199"/>
      <c r="BU153" s="199"/>
    </row>
    <row r="154" spans="1:73"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c r="BT154" s="199"/>
      <c r="BU154" s="199"/>
    </row>
    <row r="155" spans="1:73"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c r="BT155" s="199"/>
      <c r="BU155" s="199"/>
    </row>
    <row r="156" spans="1:73"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c r="BT156" s="199"/>
      <c r="BU156" s="199"/>
    </row>
    <row r="157" spans="1:73"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c r="BT157" s="199"/>
      <c r="BU157" s="199"/>
    </row>
    <row r="158" spans="1:73"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c r="BT158" s="199"/>
      <c r="BU158" s="199"/>
    </row>
    <row r="159" spans="1:73"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c r="BT159" s="199"/>
      <c r="BU159" s="199"/>
    </row>
    <row r="160" spans="1:73"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c r="BT160" s="199"/>
      <c r="BU160" s="199"/>
    </row>
    <row r="161" spans="1:73"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c r="BT161" s="199"/>
      <c r="BU161" s="199"/>
    </row>
    <row r="162" spans="1:73"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c r="BT162" s="199"/>
      <c r="BU162" s="199"/>
    </row>
    <row r="163" spans="1:73"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c r="BT163" s="199"/>
      <c r="BU163" s="199"/>
    </row>
    <row r="164" spans="1:73"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c r="BT164" s="199"/>
      <c r="BU164" s="199"/>
    </row>
    <row r="165" spans="1:73"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c r="BT165" s="199"/>
      <c r="BU165" s="199"/>
    </row>
    <row r="166" spans="1:73"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c r="BT166" s="199"/>
      <c r="BU166" s="199"/>
    </row>
    <row r="167" spans="1:73"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c r="BT167" s="199"/>
      <c r="BU167" s="199"/>
    </row>
    <row r="168" spans="1:73"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c r="BT168" s="199"/>
      <c r="BU168" s="199"/>
    </row>
    <row r="169" spans="1:73"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c r="BT169" s="199"/>
      <c r="BU169" s="199"/>
    </row>
    <row r="170" spans="1:73"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c r="BT170" s="199"/>
      <c r="BU170" s="199"/>
    </row>
    <row r="171" spans="1:73"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c r="BT171" s="199"/>
      <c r="BU171" s="199"/>
    </row>
    <row r="172" spans="1:73"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c r="BT172" s="199"/>
      <c r="BU172" s="199"/>
    </row>
    <row r="173" spans="1:73"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c r="BT173" s="199"/>
      <c r="BU173" s="199"/>
    </row>
    <row r="174" spans="1:73"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c r="BT174" s="199"/>
      <c r="BU174" s="199"/>
    </row>
    <row r="175" spans="1:73"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c r="BT175" s="199"/>
      <c r="BU175" s="199"/>
    </row>
    <row r="176" spans="1:73"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c r="BT176" s="199"/>
      <c r="BU176" s="199"/>
    </row>
    <row r="177" spans="1:73"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c r="BT177" s="199"/>
      <c r="BU177" s="199"/>
    </row>
    <row r="178" spans="1:73"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c r="BT178" s="199"/>
      <c r="BU178" s="199"/>
    </row>
    <row r="179" spans="1:73"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c r="BT179" s="199"/>
      <c r="BU179" s="199"/>
    </row>
    <row r="180" spans="1:73"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c r="BT180" s="199"/>
      <c r="BU180" s="199"/>
    </row>
    <row r="181" spans="1:73"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c r="BT181" s="199"/>
      <c r="BU181" s="199"/>
    </row>
    <row r="182" spans="1:73"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c r="BT182" s="199"/>
      <c r="BU182" s="199"/>
    </row>
    <row r="183" spans="1:73"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c r="BT183" s="199"/>
      <c r="BU183" s="199"/>
    </row>
    <row r="184" spans="1:73"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c r="BT184" s="199"/>
      <c r="BU184" s="199"/>
    </row>
    <row r="185" spans="1:73"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c r="BT185" s="199"/>
      <c r="BU185" s="199"/>
    </row>
    <row r="186" spans="1:73"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c r="BT186" s="199"/>
      <c r="BU186" s="199"/>
    </row>
    <row r="187" spans="1:73"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c r="BT187" s="199"/>
      <c r="BU187" s="199"/>
    </row>
    <row r="188" spans="1:73"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c r="BT188" s="199"/>
      <c r="BU188" s="199"/>
    </row>
    <row r="189" spans="1:73"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c r="BT189" s="199"/>
      <c r="BU189" s="199"/>
    </row>
    <row r="190" spans="1:73"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c r="BT190" s="199"/>
      <c r="BU190" s="199"/>
    </row>
    <row r="191" spans="1:73"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c r="BT191" s="199"/>
      <c r="BU191" s="199"/>
    </row>
    <row r="192" spans="1:73"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c r="BT192" s="199"/>
      <c r="BU192" s="199"/>
    </row>
    <row r="193" spans="1:73"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c r="BT193" s="199"/>
      <c r="BU193" s="199"/>
    </row>
    <row r="194" spans="1:73"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c r="BT194" s="199"/>
      <c r="BU194" s="199"/>
    </row>
    <row r="195" spans="1:73"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c r="BT195" s="199"/>
      <c r="BU195" s="199"/>
    </row>
    <row r="196" spans="1:73"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c r="BT196" s="199"/>
      <c r="BU196" s="199"/>
    </row>
    <row r="197" spans="1:73"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c r="BT197" s="199"/>
      <c r="BU197" s="199"/>
    </row>
    <row r="198" spans="1:73"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c r="BT198" s="199"/>
      <c r="BU198" s="199"/>
    </row>
    <row r="199" spans="1:73"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c r="BT199" s="199"/>
      <c r="BU199" s="199"/>
    </row>
    <row r="200" spans="1:73"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c r="BT200" s="199"/>
      <c r="BU200" s="199"/>
    </row>
  </sheetData>
  <sheetProtection algorithmName="SHA-512" hashValue="dNS2zykN8UvFbP6Q35ZD0x+fkYLuKu9COL7f0fNKOO5OWfh8CtfShVfzqpfJGOKqpoKqw9qbGIZEkx5btLWlJA==" saltValue="zcxnCB2dUdw+JmZRZs4kuA==" spinCount="100000" sheet="1" objects="1" scenarios="1" formatCells="0" formatRows="0"/>
  <dataConsolidate/>
  <conditionalFormatting sqref="AI13:AI200">
    <cfRule type="expression" dxfId="55" priority="86">
      <formula>$AH13="No"</formula>
    </cfRule>
    <cfRule type="expression" dxfId="54" priority="87">
      <formula>$AH13="Yes"</formula>
    </cfRule>
  </conditionalFormatting>
  <conditionalFormatting sqref="AE13:AE200">
    <cfRule type="expression" dxfId="53" priority="88">
      <formula>AND($F13&gt;=10000000,$AD13="Yes")</formula>
    </cfRule>
    <cfRule type="expression" dxfId="52" priority="89">
      <formula>OR($F13&lt;10000000,$AD13="No")</formula>
    </cfRule>
  </conditionalFormatting>
  <conditionalFormatting sqref="AC13:AD200">
    <cfRule type="expression" dxfId="51" priority="90">
      <formula>$F13&gt;=10000000</formula>
    </cfRule>
    <cfRule type="expression" dxfId="50" priority="92">
      <formula>$F13&lt;10000000</formula>
    </cfRule>
  </conditionalFormatting>
  <conditionalFormatting sqref="X13:AB200">
    <cfRule type="expression" dxfId="49" priority="93">
      <formula>$F13&lt;10000000</formula>
    </cfRule>
    <cfRule type="expression" dxfId="48" priority="94">
      <formula>AND($F13&gt;=10000000,$W13="Yes")</formula>
    </cfRule>
    <cfRule type="expression" dxfId="47" priority="95">
      <formula>AND($F13&gt;=10000000,$W13="No")</formula>
    </cfRule>
  </conditionalFormatting>
  <conditionalFormatting sqref="W13:W200">
    <cfRule type="expression" dxfId="46" priority="96">
      <formula>F13&lt;10000000</formula>
    </cfRule>
    <cfRule type="expression" dxfId="45" priority="97">
      <formula>F13&gt;=10000000</formula>
    </cfRule>
  </conditionalFormatting>
  <conditionalFormatting sqref="R13:R200">
    <cfRule type="expression" dxfId="44" priority="101">
      <formula>F13&gt;=10000000</formula>
    </cfRule>
    <cfRule type="expression" dxfId="43" priority="103">
      <formula>F13&lt;10000000</formula>
    </cfRule>
  </conditionalFormatting>
  <conditionalFormatting sqref="S13:V200">
    <cfRule type="expression" dxfId="42" priority="129">
      <formula>$F13&lt;10000000</formula>
    </cfRule>
    <cfRule type="expression" dxfId="41" priority="130">
      <formula>AND($F13&gt;=10000000,$R13="Yes")</formula>
    </cfRule>
    <cfRule type="expression" dxfId="40" priority="131">
      <formula>AND(F13&gt;=10000000,R13="No")</formula>
    </cfRule>
  </conditionalFormatting>
  <conditionalFormatting sqref="AM13:AM200">
    <cfRule type="expression" dxfId="39" priority="83">
      <formula>$AH13="No"</formula>
    </cfRule>
    <cfRule type="expression" dxfId="38" priority="84">
      <formula>$AH13="Yes"</formula>
    </cfRule>
  </conditionalFormatting>
  <conditionalFormatting sqref="BO13:BO200">
    <cfRule type="expression" priority="12">
      <formula>$E13="Cancelled"</formula>
    </cfRule>
    <cfRule type="expression" dxfId="37" priority="13">
      <formula>$E13&lt;&gt;"Cancelled"</formula>
    </cfRule>
  </conditionalFormatting>
  <conditionalFormatting sqref="AO13:AO200">
    <cfRule type="expression" dxfId="36" priority="56">
      <formula>LEFT($AN13,5)="Other"</formula>
    </cfRule>
    <cfRule type="expression" dxfId="35" priority="57">
      <formula>LEFT($AN13,5)&lt;&gt;"Other"</formula>
    </cfRule>
  </conditionalFormatting>
  <conditionalFormatting sqref="AQ13:AQ200">
    <cfRule type="expression" dxfId="34" priority="10">
      <formula>LEFT($AP13,5)="Other"</formula>
    </cfRule>
    <cfRule type="expression" dxfId="33" priority="11">
      <formula>LEFT($AP13,5)&lt;&gt;"Other"</formula>
    </cfRule>
  </conditionalFormatting>
  <conditionalFormatting sqref="AP13:AP200">
    <cfRule type="expression" priority="8" stopIfTrue="1">
      <formula>$E13="Completed"</formula>
    </cfRule>
    <cfRule type="expression" dxfId="32" priority="9">
      <formula>$E13&lt;&gt;"Completed"</formula>
    </cfRule>
  </conditionalFormatting>
  <conditionalFormatting sqref="AU13:AU200">
    <cfRule type="expression" priority="46">
      <formula>$E13="Completed"</formula>
    </cfRule>
    <cfRule type="expression" dxfId="31" priority="47">
      <formula>$E13&lt;&gt;"Completed"</formula>
    </cfRule>
  </conditionalFormatting>
  <conditionalFormatting sqref="AY13:AY200 BA13:BA200 BC13:BC200">
    <cfRule type="expression" priority="34">
      <formula>$E13="Completed"</formula>
    </cfRule>
    <cfRule type="expression" dxfId="30" priority="35">
      <formula>$E13&lt;&gt;"Completed"</formula>
    </cfRule>
  </conditionalFormatting>
  <conditionalFormatting sqref="BE13:BE200 BG13:BG200 BI13:BI200">
    <cfRule type="expression" priority="26">
      <formula>$E13="Completed"</formula>
    </cfRule>
    <cfRule type="expression" dxfId="29" priority="27">
      <formula>$E13&lt;&gt;"Completed"</formula>
    </cfRule>
  </conditionalFormatting>
  <conditionalFormatting sqref="AS13:AS200">
    <cfRule type="expression" priority="50" stopIfTrue="1">
      <formula>$E13="Completed"</formula>
    </cfRule>
    <cfRule type="expression" dxfId="28" priority="51">
      <formula>$E13&lt;&gt;"Completed"</formula>
    </cfRule>
  </conditionalFormatting>
  <conditionalFormatting sqref="AV13:AX200 AZ13:AZ200">
    <cfRule type="expression" priority="42">
      <formula>$E13&lt;&gt;"Not Started"</formula>
    </cfRule>
    <cfRule type="expression" dxfId="27" priority="43">
      <formula>$E13="Not Started"</formula>
    </cfRule>
  </conditionalFormatting>
  <conditionalFormatting sqref="BN13:BN200">
    <cfRule type="expression" priority="5">
      <formula>$AM13="Yes"</formula>
    </cfRule>
    <cfRule type="expression" dxfId="26" priority="6">
      <formula>$AM13&lt;&gt;"Yes"</formula>
    </cfRule>
  </conditionalFormatting>
  <conditionalFormatting sqref="N13:Q200 AF13:BN200">
    <cfRule type="expression" priority="64" stopIfTrue="1">
      <formula>_xlfn.NUMBERVALUE(MID(MID($C11,1,FIND("-",$C11,1)-1),3,2))&gt;=19</formula>
    </cfRule>
    <cfRule type="expression" dxfId="25" priority="65">
      <formula>AND(_xlfn.NUMBERVALUE(MID(MID($C11,1,FIND("-",$C11,1)-1),3,2))&lt;19,$E13="Not Started")</formula>
    </cfRule>
  </conditionalFormatting>
  <conditionalFormatting sqref="BK13:BK200 BM13:BM200 BQ13:BQ200">
    <cfRule type="expression" priority="18">
      <formula>$E13="Completed"</formula>
    </cfRule>
    <cfRule type="expression" dxfId="24" priority="19">
      <formula>$E13&lt;&gt;"Completed"</formula>
    </cfRule>
  </conditionalFormatting>
  <conditionalFormatting sqref="BT13:BT200">
    <cfRule type="expression" dxfId="23" priority="3" stopIfTrue="1">
      <formula>OR($E13="Not Started",$E13="Cancelled",$E13="")</formula>
    </cfRule>
    <cfRule type="expression" priority="4">
      <formula>AND($E13&lt;&gt;"Not Started",$E13&lt;&gt;"Cancelled")</formula>
    </cfRule>
  </conditionalFormatting>
  <conditionalFormatting sqref="BU13:BU200">
    <cfRule type="expression" dxfId="22"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CF244D72-C356-459B-99C7-43C8E6CD2018}">
      <formula1>80</formula1>
    </dataValidation>
    <dataValidation type="textLength" operator="lessThanOrEqual" allowBlank="1" showInputMessage="1" showErrorMessage="1" errorTitle="Max Length Exceed" error="Value cannot exceed 20 characters." sqref="D13:D200" xr:uid="{F2BC8904-328C-4EE8-BA25-DBB73FDCF346}">
      <formula1>20</formula1>
    </dataValidation>
    <dataValidation type="decimal" operator="lessThanOrEqual" allowBlank="1" showInputMessage="1" showErrorMessage="1" errorTitle="Maximum Exceeded" error="Value cannot exceed 999,999,999,999.99" sqref="AK13:AL200 L13:M200 F13:J200" xr:uid="{4D7E4BAF-B05D-4CA1-BE66-81897BF85AE1}">
      <formula1>999999999999.99</formula1>
    </dataValidation>
    <dataValidation type="textLength" operator="lessThanOrEqual" allowBlank="1" showInputMessage="1" showErrorMessage="1" errorTitle="Max Length Exceed" error="Value cannot exceed 1500 characters." sqref="K13:K200 BP13:BQ200 AI13:AI200" xr:uid="{C40E575F-0877-4BE3-8E27-2BC4DFF3FA0A}">
      <formula1>1500</formula1>
    </dataValidation>
    <dataValidation type="date" operator="lessThan" allowBlank="1" showInputMessage="1" showErrorMessage="1" errorTitle="Date Format" error="Please check the format of the date you entered." sqref="BT13:BU200 N13:O200" xr:uid="{EFE9026F-3CBA-4CF4-B98E-EDBA9B456365}">
      <formula1>46753</formula1>
    </dataValidation>
    <dataValidation type="textLength" operator="lessThanOrEqual" allowBlank="1" showInputMessage="1" showErrorMessage="1" errorTitle="Max Length Exceed" error="Value cannot exceed 255 characters." sqref="Q13:Q200 BO13:BO200" xr:uid="{197A3E04-89A1-4051-952A-ED2E3A4B316A}">
      <formula1>255</formula1>
    </dataValidation>
    <dataValidation type="textLength" operator="lessThanOrEqual" allowBlank="1" showInputMessage="1" showErrorMessage="1" errorTitle="Max Length Exceed" error="Value cannot exceed 50 characters." sqref="AF13:AG200" xr:uid="{928EF30B-98B8-4818-8DD6-650EB9EBE858}">
      <formula1>50</formula1>
    </dataValidation>
    <dataValidation type="textLength" operator="lessThanOrEqual" allowBlank="1" showInputMessage="1" showErrorMessage="1" errorTitle="Max Length Exceed" error="Value cannot exceed 250 characters." sqref="AO13:AO200 BL13:BM200 AQ13:AQ200" xr:uid="{B4D09BFF-F62E-4053-A910-ABB5AA2E6EBB}">
      <formula1>250</formula1>
    </dataValidation>
    <dataValidation type="whole" operator="lessThanOrEqual" allowBlank="1" showInputMessage="1" showErrorMessage="1" errorTitle="Max Length Exceed" error="Value cannot exceed 10 digits." sqref="BR13:BR200 AR13:BK200" xr:uid="{E1E2B88A-ABDA-4304-B0A3-53D726857679}">
      <formula1>9999999999</formula1>
    </dataValidation>
    <dataValidation type="whole" operator="lessThanOrEqual" allowBlank="1" showInputMessage="1" showErrorMessage="1" errorTitle="Max Length Exceed" error="Value cannot exceed 6 digits." sqref="BS13:BS200" xr:uid="{9DC64B7F-28CF-4A0D-AB5E-F4F6A0740AFE}">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C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25.6328125" style="113" customWidth="1"/>
    <col min="5" max="5" width="23.6328125" style="113" customWidth="1"/>
    <col min="6"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29" width="19.7265625" style="113" customWidth="1"/>
    <col min="30" max="69" width="15.1796875" style="113" customWidth="1"/>
    <col min="70" max="16384" width="15.1796875" style="113"/>
  </cols>
  <sheetData>
    <row r="1" spans="1:29" ht="27" hidden="1" customHeight="1" x14ac:dyDescent="0.25">
      <c r="A1" s="20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row>
    <row r="2" spans="1:29" ht="27" hidden="1" customHeight="1" x14ac:dyDescent="0.25">
      <c r="A2" s="20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row>
    <row r="3" spans="1:29" ht="27" hidden="1" customHeight="1" x14ac:dyDescent="0.25">
      <c r="A3" s="20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1012</v>
      </c>
      <c r="AC3" s="105" t="s">
        <v>1013</v>
      </c>
    </row>
    <row r="4" spans="1:29" ht="27" hidden="1" customHeight="1" x14ac:dyDescent="0.25">
      <c r="A4" s="20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row>
    <row r="5" spans="1:29" ht="27" hidden="1" customHeight="1" x14ac:dyDescent="0.25">
      <c r="A5" s="20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1014</v>
      </c>
      <c r="AC5" s="68" t="s">
        <v>1015</v>
      </c>
    </row>
    <row r="6" spans="1:29" ht="27" hidden="1" customHeight="1" x14ac:dyDescent="0.25">
      <c r="A6" s="20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row>
    <row r="7" spans="1:29" ht="27" hidden="1" customHeight="1" x14ac:dyDescent="0.25">
      <c r="A7" s="20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row>
    <row r="8" spans="1:29" ht="27" hidden="1" customHeight="1" x14ac:dyDescent="0.25">
      <c r="A8" s="20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row>
    <row r="9" spans="1:29" ht="27" hidden="1" customHeight="1" x14ac:dyDescent="0.25">
      <c r="A9" s="20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row>
    <row r="10" spans="1:29" ht="35.15" hidden="1" customHeight="1" x14ac:dyDescent="0.25">
      <c r="A10" s="209" t="s">
        <v>703</v>
      </c>
      <c r="B10" s="210"/>
      <c r="C10" s="211" t="s">
        <v>706</v>
      </c>
      <c r="D10" s="211" t="s">
        <v>707</v>
      </c>
      <c r="E10" s="211" t="s">
        <v>708</v>
      </c>
      <c r="F10" s="211" t="s">
        <v>929</v>
      </c>
      <c r="G10" s="211" t="s">
        <v>930</v>
      </c>
      <c r="H10" s="212" t="s">
        <v>931</v>
      </c>
      <c r="I10" s="212" t="s">
        <v>932</v>
      </c>
      <c r="J10" s="212" t="s">
        <v>933</v>
      </c>
      <c r="K10" s="211"/>
      <c r="L10" s="211"/>
      <c r="M10" s="211"/>
      <c r="N10" s="211"/>
      <c r="O10" s="210"/>
      <c r="P10" s="211" t="s">
        <v>711</v>
      </c>
      <c r="Q10" s="211" t="s">
        <v>712</v>
      </c>
      <c r="R10" s="211" t="s">
        <v>713</v>
      </c>
      <c r="S10" s="213"/>
      <c r="T10" s="213"/>
      <c r="U10" s="213"/>
      <c r="V10" s="213"/>
      <c r="W10" s="213"/>
      <c r="X10" s="213"/>
      <c r="Y10" s="213"/>
      <c r="Z10" s="213"/>
      <c r="AA10" s="214"/>
      <c r="AB10" s="39" t="s">
        <v>1014</v>
      </c>
      <c r="AC10" s="39" t="s">
        <v>1015</v>
      </c>
    </row>
    <row r="11" spans="1:29" ht="14"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c r="AB11" s="165"/>
      <c r="AC11" s="165"/>
    </row>
    <row r="12" spans="1:29" ht="46.5" x14ac:dyDescent="0.3">
      <c r="A12" s="221" t="s">
        <v>134</v>
      </c>
      <c r="B12" s="222"/>
      <c r="C12" s="223" t="s">
        <v>5</v>
      </c>
      <c r="D12" s="223" t="s">
        <v>122</v>
      </c>
      <c r="E12" s="223" t="s">
        <v>123</v>
      </c>
      <c r="F12" s="223" t="s">
        <v>124</v>
      </c>
      <c r="G12" s="223" t="s">
        <v>459</v>
      </c>
      <c r="H12" s="223" t="s">
        <v>460</v>
      </c>
      <c r="I12" s="223" t="s">
        <v>461</v>
      </c>
      <c r="J12" s="223" t="s">
        <v>462</v>
      </c>
      <c r="K12" s="223" t="s">
        <v>125</v>
      </c>
      <c r="L12" s="223" t="s">
        <v>126</v>
      </c>
      <c r="M12" s="223" t="s">
        <v>520</v>
      </c>
      <c r="N12" s="223" t="s">
        <v>521</v>
      </c>
      <c r="O12" s="223" t="s">
        <v>522</v>
      </c>
      <c r="P12" s="223" t="s">
        <v>127</v>
      </c>
      <c r="Q12" s="261" t="s">
        <v>128</v>
      </c>
      <c r="R12" s="261" t="s">
        <v>129</v>
      </c>
      <c r="S12" s="223" t="s">
        <v>626</v>
      </c>
      <c r="T12" s="223" t="s">
        <v>475</v>
      </c>
      <c r="U12" s="261" t="s">
        <v>692</v>
      </c>
      <c r="V12" s="223" t="s">
        <v>477</v>
      </c>
      <c r="W12" s="261" t="s">
        <v>693</v>
      </c>
      <c r="X12" s="223" t="s">
        <v>478</v>
      </c>
      <c r="Y12" s="223" t="s">
        <v>513</v>
      </c>
      <c r="Z12" s="223" t="s">
        <v>514</v>
      </c>
      <c r="AA12" s="223" t="s">
        <v>810</v>
      </c>
      <c r="AB12" s="184" t="s">
        <v>1016</v>
      </c>
      <c r="AC12" s="184" t="s">
        <v>1017</v>
      </c>
    </row>
    <row r="13" spans="1:29" ht="12.75" customHeight="1" x14ac:dyDescent="0.3">
      <c r="A13" s="181" t="s">
        <v>135</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c r="AB13" s="196"/>
      <c r="AC13" s="196"/>
    </row>
    <row r="14" spans="1:29"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c r="AB14" s="196"/>
      <c r="AC14" s="196"/>
    </row>
    <row r="15" spans="1:29"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c r="AB15" s="196"/>
      <c r="AC15" s="196"/>
    </row>
    <row r="16" spans="1:29"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c r="AB16" s="196"/>
      <c r="AC16" s="196"/>
    </row>
    <row r="17" spans="1:29"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c r="AB17" s="196"/>
      <c r="AC17" s="196"/>
    </row>
    <row r="18" spans="1:29"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c r="AB18" s="196"/>
      <c r="AC18" s="196"/>
    </row>
    <row r="19" spans="1:29"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c r="AB19" s="196"/>
      <c r="AC19" s="196"/>
    </row>
    <row r="20" spans="1:29"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c r="AB20" s="196"/>
      <c r="AC20" s="196"/>
    </row>
    <row r="21" spans="1:29"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c r="AB21" s="196"/>
      <c r="AC21" s="196"/>
    </row>
    <row r="22" spans="1:29"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c r="AB22" s="196"/>
      <c r="AC22" s="196"/>
    </row>
    <row r="23" spans="1:29"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c r="AB23" s="196"/>
      <c r="AC23" s="196"/>
    </row>
    <row r="24" spans="1:29"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c r="AB24" s="196"/>
      <c r="AC24" s="196"/>
    </row>
    <row r="25" spans="1:29"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c r="AB25" s="196"/>
      <c r="AC25" s="196"/>
    </row>
    <row r="26" spans="1:29"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c r="AB26" s="196"/>
      <c r="AC26" s="196"/>
    </row>
    <row r="27" spans="1:29"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c r="AB27" s="196"/>
      <c r="AC27" s="196"/>
    </row>
    <row r="28" spans="1:29"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c r="AB28" s="196"/>
      <c r="AC28" s="196"/>
    </row>
    <row r="29" spans="1:29"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c r="AB29" s="196"/>
      <c r="AC29" s="196"/>
    </row>
    <row r="30" spans="1:29"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c r="AB30" s="196"/>
      <c r="AC30" s="196"/>
    </row>
    <row r="31" spans="1:29"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c r="AB31" s="196"/>
      <c r="AC31" s="196"/>
    </row>
    <row r="32" spans="1:29"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c r="AB32" s="196"/>
      <c r="AC32" s="196"/>
    </row>
    <row r="33" spans="1:29"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c r="AB33" s="196"/>
      <c r="AC33" s="196"/>
    </row>
    <row r="34" spans="1:29"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c r="AB34" s="196"/>
      <c r="AC34" s="196"/>
    </row>
    <row r="35" spans="1:29"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c r="AB35" s="196"/>
      <c r="AC35" s="196"/>
    </row>
    <row r="36" spans="1:29"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c r="AB36" s="196"/>
      <c r="AC36" s="196"/>
    </row>
    <row r="37" spans="1:29"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c r="AB37" s="196"/>
      <c r="AC37" s="196"/>
    </row>
    <row r="38" spans="1:29"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c r="AB38" s="199"/>
      <c r="AC38" s="199"/>
    </row>
    <row r="39" spans="1:29"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c r="AB39" s="199"/>
      <c r="AC39" s="199"/>
    </row>
    <row r="40" spans="1:29"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c r="AB40" s="199"/>
      <c r="AC40" s="199"/>
    </row>
    <row r="41" spans="1:29"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c r="AB41" s="199"/>
      <c r="AC41" s="199"/>
    </row>
    <row r="42" spans="1:29"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c r="AB42" s="199"/>
      <c r="AC42" s="199"/>
    </row>
    <row r="43" spans="1:29"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c r="AB43" s="199"/>
      <c r="AC43" s="199"/>
    </row>
    <row r="44" spans="1:29"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c r="AB44" s="199"/>
      <c r="AC44" s="199"/>
    </row>
    <row r="45" spans="1:29"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c r="AB45" s="199"/>
      <c r="AC45" s="199"/>
    </row>
    <row r="46" spans="1:29"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c r="AB46" s="199"/>
      <c r="AC46" s="199"/>
    </row>
    <row r="47" spans="1:29"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c r="AB47" s="199"/>
      <c r="AC47" s="199"/>
    </row>
    <row r="48" spans="1:29"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c r="AB48" s="199"/>
      <c r="AC48" s="199"/>
    </row>
    <row r="49" spans="1:29"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c r="AB49" s="199"/>
      <c r="AC49" s="199"/>
    </row>
    <row r="50" spans="1:29"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c r="AB50" s="199"/>
      <c r="AC50" s="199"/>
    </row>
    <row r="51" spans="1:29"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c r="AB51" s="199"/>
      <c r="AC51" s="199"/>
    </row>
    <row r="52" spans="1:29"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c r="AB52" s="199"/>
      <c r="AC52" s="199"/>
    </row>
    <row r="53" spans="1:29"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c r="AB53" s="199"/>
      <c r="AC53" s="199"/>
    </row>
    <row r="54" spans="1:29"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c r="AB54" s="199"/>
      <c r="AC54" s="199"/>
    </row>
    <row r="55" spans="1:29"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c r="AB55" s="199"/>
      <c r="AC55" s="199"/>
    </row>
    <row r="56" spans="1:29"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c r="AB56" s="199"/>
      <c r="AC56" s="199"/>
    </row>
    <row r="57" spans="1:29"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c r="AB57" s="199"/>
      <c r="AC57" s="199"/>
    </row>
    <row r="58" spans="1:29"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c r="AB58" s="199"/>
      <c r="AC58" s="199"/>
    </row>
    <row r="59" spans="1:29"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c r="AB59" s="199"/>
      <c r="AC59" s="199"/>
    </row>
    <row r="60" spans="1:29"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c r="AB60" s="199"/>
      <c r="AC60" s="199"/>
    </row>
    <row r="61" spans="1:29"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c r="AB61" s="199"/>
      <c r="AC61" s="199"/>
    </row>
    <row r="62" spans="1:29"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c r="AB62" s="199"/>
      <c r="AC62" s="199"/>
    </row>
    <row r="63" spans="1:29"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c r="AB63" s="199"/>
      <c r="AC63" s="199"/>
    </row>
    <row r="64" spans="1:29"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c r="AB64" s="199"/>
      <c r="AC64" s="199"/>
    </row>
    <row r="65" spans="1:29"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c r="AB65" s="199"/>
      <c r="AC65" s="199"/>
    </row>
    <row r="66" spans="1:29"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c r="AB66" s="199"/>
      <c r="AC66" s="199"/>
    </row>
    <row r="67" spans="1:29"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c r="AB67" s="199"/>
      <c r="AC67" s="199"/>
    </row>
    <row r="68" spans="1:29"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c r="AB68" s="199"/>
      <c r="AC68" s="199"/>
    </row>
    <row r="69" spans="1:29"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c r="AB69" s="199"/>
      <c r="AC69" s="199"/>
    </row>
    <row r="70" spans="1:29"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c r="AB70" s="199"/>
      <c r="AC70" s="199"/>
    </row>
    <row r="71" spans="1:29"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c r="AB71" s="199"/>
      <c r="AC71" s="199"/>
    </row>
    <row r="72" spans="1:29"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c r="AB72" s="199"/>
      <c r="AC72" s="199"/>
    </row>
    <row r="73" spans="1:29"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c r="AB73" s="199"/>
      <c r="AC73" s="199"/>
    </row>
    <row r="74" spans="1:29"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c r="AB74" s="199"/>
      <c r="AC74" s="199"/>
    </row>
    <row r="75" spans="1:29"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c r="AB75" s="199"/>
      <c r="AC75" s="199"/>
    </row>
    <row r="76" spans="1:29"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c r="AB76" s="199"/>
      <c r="AC76" s="199"/>
    </row>
    <row r="77" spans="1:29"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c r="AB77" s="199"/>
      <c r="AC77" s="199"/>
    </row>
    <row r="78" spans="1:29"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c r="AB78" s="199"/>
      <c r="AC78" s="199"/>
    </row>
    <row r="79" spans="1:29"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c r="AB79" s="199"/>
      <c r="AC79" s="199"/>
    </row>
    <row r="80" spans="1:29"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c r="AB80" s="199"/>
      <c r="AC80" s="199"/>
    </row>
    <row r="81" spans="1:29"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c r="AB81" s="199"/>
      <c r="AC81" s="199"/>
    </row>
    <row r="82" spans="1:29"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c r="AB82" s="199"/>
      <c r="AC82" s="199"/>
    </row>
    <row r="83" spans="1:29"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c r="AB83" s="199"/>
      <c r="AC83" s="199"/>
    </row>
    <row r="84" spans="1:29"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c r="AB84" s="199"/>
      <c r="AC84" s="199"/>
    </row>
    <row r="85" spans="1:29"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c r="AB85" s="199"/>
      <c r="AC85" s="199"/>
    </row>
    <row r="86" spans="1:29"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c r="AB86" s="199"/>
      <c r="AC86" s="199"/>
    </row>
    <row r="87" spans="1:29"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c r="AB87" s="199"/>
      <c r="AC87" s="199"/>
    </row>
    <row r="88" spans="1:29"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c r="AB88" s="199"/>
      <c r="AC88" s="199"/>
    </row>
    <row r="89" spans="1:29"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c r="AB89" s="199"/>
      <c r="AC89" s="199"/>
    </row>
    <row r="90" spans="1:29"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c r="AB90" s="199"/>
      <c r="AC90" s="199"/>
    </row>
    <row r="91" spans="1:29"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c r="AB91" s="199"/>
      <c r="AC91" s="199"/>
    </row>
    <row r="92" spans="1:29"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c r="AB92" s="199"/>
      <c r="AC92" s="199"/>
    </row>
    <row r="93" spans="1:29"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c r="AB93" s="199"/>
      <c r="AC93" s="199"/>
    </row>
    <row r="94" spans="1:29"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c r="AB94" s="199"/>
      <c r="AC94" s="199"/>
    </row>
    <row r="95" spans="1:29"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c r="AB95" s="199"/>
      <c r="AC95" s="199"/>
    </row>
    <row r="96" spans="1:29"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c r="AB96" s="199"/>
      <c r="AC96" s="199"/>
    </row>
    <row r="97" spans="1:29"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c r="AB97" s="199"/>
      <c r="AC97" s="199"/>
    </row>
    <row r="98" spans="1:29"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c r="AB98" s="199"/>
      <c r="AC98" s="199"/>
    </row>
    <row r="99" spans="1:29"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c r="AB99" s="199"/>
      <c r="AC99" s="199"/>
    </row>
    <row r="100" spans="1:29"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c r="AB100" s="199"/>
      <c r="AC100" s="199"/>
    </row>
    <row r="101" spans="1:29"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c r="AB101" s="199"/>
      <c r="AC101" s="199"/>
    </row>
    <row r="102" spans="1:29"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c r="AB102" s="199"/>
      <c r="AC102" s="199"/>
    </row>
    <row r="103" spans="1:29"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c r="AB103" s="199"/>
      <c r="AC103" s="199"/>
    </row>
    <row r="104" spans="1:29"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c r="AB104" s="199"/>
      <c r="AC104" s="199"/>
    </row>
    <row r="105" spans="1:29"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c r="AB105" s="199"/>
      <c r="AC105" s="199"/>
    </row>
    <row r="106" spans="1:29"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c r="AB106" s="199"/>
      <c r="AC106" s="199"/>
    </row>
    <row r="107" spans="1:29"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c r="AB107" s="199"/>
      <c r="AC107" s="199"/>
    </row>
    <row r="108" spans="1:29"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c r="AB108" s="199"/>
      <c r="AC108" s="199"/>
    </row>
    <row r="109" spans="1:29"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c r="AB109" s="199"/>
      <c r="AC109" s="199"/>
    </row>
    <row r="110" spans="1:29"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c r="AB110" s="199"/>
      <c r="AC110" s="199"/>
    </row>
    <row r="111" spans="1:29"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c r="AB111" s="199"/>
      <c r="AC111" s="199"/>
    </row>
    <row r="112" spans="1:29"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c r="AB112" s="199"/>
      <c r="AC112" s="199"/>
    </row>
    <row r="113" spans="1:29"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c r="AB113" s="199"/>
      <c r="AC113" s="199"/>
    </row>
    <row r="114" spans="1:29"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c r="AB114" s="199"/>
      <c r="AC114" s="199"/>
    </row>
    <row r="115" spans="1:29"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c r="AB115" s="199"/>
      <c r="AC115" s="199"/>
    </row>
    <row r="116" spans="1:29"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c r="AB116" s="199"/>
      <c r="AC116" s="199"/>
    </row>
    <row r="117" spans="1:29"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c r="AB117" s="199"/>
      <c r="AC117" s="199"/>
    </row>
    <row r="118" spans="1:29"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c r="AB118" s="199"/>
      <c r="AC118" s="199"/>
    </row>
    <row r="119" spans="1:29"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c r="AB119" s="199"/>
      <c r="AC119" s="199"/>
    </row>
    <row r="120" spans="1:29"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c r="AB120" s="199"/>
      <c r="AC120" s="199"/>
    </row>
    <row r="121" spans="1:29"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c r="AB121" s="199"/>
      <c r="AC121" s="199"/>
    </row>
    <row r="122" spans="1:29"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c r="AB122" s="199"/>
      <c r="AC122" s="199"/>
    </row>
    <row r="123" spans="1:29"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c r="AB123" s="199"/>
      <c r="AC123" s="199"/>
    </row>
    <row r="124" spans="1:29"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c r="AB124" s="199"/>
      <c r="AC124" s="199"/>
    </row>
    <row r="125" spans="1:29"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c r="AB125" s="199"/>
      <c r="AC125" s="199"/>
    </row>
    <row r="126" spans="1:29"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c r="AB126" s="199"/>
      <c r="AC126" s="199"/>
    </row>
    <row r="127" spans="1:29"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c r="AB127" s="199"/>
      <c r="AC127" s="199"/>
    </row>
    <row r="128" spans="1:29"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c r="AB128" s="199"/>
      <c r="AC128" s="199"/>
    </row>
    <row r="129" spans="1:29"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c r="AB129" s="199"/>
      <c r="AC129" s="199"/>
    </row>
    <row r="130" spans="1:29"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c r="AB130" s="199"/>
      <c r="AC130" s="199"/>
    </row>
    <row r="131" spans="1:29"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c r="AB131" s="199"/>
      <c r="AC131" s="199"/>
    </row>
    <row r="132" spans="1:29"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c r="AB132" s="199"/>
      <c r="AC132" s="199"/>
    </row>
    <row r="133" spans="1:29"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c r="AB133" s="199"/>
      <c r="AC133" s="199"/>
    </row>
    <row r="134" spans="1:29"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c r="AB134" s="199"/>
      <c r="AC134" s="199"/>
    </row>
    <row r="135" spans="1:29"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c r="AB135" s="199"/>
      <c r="AC135" s="199"/>
    </row>
    <row r="136" spans="1:29"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c r="AB136" s="199"/>
      <c r="AC136" s="199"/>
    </row>
    <row r="137" spans="1:29"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c r="AB137" s="199"/>
      <c r="AC137" s="199"/>
    </row>
    <row r="138" spans="1:29"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c r="AB138" s="199"/>
      <c r="AC138" s="199"/>
    </row>
    <row r="139" spans="1:29"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c r="AB139" s="199"/>
      <c r="AC139" s="199"/>
    </row>
    <row r="140" spans="1:29"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c r="AB140" s="199"/>
      <c r="AC140" s="199"/>
    </row>
    <row r="141" spans="1:29"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c r="AB141" s="199"/>
      <c r="AC141" s="199"/>
    </row>
    <row r="142" spans="1:29"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c r="AB142" s="199"/>
      <c r="AC142" s="199"/>
    </row>
    <row r="143" spans="1:29"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c r="AB143" s="199"/>
      <c r="AC143" s="199"/>
    </row>
    <row r="144" spans="1:29"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c r="AB144" s="199"/>
      <c r="AC144" s="199"/>
    </row>
    <row r="145" spans="1:29"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c r="AB145" s="199"/>
      <c r="AC145" s="199"/>
    </row>
    <row r="146" spans="1:29"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c r="AB146" s="199"/>
      <c r="AC146" s="199"/>
    </row>
    <row r="147" spans="1:29"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c r="AB147" s="199"/>
      <c r="AC147" s="199"/>
    </row>
    <row r="148" spans="1:29"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c r="AB148" s="199"/>
      <c r="AC148" s="199"/>
    </row>
    <row r="149" spans="1:29"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c r="AB149" s="199"/>
      <c r="AC149" s="199"/>
    </row>
    <row r="150" spans="1:29"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c r="AB150" s="199"/>
      <c r="AC150" s="199"/>
    </row>
    <row r="151" spans="1:29"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c r="AB151" s="199"/>
      <c r="AC151" s="199"/>
    </row>
    <row r="152" spans="1:29"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c r="AB152" s="199"/>
      <c r="AC152" s="199"/>
    </row>
    <row r="153" spans="1:29"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c r="AB153" s="199"/>
      <c r="AC153" s="199"/>
    </row>
    <row r="154" spans="1:29"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c r="AB154" s="199"/>
      <c r="AC154" s="199"/>
    </row>
    <row r="155" spans="1:29"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c r="AB155" s="199"/>
      <c r="AC155" s="199"/>
    </row>
    <row r="156" spans="1:29"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c r="AB156" s="199"/>
      <c r="AC156" s="199"/>
    </row>
    <row r="157" spans="1:29"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c r="AB157" s="199"/>
      <c r="AC157" s="199"/>
    </row>
    <row r="158" spans="1:29"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c r="AB158" s="199"/>
      <c r="AC158" s="199"/>
    </row>
    <row r="159" spans="1:29"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c r="AB159" s="199"/>
      <c r="AC159" s="199"/>
    </row>
    <row r="160" spans="1:29"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c r="AB160" s="199"/>
      <c r="AC160" s="199"/>
    </row>
    <row r="161" spans="1:29"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c r="AB161" s="199"/>
      <c r="AC161" s="199"/>
    </row>
    <row r="162" spans="1:29"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c r="AB162" s="199"/>
      <c r="AC162" s="199"/>
    </row>
    <row r="163" spans="1:29"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c r="AB163" s="199"/>
      <c r="AC163" s="199"/>
    </row>
    <row r="164" spans="1:29"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c r="AB164" s="199"/>
      <c r="AC164" s="199"/>
    </row>
    <row r="165" spans="1:29"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c r="AB165" s="199"/>
      <c r="AC165" s="199"/>
    </row>
    <row r="166" spans="1:29"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c r="AB166" s="199"/>
      <c r="AC166" s="199"/>
    </row>
    <row r="167" spans="1:29"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c r="AB167" s="199"/>
      <c r="AC167" s="199"/>
    </row>
    <row r="168" spans="1:29"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c r="AB168" s="199"/>
      <c r="AC168" s="199"/>
    </row>
    <row r="169" spans="1:29"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c r="AB169" s="199"/>
      <c r="AC169" s="199"/>
    </row>
    <row r="170" spans="1:29"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c r="AB170" s="199"/>
      <c r="AC170" s="199"/>
    </row>
    <row r="171" spans="1:29"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c r="AB171" s="199"/>
      <c r="AC171" s="199"/>
    </row>
    <row r="172" spans="1:29"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c r="AB172" s="199"/>
      <c r="AC172" s="199"/>
    </row>
    <row r="173" spans="1:29"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c r="AB173" s="199"/>
      <c r="AC173" s="199"/>
    </row>
    <row r="174" spans="1:29"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c r="AB174" s="199"/>
      <c r="AC174" s="199"/>
    </row>
    <row r="175" spans="1:29"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c r="AB175" s="199"/>
      <c r="AC175" s="199"/>
    </row>
    <row r="176" spans="1:29"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c r="AB176" s="199"/>
      <c r="AC176" s="199"/>
    </row>
    <row r="177" spans="1:29"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c r="AB177" s="199"/>
      <c r="AC177" s="199"/>
    </row>
    <row r="178" spans="1:29"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c r="AB178" s="199"/>
      <c r="AC178" s="199"/>
    </row>
    <row r="179" spans="1:29"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c r="AB179" s="199"/>
      <c r="AC179" s="199"/>
    </row>
    <row r="180" spans="1:29"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c r="AB180" s="199"/>
      <c r="AC180" s="199"/>
    </row>
    <row r="181" spans="1:29"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c r="AB181" s="199"/>
      <c r="AC181" s="199"/>
    </row>
    <row r="182" spans="1:29"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c r="AB182" s="199"/>
      <c r="AC182" s="199"/>
    </row>
    <row r="183" spans="1:29"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c r="AB183" s="199"/>
      <c r="AC183" s="199"/>
    </row>
    <row r="184" spans="1:29"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c r="AB184" s="199"/>
      <c r="AC184" s="199"/>
    </row>
    <row r="185" spans="1:29"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c r="AB185" s="199"/>
      <c r="AC185" s="199"/>
    </row>
    <row r="186" spans="1:29"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c r="AB186" s="199"/>
      <c r="AC186" s="199"/>
    </row>
    <row r="187" spans="1:29"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c r="AB187" s="199"/>
      <c r="AC187" s="199"/>
    </row>
    <row r="188" spans="1:29"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c r="AB188" s="199"/>
      <c r="AC188" s="199"/>
    </row>
    <row r="189" spans="1:29"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c r="AB189" s="199"/>
      <c r="AC189" s="199"/>
    </row>
    <row r="190" spans="1:29"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c r="AB190" s="199"/>
      <c r="AC190" s="199"/>
    </row>
    <row r="191" spans="1:29"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c r="AB191" s="199"/>
      <c r="AC191" s="199"/>
    </row>
    <row r="192" spans="1:29"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c r="AB192" s="199"/>
      <c r="AC192" s="199"/>
    </row>
    <row r="193" spans="1:29"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c r="AB193" s="199"/>
      <c r="AC193" s="199"/>
    </row>
    <row r="194" spans="1:29"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c r="AB194" s="199"/>
      <c r="AC194" s="199"/>
    </row>
    <row r="195" spans="1:29"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c r="AB195" s="199"/>
      <c r="AC195" s="199"/>
    </row>
    <row r="196" spans="1:29"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c r="AB196" s="199"/>
      <c r="AC196" s="199"/>
    </row>
    <row r="197" spans="1:29"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c r="AB197" s="199"/>
      <c r="AC197" s="199"/>
    </row>
    <row r="198" spans="1:29"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c r="AB198" s="199"/>
      <c r="AC198" s="199"/>
    </row>
    <row r="199" spans="1:29"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c r="AB199" s="199"/>
      <c r="AC199" s="199"/>
    </row>
    <row r="200" spans="1:29"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c r="AB200" s="199"/>
      <c r="AC200" s="199"/>
    </row>
    <row r="201" spans="1:29"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H9E5/2M4h+Dq3UqJ1C+DmRSus+SCCabi4srm2xuyhGE10QD0FAXdc1xaFIOjd/FoHZ+P1FotR8NfgPJ8HmbmgA==" saltValue="SpL9IIpkRjE1hiZ4fvGYYg==" spinCount="100000" sheet="1" objects="1" scenarios="1" formatCells="0" formatRows="0"/>
  <dataConsolidate/>
  <conditionalFormatting sqref="X13:X200">
    <cfRule type="expression" priority="7">
      <formula>RIGHT($W13,7)="specify"</formula>
    </cfRule>
    <cfRule type="expression" dxfId="21" priority="8">
      <formula>RIGHT($W13,7)&lt;&gt;"specify"</formula>
    </cfRule>
  </conditionalFormatting>
  <conditionalFormatting sqref="V13:V200">
    <cfRule type="expression" priority="9">
      <formula>RIGHT($U13,7)="specify"</formula>
    </cfRule>
    <cfRule type="expression" dxfId="20" priority="10">
      <formula>RIGHT($U13,7)&lt;&gt;"specify"</formula>
    </cfRule>
  </conditionalFormatting>
  <conditionalFormatting sqref="T13:T200">
    <cfRule type="expression" priority="11">
      <formula>RIGHT($S13,7)="specify"</formula>
    </cfRule>
    <cfRule type="expression" dxfId="19" priority="12">
      <formula>RIGHT($S13,7)&lt;&gt;"specify"</formula>
    </cfRule>
  </conditionalFormatting>
  <conditionalFormatting sqref="O13:O200">
    <cfRule type="expression" priority="13" stopIfTrue="1">
      <formula>AND($L13&gt;=1000000,LEFT($M13,5)="Other")</formula>
    </cfRule>
    <cfRule type="expression" dxfId="18" priority="14">
      <formula>$L13&lt;10000000</formula>
    </cfRule>
    <cfRule type="expression" priority="15">
      <formula>$L13&gt;=10000000</formula>
    </cfRule>
  </conditionalFormatting>
  <conditionalFormatting sqref="N13:N200">
    <cfRule type="expression" priority="16">
      <formula>LEFT($M13,5)="Other"</formula>
    </cfRule>
    <cfRule type="expression" dxfId="17" priority="17">
      <formula>LEFT($M13,5)&lt;&gt;"Other"</formula>
    </cfRule>
  </conditionalFormatting>
  <conditionalFormatting sqref="L13:M200">
    <cfRule type="expression" priority="18">
      <formula>$K13="Yes"</formula>
    </cfRule>
    <cfRule type="expression" dxfId="16" priority="19">
      <formula>$K13&lt;&gt;"Yes"</formula>
    </cfRule>
  </conditionalFormatting>
  <conditionalFormatting sqref="J13:J200">
    <cfRule type="expression" dxfId="15" priority="20">
      <formula>$I13="No"</formula>
    </cfRule>
    <cfRule type="expression" dxfId="14" priority="21">
      <formula>$I13="Yes"</formula>
    </cfRule>
  </conditionalFormatting>
  <conditionalFormatting sqref="AA13:AA200">
    <cfRule type="expression" priority="5">
      <formula>$E13="Cancelled"</formula>
    </cfRule>
    <cfRule type="expression" dxfId="13" priority="6">
      <formula>$E13&lt;&gt;"Cancelled"</formula>
    </cfRule>
  </conditionalFormatting>
  <conditionalFormatting sqref="AB13:AB200">
    <cfRule type="expression" dxfId="12" priority="3" stopIfTrue="1">
      <formula>OR($E13="Not Started",$E13="Cancelled",$E13="")</formula>
    </cfRule>
    <cfRule type="expression" priority="4">
      <formula>AND($E13&lt;&gt;"Not Started",$E13&lt;&gt;"Cancelled")</formula>
    </cfRule>
  </conditionalFormatting>
  <conditionalFormatting sqref="AC13:AC200">
    <cfRule type="expression" dxfId="11" priority="1" stopIfTrue="1">
      <formula>$E13&lt;&gt;"Completed"</formula>
    </cfRule>
    <cfRule type="expression" priority="2">
      <formula>$E13="Completed"</formula>
    </cfRule>
  </conditionalFormatting>
  <dataValidations count="8">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 type="date" operator="lessThan" allowBlank="1" showInputMessage="1" showErrorMessage="1" errorTitle="Date Format" error="Please check the format of the date you entered." sqref="AB13:AC200" xr:uid="{66D8B38C-F3E0-4BBC-88D8-8A1EC4AFE49C}">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L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5">
      <c r="A4" s="61" t="s">
        <v>132</v>
      </c>
      <c r="B4" s="75"/>
      <c r="C4" s="187" t="s">
        <v>934</v>
      </c>
      <c r="D4" s="18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5">
      <c r="A7" s="61" t="s">
        <v>137</v>
      </c>
      <c r="B7" s="75"/>
      <c r="C7" s="74" t="s">
        <v>954</v>
      </c>
      <c r="D7" s="74" t="s">
        <v>954</v>
      </c>
      <c r="E7" s="74" t="s">
        <v>139</v>
      </c>
      <c r="F7" s="18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5" hidden="1" customHeight="1" x14ac:dyDescent="0.25">
      <c r="A10" s="38" t="s">
        <v>703</v>
      </c>
      <c r="B10" s="44"/>
      <c r="C10" s="79" t="s">
        <v>991</v>
      </c>
      <c r="D10" s="79" t="s">
        <v>992</v>
      </c>
      <c r="E10" s="45" t="s">
        <v>993</v>
      </c>
      <c r="F10" s="45" t="s">
        <v>994</v>
      </c>
      <c r="G10" s="79" t="s">
        <v>995</v>
      </c>
      <c r="H10" s="79" t="s">
        <v>996</v>
      </c>
      <c r="I10" s="79" t="s">
        <v>997</v>
      </c>
      <c r="J10" s="79" t="s">
        <v>998</v>
      </c>
      <c r="K10" s="79" t="s">
        <v>999</v>
      </c>
      <c r="L10" s="79" t="s">
        <v>1000</v>
      </c>
      <c r="M10" s="79" t="s">
        <v>1001</v>
      </c>
      <c r="N10" s="79" t="s">
        <v>1002</v>
      </c>
      <c r="O10" s="79" t="s">
        <v>963</v>
      </c>
      <c r="P10" s="79" t="s">
        <v>1003</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121</v>
      </c>
      <c r="B12" s="5"/>
      <c r="C12" s="262" t="s">
        <v>936</v>
      </c>
      <c r="D12" s="262" t="s">
        <v>937</v>
      </c>
      <c r="E12" s="262" t="s">
        <v>7</v>
      </c>
      <c r="F12" s="262" t="s">
        <v>618</v>
      </c>
      <c r="G12" s="263" t="s">
        <v>279</v>
      </c>
      <c r="H12" s="262" t="s">
        <v>8</v>
      </c>
      <c r="I12" s="263" t="s">
        <v>9</v>
      </c>
      <c r="J12" s="263" t="s">
        <v>10</v>
      </c>
      <c r="K12" s="262" t="s">
        <v>11</v>
      </c>
      <c r="L12" s="262" t="s">
        <v>12</v>
      </c>
      <c r="M12" s="262" t="s">
        <v>13</v>
      </c>
      <c r="N12" s="263" t="s">
        <v>173</v>
      </c>
      <c r="O12" s="263" t="s">
        <v>964</v>
      </c>
      <c r="P12" s="262" t="s">
        <v>280</v>
      </c>
      <c r="Q12" s="262" t="s">
        <v>197</v>
      </c>
      <c r="R12" s="262" t="s">
        <v>198</v>
      </c>
      <c r="S12" s="262" t="s">
        <v>957</v>
      </c>
      <c r="T12" s="262" t="s">
        <v>199</v>
      </c>
      <c r="U12" s="262" t="s">
        <v>200</v>
      </c>
      <c r="V12" s="262" t="s">
        <v>201</v>
      </c>
      <c r="W12" s="262" t="s">
        <v>202</v>
      </c>
      <c r="X12" s="262" t="s">
        <v>203</v>
      </c>
      <c r="Y12" s="262" t="s">
        <v>204</v>
      </c>
      <c r="Z12" s="262" t="s">
        <v>205</v>
      </c>
      <c r="AA12" s="262" t="s">
        <v>206</v>
      </c>
      <c r="AB12" s="262" t="s">
        <v>207</v>
      </c>
      <c r="AC12" s="262" t="s">
        <v>208</v>
      </c>
    </row>
    <row r="13" spans="1:29" ht="12.5" customHeight="1" x14ac:dyDescent="0.25">
      <c r="A13" s="181" t="s">
        <v>135</v>
      </c>
      <c r="B13" s="181"/>
      <c r="C13" s="228"/>
      <c r="D13" s="228"/>
      <c r="E13" s="229"/>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1B+eLT/d49hofgbL/d5QurBVJKHLZHyKwcXhpgT5suX5kp92azfFXZEtsN7xZ/ufHRICjkswwihiXFaDNxNNpw==" saltValue="zhyOwktFJ0W4ixP5hW6cQw=="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0" priority="2">
      <formula>OR($Q13&lt;&gt;"Yes",$R13&lt;&gt;"Yes")</formula>
    </cfRule>
  </conditionalFormatting>
  <conditionalFormatting sqref="T13:AC200">
    <cfRule type="expression" priority="9">
      <formula>$S13="No"</formula>
    </cfRule>
    <cfRule type="expression" dxfId="9" priority="10">
      <formula>$S13&lt;&gt;"No"</formula>
    </cfRule>
  </conditionalFormatting>
  <conditionalFormatting sqref="Q13:R200">
    <cfRule type="expression" priority="11">
      <formula>$P13="No"</formula>
    </cfRule>
    <cfRule type="expression" dxfId="8" priority="12">
      <formula>$P13&lt;&gt;"No"</formula>
    </cfRule>
  </conditionalFormatting>
  <dataValidations count="1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list" allowBlank="1" showInputMessage="1" showErrorMessage="1" sqref="P13:P200" xr:uid="{919E3B6C-25A7-4E7E-A297-D25EE787BD0F}">
      <formula1>YesNoNA</formula1>
    </dataValidation>
    <dataValidation type="textLength" operator="equal" allowBlank="1" showInputMessage="1" showErrorMessage="1" errorTitle="Invalid Length" error="Value must equal 12 characters." sqref="C13:C200" xr:uid="{CB425B67-27F7-4E72-AD27-27A24138A062}">
      <formula1>12</formula1>
    </dataValidation>
    <dataValidation type="textLength" operator="equal" allowBlank="1" showInputMessage="1" showErrorMessage="1" errorTitle="Invalid Length" error="Value must equal 9 characters." sqref="D13:D200" xr:uid="{662F3609-CCAA-4904-B99E-FC24678D7075}">
      <formula1>9</formula1>
    </dataValidation>
    <dataValidation type="textLength" operator="lessThanOrEqual" allowBlank="1" showInputMessage="1" showErrorMessage="1" errorTitle="Max Length Exceed" error="Value cannot exceed 80 characters." sqref="E13:E200 AB13:AB200 Z13:Z200 X13:X200 V13:V200 T13:T200" xr:uid="{C1D1722D-18B3-4021-A449-C8CAE5CE96AC}">
      <formula1>80</formula1>
    </dataValidation>
    <dataValidation type="textLength" operator="lessThanOrEqual" allowBlank="1" showInputMessage="1" showErrorMessage="1" errorTitle="Max Length Exceed" error="Value cannot exceed 40 characters." sqref="G13:G200" xr:uid="{65A6FB97-BAB3-4664-92AC-608ECEBFD00E}">
      <formula1>40</formula1>
    </dataValidation>
    <dataValidation type="textLength" operator="lessThanOrEqual" allowBlank="1" showInputMessage="1" showErrorMessage="1" errorTitle="Max Length Exceed" error="Value cannot exceed 255 characters." sqref="H13:J200" xr:uid="{EE6D1ED5-7618-430A-A850-ADD5A42C2E2C}">
      <formula1>255</formula1>
    </dataValidation>
    <dataValidation type="textLength" operator="lessThanOrEqual" allowBlank="1" showInputMessage="1" showErrorMessage="1" errorTitle="Max Length Exceed" error="Value cannot exceed 100 characters." sqref="K13:K200" xr:uid="{9AED6454-44CC-4EA2-A3A4-8AFBFECCFFF6}">
      <formula1>100</formula1>
    </dataValidation>
    <dataValidation type="textLength" operator="lessThanOrEqual" allowBlank="1" showInputMessage="1" showErrorMessage="1" errorTitle="Max Length Exceed" error="Value cannot exceed 5 characters." sqref="M13:M200" xr:uid="{B5B20646-4FD5-43BE-96DA-70CF2678C0A3}">
      <formula1>5</formula1>
    </dataValidation>
    <dataValidation type="textLength" operator="lessThanOrEqual" allowBlank="1" showInputMessage="1" showErrorMessage="1" errorTitle="Max Length Exceed" error="Value cannot exceed 4 characters." sqref="N13:N200" xr:uid="{6433F334-6FB4-435F-B4B5-A72D6A4AEE4E}">
      <formula1>4</formula1>
    </dataValidation>
    <dataValidation type="textLength" operator="lessThanOrEqual" allowBlank="1" showInputMessage="1" showErrorMessage="1" errorTitle="Max Length Exceed" error="Value cannot exceed 2 characters." sqref="O13:O200" xr:uid="{91C24F52-71E4-435D-8A19-8B436DBC2BC8}">
      <formula1>2</formula1>
    </dataValidation>
    <dataValidation type="decimal" operator="lessThanOrEqual" allowBlank="1" showInputMessage="1" showErrorMessage="1" errorTitle="Maximum Exceeded" error="Value cannot exceed 999,999,999,999.99" sqref="U13:U200 AC13:AC200 AA13:AA200 Y13:Y200 W13:W200" xr:uid="{843B03C8-D065-43F9-8BD0-42A650805F45}">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V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4" width="20.81640625" style="117" customWidth="1"/>
    <col min="5" max="5" width="23.6328125" style="117" customWidth="1"/>
    <col min="6" max="6" width="20.81640625" style="117" customWidth="1"/>
    <col min="7" max="7" width="23.632812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8" width="22.90625" style="117" customWidth="1"/>
    <col min="29" max="33" width="11.453125" style="117" customWidth="1"/>
    <col min="34" max="16384" width="14.453125" style="117"/>
  </cols>
  <sheetData>
    <row r="1" spans="1:33" ht="27" hidden="1" customHeight="1" x14ac:dyDescent="0.2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row>
    <row r="2" spans="1:33" ht="27" hidden="1" customHeight="1" x14ac:dyDescent="0.2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row>
    <row r="3" spans="1:33" s="154" customFormat="1" ht="27" hidden="1" customHeight="1" x14ac:dyDescent="0.2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1020</v>
      </c>
      <c r="AB3" s="97" t="s">
        <v>1021</v>
      </c>
    </row>
    <row r="4" spans="1:33" s="154" customFormat="1" ht="27" hidden="1" customHeight="1" x14ac:dyDescent="0.25">
      <c r="A4" s="62" t="s">
        <v>132</v>
      </c>
      <c r="B4" s="75"/>
      <c r="C4" s="187" t="s">
        <v>934</v>
      </c>
      <c r="D4" s="187" t="s">
        <v>934</v>
      </c>
      <c r="E4" s="18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row>
    <row r="5" spans="1:33" s="154" customFormat="1" ht="27" hidden="1" customHeight="1" x14ac:dyDescent="0.25">
      <c r="A5" s="62" t="s">
        <v>346</v>
      </c>
      <c r="B5" s="75"/>
      <c r="C5" s="100" t="s">
        <v>605</v>
      </c>
      <c r="D5" s="100" t="s">
        <v>606</v>
      </c>
      <c r="E5" s="100"/>
      <c r="F5" s="72" t="s">
        <v>608</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row>
    <row r="6" spans="1:33" s="154" customFormat="1" ht="27" hidden="1" customHeight="1" x14ac:dyDescent="0.25">
      <c r="A6" s="62" t="s">
        <v>136</v>
      </c>
      <c r="B6" s="75"/>
      <c r="C6" s="100" t="s">
        <v>105</v>
      </c>
      <c r="D6" s="100" t="s">
        <v>105</v>
      </c>
      <c r="E6" s="100" t="s">
        <v>105</v>
      </c>
      <c r="F6" s="67" t="s">
        <v>619</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row>
    <row r="7" spans="1:33" s="154" customFormat="1" ht="27" hidden="1" customHeight="1" x14ac:dyDescent="0.2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row>
    <row r="8" spans="1:33" s="154" customFormat="1" ht="27" hidden="1" customHeight="1" x14ac:dyDescent="0.2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2</v>
      </c>
      <c r="W8" s="74">
        <v>5</v>
      </c>
      <c r="X8" s="74">
        <v>4</v>
      </c>
      <c r="Y8" s="74">
        <v>750</v>
      </c>
      <c r="Z8" s="74" t="s">
        <v>105</v>
      </c>
      <c r="AA8" s="74">
        <v>250</v>
      </c>
      <c r="AB8" s="85" t="s">
        <v>696</v>
      </c>
    </row>
    <row r="9" spans="1:33" s="154" customFormat="1" ht="27" hidden="1" customHeight="1" x14ac:dyDescent="0.2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row>
    <row r="10" spans="1:33" s="154" customFormat="1" ht="35.15" hidden="1" customHeight="1" x14ac:dyDescent="0.25">
      <c r="A10" s="38" t="s">
        <v>703</v>
      </c>
      <c r="B10" s="44"/>
      <c r="C10" s="79" t="s">
        <v>991</v>
      </c>
      <c r="D10" s="79" t="s">
        <v>992</v>
      </c>
      <c r="E10" s="79" t="s">
        <v>1004</v>
      </c>
      <c r="F10" s="45" t="s">
        <v>714</v>
      </c>
      <c r="G10" s="45" t="s">
        <v>720</v>
      </c>
      <c r="H10" s="45" t="s">
        <v>721</v>
      </c>
      <c r="I10" s="45" t="s">
        <v>959</v>
      </c>
      <c r="J10" s="45" t="s">
        <v>722</v>
      </c>
      <c r="K10" s="45" t="s">
        <v>1005</v>
      </c>
      <c r="L10" s="45" t="s">
        <v>1006</v>
      </c>
      <c r="M10" s="45" t="s">
        <v>723</v>
      </c>
      <c r="N10" s="45" t="s">
        <v>724</v>
      </c>
      <c r="O10" s="45" t="s">
        <v>733</v>
      </c>
      <c r="P10" s="45" t="s">
        <v>1007</v>
      </c>
      <c r="Q10" s="45" t="s">
        <v>725</v>
      </c>
      <c r="R10" s="45" t="s">
        <v>726</v>
      </c>
      <c r="S10" s="45" t="s">
        <v>727</v>
      </c>
      <c r="T10" s="45" t="s">
        <v>728</v>
      </c>
      <c r="U10" s="45" t="s">
        <v>729</v>
      </c>
      <c r="V10" s="45" t="s">
        <v>730</v>
      </c>
      <c r="W10" s="45" t="s">
        <v>731</v>
      </c>
      <c r="X10" s="45" t="s">
        <v>732</v>
      </c>
      <c r="Y10" s="45" t="s">
        <v>734</v>
      </c>
      <c r="Z10" s="45" t="s">
        <v>1008</v>
      </c>
      <c r="AA10" s="45" t="s">
        <v>941</v>
      </c>
      <c r="AB10" s="45" t="s">
        <v>1023</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row>
    <row r="12" spans="1:33" s="113" customFormat="1" ht="65" x14ac:dyDescent="0.3">
      <c r="A12" s="2" t="s">
        <v>121</v>
      </c>
      <c r="B12" s="2"/>
      <c r="C12" s="186" t="s">
        <v>936</v>
      </c>
      <c r="D12" s="186" t="s">
        <v>937</v>
      </c>
      <c r="E12" s="258" t="s">
        <v>7</v>
      </c>
      <c r="F12" s="186" t="s">
        <v>618</v>
      </c>
      <c r="G12" s="186" t="s">
        <v>122</v>
      </c>
      <c r="H12" s="186" t="s">
        <v>281</v>
      </c>
      <c r="I12" s="186" t="s">
        <v>961</v>
      </c>
      <c r="J12" s="186" t="s">
        <v>225</v>
      </c>
      <c r="K12" s="186" t="s">
        <v>226</v>
      </c>
      <c r="L12" s="186" t="s">
        <v>227</v>
      </c>
      <c r="M12" s="186" t="s">
        <v>223</v>
      </c>
      <c r="N12" s="186" t="s">
        <v>224</v>
      </c>
      <c r="O12" s="186" t="s">
        <v>453</v>
      </c>
      <c r="P12" s="264" t="s">
        <v>52</v>
      </c>
      <c r="Q12" s="264" t="s">
        <v>53</v>
      </c>
      <c r="R12" s="186" t="s">
        <v>54</v>
      </c>
      <c r="S12" s="265" t="s">
        <v>55</v>
      </c>
      <c r="T12" s="265" t="s">
        <v>56</v>
      </c>
      <c r="U12" s="186" t="s">
        <v>57</v>
      </c>
      <c r="V12" s="186" t="s">
        <v>58</v>
      </c>
      <c r="W12" s="262" t="s">
        <v>59</v>
      </c>
      <c r="X12" s="263" t="s">
        <v>236</v>
      </c>
      <c r="Y12" s="262" t="s">
        <v>237</v>
      </c>
      <c r="Z12" s="262" t="s">
        <v>938</v>
      </c>
      <c r="AA12" s="262" t="s">
        <v>939</v>
      </c>
      <c r="AB12" s="262" t="s">
        <v>1022</v>
      </c>
      <c r="AC12" s="152"/>
      <c r="AD12" s="152"/>
      <c r="AE12" s="152"/>
      <c r="AF12" s="152"/>
      <c r="AG12" s="152"/>
    </row>
    <row r="13" spans="1:33" ht="12.75" customHeight="1" x14ac:dyDescent="0.3">
      <c r="A13" s="181" t="s">
        <v>135</v>
      </c>
      <c r="B13" s="181"/>
      <c r="C13" s="228"/>
      <c r="D13" s="254"/>
      <c r="E13" s="255" t="str">
        <f>IFERROR(IF(ISBLANK(C13),IF(ISBLANK(D13),"",VLOOKUP(D13,Subrecipient!$D$13:$E$200,2,FALSE)),VLOOKUP(C13,Subrecipient!$C$13:$E$200,3,FALSE)),"Not Found")</f>
        <v/>
      </c>
      <c r="F13" s="172"/>
      <c r="G13" s="235"/>
      <c r="H13" s="228"/>
      <c r="I13" s="255" t="str">
        <f>E13</f>
        <v/>
      </c>
      <c r="J13" s="172"/>
      <c r="K13" s="206"/>
      <c r="L13" s="174"/>
      <c r="M13" s="175"/>
      <c r="N13" s="175"/>
      <c r="O13" s="175"/>
      <c r="P13" s="174"/>
      <c r="Q13" s="236"/>
      <c r="R13" s="172"/>
      <c r="S13" s="172"/>
      <c r="T13" s="172"/>
      <c r="U13" s="172"/>
      <c r="V13" s="172"/>
      <c r="W13" s="228"/>
      <c r="X13" s="228"/>
      <c r="Y13" s="172"/>
      <c r="Z13" s="172"/>
      <c r="AA13" s="172"/>
      <c r="AB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c r="AB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c r="AB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c r="AB16" s="172"/>
    </row>
    <row r="17" spans="1:28"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c r="AB17" s="172"/>
    </row>
    <row r="18" spans="1:28"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c r="AB18" s="172"/>
    </row>
    <row r="19" spans="1:28"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c r="AB19" s="172"/>
    </row>
    <row r="20" spans="1:28"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c r="AB20" s="172"/>
    </row>
    <row r="21" spans="1:28"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c r="AB21" s="172"/>
    </row>
    <row r="22" spans="1:28"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c r="AB22" s="172"/>
    </row>
    <row r="23" spans="1:28"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c r="AB23" s="172"/>
    </row>
    <row r="24" spans="1:28"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c r="AB24" s="172"/>
    </row>
    <row r="25" spans="1:28"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c r="AB25" s="172"/>
    </row>
    <row r="26" spans="1:28"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c r="AB26" s="172"/>
    </row>
    <row r="27" spans="1:28"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c r="AB27" s="172"/>
    </row>
    <row r="28" spans="1:28"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c r="AB28" s="172"/>
    </row>
    <row r="29" spans="1:28"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c r="AB29" s="172"/>
    </row>
    <row r="30" spans="1:28"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c r="AB30" s="172"/>
    </row>
    <row r="31" spans="1:28"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c r="AB31" s="172"/>
    </row>
    <row r="32" spans="1:28"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c r="AB32" s="172"/>
    </row>
    <row r="33" spans="1:28"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c r="AB33" s="172"/>
    </row>
    <row r="34" spans="1:28"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c r="AB34" s="172"/>
    </row>
    <row r="35" spans="1:28"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c r="AB35" s="172"/>
    </row>
    <row r="36" spans="1:28"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c r="AB36" s="172"/>
    </row>
    <row r="37" spans="1:28"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c r="AB37" s="172"/>
    </row>
    <row r="38" spans="1:28"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c r="AB38" s="172"/>
    </row>
    <row r="39" spans="1:28"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c r="AB39" s="172"/>
    </row>
    <row r="40" spans="1:28"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c r="AB40" s="172"/>
    </row>
    <row r="41" spans="1:28"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c r="AB41" s="172"/>
    </row>
    <row r="42" spans="1:28"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c r="AB42" s="172"/>
    </row>
    <row r="43" spans="1:28"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c r="AB43" s="172"/>
    </row>
    <row r="44" spans="1:28"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c r="AB44" s="172"/>
    </row>
    <row r="45" spans="1:28"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c r="AB45" s="172"/>
    </row>
    <row r="46" spans="1:28"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c r="AB46" s="172"/>
    </row>
    <row r="47" spans="1:28"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c r="AB47" s="172"/>
    </row>
    <row r="48" spans="1:28"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c r="AB48" s="172"/>
    </row>
    <row r="49" spans="1:28"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c r="AB49" s="172"/>
    </row>
    <row r="50" spans="1:28"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c r="AB50" s="172"/>
    </row>
    <row r="51" spans="1:28"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c r="AB51" s="172"/>
    </row>
    <row r="52" spans="1:28"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c r="AB52" s="172"/>
    </row>
    <row r="53" spans="1:28"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c r="AB53" s="172"/>
    </row>
    <row r="54" spans="1:28"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c r="AB54" s="172"/>
    </row>
    <row r="55" spans="1:28"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c r="AB55" s="172"/>
    </row>
    <row r="56" spans="1:28"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c r="AB56" s="172"/>
    </row>
    <row r="57" spans="1:28"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c r="AB57" s="172"/>
    </row>
    <row r="58" spans="1:28"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c r="AB58" s="172"/>
    </row>
    <row r="59" spans="1:28"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c r="AB59" s="172"/>
    </row>
    <row r="60" spans="1:28"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c r="AB60" s="172"/>
    </row>
    <row r="61" spans="1:28"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c r="AB61" s="172"/>
    </row>
    <row r="62" spans="1:28"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c r="AB62" s="172"/>
    </row>
    <row r="63" spans="1:28"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c r="AB63" s="172"/>
    </row>
    <row r="64" spans="1:28"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c r="AB64" s="172"/>
    </row>
    <row r="65" spans="1:28"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c r="AB65" s="172"/>
    </row>
    <row r="66" spans="1:28"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c r="AB66" s="172"/>
    </row>
    <row r="67" spans="1:28"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c r="AB67" s="172"/>
    </row>
    <row r="68" spans="1:28"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c r="AB68" s="172"/>
    </row>
    <row r="69" spans="1:28"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c r="AB69" s="172"/>
    </row>
    <row r="70" spans="1:28"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c r="AB70" s="172"/>
    </row>
    <row r="71" spans="1:28"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c r="AB71" s="172"/>
    </row>
    <row r="72" spans="1:28"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c r="AB72" s="172"/>
    </row>
    <row r="73" spans="1:28"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c r="AB73" s="172"/>
    </row>
    <row r="74" spans="1:28"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c r="AB74" s="172"/>
    </row>
    <row r="75" spans="1:28"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c r="AB75" s="172"/>
    </row>
    <row r="76" spans="1:28"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c r="AB76" s="172"/>
    </row>
    <row r="77" spans="1:28"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c r="AB77" s="172"/>
    </row>
    <row r="78" spans="1:28"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c r="AB78" s="172"/>
    </row>
    <row r="79" spans="1:28"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c r="AB79" s="172"/>
    </row>
    <row r="80" spans="1:28"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c r="AB80" s="172"/>
    </row>
    <row r="81" spans="1:28"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c r="AB81" s="172"/>
    </row>
    <row r="82" spans="1:28"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c r="AB82" s="172"/>
    </row>
    <row r="83" spans="1:28"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c r="AB83" s="172"/>
    </row>
    <row r="84" spans="1:28"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c r="AB84" s="172"/>
    </row>
    <row r="85" spans="1:28"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c r="AB85" s="172"/>
    </row>
    <row r="86" spans="1:28"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c r="AB86" s="172"/>
    </row>
    <row r="87" spans="1:28"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c r="AB87" s="172"/>
    </row>
    <row r="88" spans="1:28"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c r="AB88" s="172"/>
    </row>
    <row r="89" spans="1:28"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c r="AB89" s="172"/>
    </row>
    <row r="90" spans="1:28"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c r="AB90" s="172"/>
    </row>
    <row r="91" spans="1:28"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c r="AB91" s="172"/>
    </row>
    <row r="92" spans="1:28"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c r="AB92" s="172"/>
    </row>
    <row r="93" spans="1:28"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c r="AB93" s="172"/>
    </row>
    <row r="94" spans="1:28"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c r="AB94" s="172"/>
    </row>
    <row r="95" spans="1:28"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c r="AB95" s="172"/>
    </row>
    <row r="96" spans="1:28"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c r="AB96" s="172"/>
    </row>
    <row r="97" spans="1:28"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c r="AB97" s="172"/>
    </row>
    <row r="98" spans="1:28"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c r="AB98" s="172"/>
    </row>
    <row r="99" spans="1:28"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c r="AB99" s="172"/>
    </row>
    <row r="100" spans="1:28"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c r="AB100" s="172"/>
    </row>
    <row r="101" spans="1:28"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c r="AB101" s="172"/>
    </row>
    <row r="102" spans="1:28"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c r="AB102" s="172"/>
    </row>
    <row r="103" spans="1:28"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c r="AB103" s="172"/>
    </row>
    <row r="104" spans="1:28"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c r="AB104" s="172"/>
    </row>
    <row r="105" spans="1:28"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c r="AB105" s="172"/>
    </row>
    <row r="106" spans="1:28"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c r="AB106" s="172"/>
    </row>
    <row r="107" spans="1:28"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c r="AB107" s="172"/>
    </row>
    <row r="108" spans="1:28"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c r="AB108" s="172"/>
    </row>
    <row r="109" spans="1:28"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c r="AB109" s="172"/>
    </row>
    <row r="110" spans="1:28"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c r="AB110" s="172"/>
    </row>
    <row r="111" spans="1:28"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c r="AB111" s="172"/>
    </row>
    <row r="112" spans="1:28"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c r="AB112" s="172"/>
    </row>
    <row r="113" spans="1:28"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c r="AB113" s="172"/>
    </row>
    <row r="114" spans="1:28"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c r="AB114" s="172"/>
    </row>
    <row r="115" spans="1:28"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c r="AB115" s="172"/>
    </row>
    <row r="116" spans="1:28"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c r="AB116" s="172"/>
    </row>
    <row r="117" spans="1:28"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c r="AB117" s="172"/>
    </row>
    <row r="118" spans="1:28"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c r="AB118" s="172"/>
    </row>
    <row r="119" spans="1:28"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c r="AB119" s="172"/>
    </row>
    <row r="120" spans="1:28"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c r="AB120" s="172"/>
    </row>
    <row r="121" spans="1:28"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c r="AB121" s="172"/>
    </row>
    <row r="122" spans="1:28"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c r="AB122" s="172"/>
    </row>
    <row r="123" spans="1:28"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c r="AB123" s="172"/>
    </row>
    <row r="124" spans="1:28"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c r="AB124" s="172"/>
    </row>
    <row r="125" spans="1:28"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c r="AB125" s="172"/>
    </row>
    <row r="126" spans="1:28"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c r="AB126" s="172"/>
    </row>
    <row r="127" spans="1:28"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c r="AB127" s="172"/>
    </row>
    <row r="128" spans="1:28"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c r="AB128" s="172"/>
    </row>
    <row r="129" spans="1:28"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c r="AB129" s="172"/>
    </row>
    <row r="130" spans="1:28"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c r="AB130" s="172"/>
    </row>
    <row r="131" spans="1:28"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c r="AB131" s="172"/>
    </row>
    <row r="132" spans="1:28"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c r="AB132" s="172"/>
    </row>
    <row r="133" spans="1:28"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c r="AB133" s="172"/>
    </row>
    <row r="134" spans="1:28"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c r="AB134" s="172"/>
    </row>
    <row r="135" spans="1:28"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c r="AB135" s="172"/>
    </row>
    <row r="136" spans="1:28"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c r="AB136" s="172"/>
    </row>
    <row r="137" spans="1:28"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c r="AB137" s="172"/>
    </row>
    <row r="138" spans="1:28"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c r="AB138" s="172"/>
    </row>
    <row r="139" spans="1:28"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c r="AB139" s="172"/>
    </row>
    <row r="140" spans="1:28"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c r="AB140" s="172"/>
    </row>
    <row r="141" spans="1:28"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c r="AB141" s="172"/>
    </row>
    <row r="142" spans="1:28"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c r="AB142" s="172"/>
    </row>
    <row r="143" spans="1:28"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c r="AB143" s="172"/>
    </row>
    <row r="144" spans="1:28"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c r="AB144" s="172"/>
    </row>
    <row r="145" spans="1:28"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c r="AB145" s="172"/>
    </row>
    <row r="146" spans="1:28"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c r="AB146" s="172"/>
    </row>
    <row r="147" spans="1:28"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c r="AB147" s="172"/>
    </row>
    <row r="148" spans="1:28"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c r="AB148" s="172"/>
    </row>
    <row r="149" spans="1:28"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c r="AB149" s="172"/>
    </row>
    <row r="150" spans="1:28"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c r="AB150" s="172"/>
    </row>
    <row r="151" spans="1:28"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c r="AB151" s="172"/>
    </row>
    <row r="152" spans="1:28"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c r="AB152" s="172"/>
    </row>
    <row r="153" spans="1:28"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c r="AB153" s="172"/>
    </row>
    <row r="154" spans="1:28"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c r="AB154" s="172"/>
    </row>
    <row r="155" spans="1:28"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c r="AB155" s="172"/>
    </row>
    <row r="156" spans="1:28"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c r="AB156" s="172"/>
    </row>
    <row r="157" spans="1:28"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c r="AB157" s="172"/>
    </row>
    <row r="158" spans="1:28"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c r="AB158" s="172"/>
    </row>
    <row r="159" spans="1:28"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c r="AB159" s="172"/>
    </row>
    <row r="160" spans="1:28"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c r="AB160" s="172"/>
    </row>
    <row r="161" spans="1:28"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c r="AB161" s="172"/>
    </row>
    <row r="162" spans="1:28"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c r="AB162" s="172"/>
    </row>
    <row r="163" spans="1:28"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c r="AB163" s="172"/>
    </row>
    <row r="164" spans="1:28"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c r="AB164" s="172"/>
    </row>
    <row r="165" spans="1:28"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c r="AB165" s="172"/>
    </row>
    <row r="166" spans="1:28"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c r="AB166" s="172"/>
    </row>
    <row r="167" spans="1:28"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c r="AB167" s="172"/>
    </row>
    <row r="168" spans="1:28"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c r="AB168" s="172"/>
    </row>
    <row r="169" spans="1:28"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c r="AB169" s="172"/>
    </row>
    <row r="170" spans="1:28"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c r="AB170" s="172"/>
    </row>
    <row r="171" spans="1:28"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c r="AB171" s="172"/>
    </row>
    <row r="172" spans="1:28"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c r="AB172" s="172"/>
    </row>
    <row r="173" spans="1:28"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c r="AB173" s="172"/>
    </row>
    <row r="174" spans="1:28"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c r="AB174" s="172"/>
    </row>
    <row r="175" spans="1:28"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c r="AB175" s="172"/>
    </row>
    <row r="176" spans="1:28"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c r="AB176" s="172"/>
    </row>
    <row r="177" spans="1:28"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c r="AB177" s="172"/>
    </row>
    <row r="178" spans="1:28"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c r="AB178" s="172"/>
    </row>
    <row r="179" spans="1:28"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c r="AB179" s="172"/>
    </row>
    <row r="180" spans="1:28"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c r="AB180" s="172"/>
    </row>
    <row r="181" spans="1:28"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c r="AB181" s="172"/>
    </row>
    <row r="182" spans="1:28"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c r="AB182" s="172"/>
    </row>
    <row r="183" spans="1:28"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c r="AB183" s="172"/>
    </row>
    <row r="184" spans="1:28"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c r="AB184" s="172"/>
    </row>
    <row r="185" spans="1:28"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c r="AB185" s="172"/>
    </row>
    <row r="186" spans="1:28"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c r="AB186" s="172"/>
    </row>
    <row r="187" spans="1:28"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c r="AB187" s="172"/>
    </row>
    <row r="188" spans="1:28"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c r="AB188" s="172"/>
    </row>
    <row r="189" spans="1:28"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c r="AB189" s="172"/>
    </row>
    <row r="190" spans="1:28"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c r="AB190" s="172"/>
    </row>
    <row r="191" spans="1:28"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c r="AB191" s="172"/>
    </row>
    <row r="192" spans="1:28"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c r="AB192" s="172"/>
    </row>
    <row r="193" spans="1:28"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c r="AB193" s="172"/>
    </row>
    <row r="194" spans="1:28"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c r="AB194" s="172"/>
    </row>
    <row r="195" spans="1:28"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c r="AB195" s="172"/>
    </row>
    <row r="196" spans="1:28"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c r="AB196" s="172"/>
    </row>
    <row r="197" spans="1:28"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c r="AB197" s="172"/>
    </row>
    <row r="198" spans="1:28"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c r="AB198" s="172"/>
    </row>
    <row r="199" spans="1:28"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c r="AB199" s="172"/>
    </row>
    <row r="200" spans="1:28"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c r="AB200" s="172"/>
    </row>
  </sheetData>
  <sheetProtection algorithmName="SHA-512" hashValue="ppfMAkXroHSNnGL6mk9jc2goIDPX+s/KwAa0mXfrkzUXwSz0jBkSwJV9zPq6ibM4CDOgdkB+FYoUn0yl6MRs2A==" saltValue="R3hgXCR9xnSzNARRJ5rXqw==" spinCount="100000" sheet="1" objects="1" scenarios="1" formatCells="0" formatRows="0"/>
  <dataConsolidate/>
  <phoneticPr fontId="10" type="noConversion"/>
  <conditionalFormatting sqref="N13:N200">
    <cfRule type="expression" priority="7">
      <formula>LEFT($M13,5)="Other"</formula>
    </cfRule>
    <cfRule type="expression" dxfId="7" priority="8">
      <formula>LEFT($M13,5)&lt;&gt;"Other"</formula>
    </cfRule>
  </conditionalFormatting>
  <conditionalFormatting sqref="AA13:AA200">
    <cfRule type="expression" dxfId="6" priority="5">
      <formula>$Z13="Yes"</formula>
    </cfRule>
    <cfRule type="expression" dxfId="5" priority="6">
      <formula>$Z13&lt;&gt;"Yes"</formula>
    </cfRule>
  </conditionalFormatting>
  <conditionalFormatting sqref="E13:F200">
    <cfRule type="expression" priority="3">
      <formula>$E13&lt;&gt;"Not Found"</formula>
    </cfRule>
    <cfRule type="expression" dxfId="4" priority="4">
      <formula>$E13="Not Found"</formula>
    </cfRule>
  </conditionalFormatting>
  <conditionalFormatting sqref="AB13:AB200">
    <cfRule type="expression" dxfId="3" priority="1">
      <formula>LEFT($J13,4)="Loan"</formula>
    </cfRule>
    <cfRule type="expression" dxfId="2" priority="2">
      <formula>LEFT($J13,4)&lt;&gt;"Loan"</formula>
    </cfRule>
  </conditionalFormatting>
  <dataValidations count="19">
    <dataValidation type="list" allowBlank="1" showInputMessage="1" showErrorMessage="1" sqref="J13: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72A744B4-8CA5-4FED-9548-EF3F558A9808}">
      <formula1>12</formula1>
    </dataValidation>
    <dataValidation type="textLength" operator="equal" allowBlank="1" showInputMessage="1" showErrorMessage="1" errorTitle="Invalid Length" error="Value must equal 9 characters." sqref="D13:D200" xr:uid="{35818412-B87C-436E-AED5-F04D6C8824AE}">
      <formula1>9</formula1>
    </dataValidation>
    <dataValidation type="textLength" operator="lessThanOrEqual" allowBlank="1" showInputMessage="1" showErrorMessage="1" errorTitle="Max Length Exceed" error="Value cannot exceed 20 characters." sqref="G13:H200" xr:uid="{A9985224-B6AE-4712-9067-42D16C24D577}">
      <formula1>20</formula1>
    </dataValidation>
    <dataValidation type="decimal" operator="lessThanOrEqual" allowBlank="1" showInputMessage="1" showErrorMessage="1" errorTitle="Maximum Exceeded" error="Value cannot exceed 999,999,999,999.99" sqref="K13:K200" xr:uid="{9FCAA504-C2F3-46B3-AE81-E7C6E2C44BBF}">
      <formula1>999999999999.99</formula1>
    </dataValidation>
    <dataValidation type="date" operator="lessThan" allowBlank="1" showInputMessage="1" showErrorMessage="1" errorTitle="Date Format" error="Please check the format of the date you entered." sqref="L13:L200 AB13:AB200 P13:Q200" xr:uid="{6B97C613-3F33-4469-82B2-E980743AB424}">
      <formula1>46753</formula1>
    </dataValidation>
    <dataValidation type="textLength" operator="lessThanOrEqual" allowBlank="1" showInputMessage="1" showErrorMessage="1" errorTitle="Max Length Exceed" error="Value cannot exceed 100 characters." sqref="N13:N200" xr:uid="{50950FDC-06B3-4446-99AB-A98CB1D4CA2C}">
      <formula1>100</formula1>
    </dataValidation>
    <dataValidation type="textLength" operator="lessThanOrEqual" allowBlank="1" showInputMessage="1" showErrorMessage="1" errorTitle="Max Length Exceed" error="Value cannot exceed 3000 characters." sqref="O13:O200" xr:uid="{729A20F8-D75A-42F5-B230-824CAAF48349}">
      <formula1>3000</formula1>
    </dataValidation>
    <dataValidation type="textLength" operator="lessThanOrEqual" allowBlank="1" showInputMessage="1" showErrorMessage="1" errorTitle="Max Length Exceed" error="Value cannot exceed 120 characters." sqref="R13:T200" xr:uid="{B815EB1B-13F0-4C53-9B8D-1DD8705A8DAA}">
      <formula1>120</formula1>
    </dataValidation>
    <dataValidation type="textLength" operator="lessThanOrEqual" allowBlank="1" showInputMessage="1" showErrorMessage="1" errorTitle="Max Length Exceed" error="Value cannot exceed 40 characters." sqref="U13:U200" xr:uid="{27FC491B-6608-41BC-93A2-1B2C88066E31}">
      <formula1>40</formula1>
    </dataValidation>
    <dataValidation type="textLength" operator="lessThanOrEqual" allowBlank="1" showInputMessage="1" showErrorMessage="1" errorTitle="Max Length Exceed" error="Value cannot exceed 5 characters." sqref="W13:W200" xr:uid="{0463AAEF-55A3-4027-9E0F-AB1A04E3CFAE}">
      <formula1>5</formula1>
    </dataValidation>
    <dataValidation type="textLength" operator="lessThanOrEqual" allowBlank="1" showInputMessage="1" showErrorMessage="1" errorTitle="Max Length Exceed" error="Value cannot exceed 4 characters." sqref="X13:X200" xr:uid="{E7F9F461-2A28-40BC-A10E-00D6438B5A7F}">
      <formula1>4</formula1>
    </dataValidation>
    <dataValidation type="textLength" operator="lessThanOrEqual" allowBlank="1" showInputMessage="1" showErrorMessage="1" errorTitle="Max Length Exceed" error="Value cannot exceed 750 characters." sqref="Y13:Y200" xr:uid="{379C375C-B28E-4368-8CB1-C46ACBD7F0CD}">
      <formula1>750</formula1>
    </dataValidation>
    <dataValidation type="textLength" operator="lessThanOrEqual" allowBlank="1" showInputMessage="1" showErrorMessage="1" errorTitle="Max Length Exceed" error="Value cannot exceed 250 characters." sqref="AA13:AA200" xr:uid="{46961EC8-CDA2-42D7-ADD6-717248963E1C}">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159" hidden="1" customWidth="1"/>
    <col min="2" max="2" width="4.453125" style="159" hidden="1" customWidth="1"/>
    <col min="3" max="3" width="22.6328125" style="117" customWidth="1"/>
    <col min="4" max="5" width="23.6328125" style="117" customWidth="1"/>
    <col min="6" max="6" width="32.54296875" style="161" customWidth="1"/>
    <col min="7" max="7" width="18.54296875" style="161" customWidth="1"/>
    <col min="8" max="8" width="20.453125" style="162" customWidth="1"/>
    <col min="9" max="30" width="8.7265625" style="117" customWidth="1"/>
    <col min="31" max="16384" width="14.453125" style="117"/>
  </cols>
  <sheetData>
    <row r="1" spans="1:8" ht="27" hidden="1" customHeight="1" x14ac:dyDescent="0.25">
      <c r="A1" s="63"/>
      <c r="B1" s="74"/>
      <c r="C1" s="74"/>
      <c r="D1" s="74"/>
      <c r="E1" s="74"/>
      <c r="F1" s="86"/>
      <c r="G1" s="86"/>
      <c r="H1" s="87"/>
    </row>
    <row r="2" spans="1:8" ht="27" hidden="1" customHeight="1" x14ac:dyDescent="0.25">
      <c r="A2" s="61" t="s">
        <v>345</v>
      </c>
      <c r="B2" s="75"/>
      <c r="C2" s="74" t="s">
        <v>595</v>
      </c>
      <c r="D2" s="74"/>
      <c r="E2" s="74"/>
      <c r="F2" s="74" t="s">
        <v>595</v>
      </c>
      <c r="G2" s="74" t="s">
        <v>595</v>
      </c>
      <c r="H2" s="74" t="s">
        <v>595</v>
      </c>
    </row>
    <row r="3" spans="1:8" ht="27" hidden="1" customHeight="1" x14ac:dyDescent="0.25">
      <c r="A3" s="61" t="s">
        <v>133</v>
      </c>
      <c r="B3" s="75"/>
      <c r="C3" s="82" t="s">
        <v>596</v>
      </c>
      <c r="D3" s="74" t="s">
        <v>960</v>
      </c>
      <c r="E3" s="74" t="s">
        <v>960</v>
      </c>
      <c r="F3" s="88" t="s">
        <v>239</v>
      </c>
      <c r="G3" s="88" t="s">
        <v>240</v>
      </c>
      <c r="H3" s="88" t="s">
        <v>241</v>
      </c>
    </row>
    <row r="4" spans="1:8" ht="27" hidden="1" customHeight="1" x14ac:dyDescent="0.25">
      <c r="A4" s="61" t="s">
        <v>132</v>
      </c>
      <c r="B4" s="75"/>
      <c r="C4" s="82" t="s">
        <v>119</v>
      </c>
      <c r="D4" s="74" t="s">
        <v>953</v>
      </c>
      <c r="E4" s="74" t="s">
        <v>953</v>
      </c>
      <c r="F4" s="82" t="s">
        <v>119</v>
      </c>
      <c r="G4" s="82" t="s">
        <v>119</v>
      </c>
      <c r="H4" s="82" t="s">
        <v>119</v>
      </c>
    </row>
    <row r="5" spans="1:8" ht="27" hidden="1" customHeight="1" x14ac:dyDescent="0.25">
      <c r="A5" s="61" t="s">
        <v>346</v>
      </c>
      <c r="B5" s="75"/>
      <c r="C5" s="67" t="s">
        <v>597</v>
      </c>
      <c r="D5" s="74"/>
      <c r="E5" s="74"/>
      <c r="F5" s="89" t="s">
        <v>598</v>
      </c>
      <c r="G5" s="89" t="s">
        <v>599</v>
      </c>
      <c r="H5" s="89" t="s">
        <v>600</v>
      </c>
    </row>
    <row r="6" spans="1:8" ht="27" hidden="1" customHeight="1" x14ac:dyDescent="0.25">
      <c r="A6" s="61" t="s">
        <v>136</v>
      </c>
      <c r="B6" s="75"/>
      <c r="C6" s="82" t="s">
        <v>105</v>
      </c>
      <c r="D6" s="74" t="s">
        <v>105</v>
      </c>
      <c r="E6" s="74" t="s">
        <v>105</v>
      </c>
      <c r="F6" s="82" t="s">
        <v>105</v>
      </c>
      <c r="G6" s="82" t="s">
        <v>105</v>
      </c>
      <c r="H6" s="82" t="s">
        <v>105</v>
      </c>
    </row>
    <row r="7" spans="1:8" ht="27" hidden="1" customHeight="1" x14ac:dyDescent="0.25">
      <c r="A7" s="61" t="s">
        <v>137</v>
      </c>
      <c r="B7" s="75"/>
      <c r="C7" s="82" t="s">
        <v>139</v>
      </c>
      <c r="D7" s="74" t="s">
        <v>958</v>
      </c>
      <c r="E7" s="74" t="s">
        <v>958</v>
      </c>
      <c r="F7" s="82" t="s">
        <v>2</v>
      </c>
      <c r="G7" s="82" t="s">
        <v>2</v>
      </c>
      <c r="H7" s="82" t="s">
        <v>143</v>
      </c>
    </row>
    <row r="8" spans="1:8" ht="27" hidden="1" customHeight="1" x14ac:dyDescent="0.25">
      <c r="A8" s="61" t="s">
        <v>138</v>
      </c>
      <c r="B8" s="75"/>
      <c r="C8" s="85">
        <v>20</v>
      </c>
      <c r="D8" s="74" t="s">
        <v>105</v>
      </c>
      <c r="E8" s="74" t="s">
        <v>105</v>
      </c>
      <c r="F8" s="85" t="s">
        <v>696</v>
      </c>
      <c r="G8" s="85" t="s">
        <v>696</v>
      </c>
      <c r="H8" s="82" t="s">
        <v>144</v>
      </c>
    </row>
    <row r="9" spans="1:8" ht="27" hidden="1" customHeight="1" x14ac:dyDescent="0.25">
      <c r="A9" s="61" t="s">
        <v>347</v>
      </c>
      <c r="B9" s="75"/>
      <c r="C9" s="74"/>
      <c r="D9" s="74"/>
      <c r="E9" s="74"/>
      <c r="F9" s="74"/>
      <c r="G9" s="74"/>
      <c r="H9" s="74"/>
    </row>
    <row r="10" spans="1:8" ht="35.15" hidden="1" customHeight="1" x14ac:dyDescent="0.25">
      <c r="A10" s="38" t="s">
        <v>703</v>
      </c>
      <c r="B10" s="43"/>
      <c r="C10" s="77" t="s">
        <v>1009</v>
      </c>
      <c r="D10" s="78" t="s">
        <v>1011</v>
      </c>
      <c r="E10" s="79" t="s">
        <v>956</v>
      </c>
      <c r="F10" s="77" t="s">
        <v>735</v>
      </c>
      <c r="G10" s="77" t="s">
        <v>736</v>
      </c>
      <c r="H10" s="78" t="s">
        <v>1010</v>
      </c>
    </row>
    <row r="11" spans="1:8" ht="14" x14ac:dyDescent="0.25">
      <c r="A11" s="54"/>
      <c r="B11" s="54"/>
      <c r="C11" s="34">
        <f>Cover!$C$2</f>
        <v>0</v>
      </c>
      <c r="D11" s="21"/>
      <c r="E11" s="21"/>
      <c r="F11" s="53"/>
      <c r="G11" s="53"/>
      <c r="H11" s="53"/>
    </row>
    <row r="12" spans="1:8" ht="39" x14ac:dyDescent="0.3">
      <c r="A12" s="6" t="s">
        <v>134</v>
      </c>
      <c r="B12" s="6"/>
      <c r="C12" s="186" t="s">
        <v>281</v>
      </c>
      <c r="D12" s="258" t="s">
        <v>122</v>
      </c>
      <c r="E12" s="258" t="s">
        <v>7</v>
      </c>
      <c r="F12" s="262" t="s">
        <v>61</v>
      </c>
      <c r="G12" s="262" t="s">
        <v>62</v>
      </c>
      <c r="H12" s="262" t="s">
        <v>63</v>
      </c>
    </row>
    <row r="13" spans="1:8" ht="12.75" customHeight="1" x14ac:dyDescent="0.3">
      <c r="A13" s="178" t="s">
        <v>135</v>
      </c>
      <c r="B13" s="178"/>
      <c r="C13" s="257"/>
      <c r="D13" s="256" t="str">
        <f>IFERROR(IF(ISBLANK(C13),"",_xlfn.XLOOKUP(C13,'Awards &gt; 50000'!$H$13:$H$200,'Awards &gt; 50000'!$G$13:$G$200,"Not Found",0,1)),"Not Found")</f>
        <v/>
      </c>
      <c r="E13" s="256" t="str">
        <f>IFERROR(IF(ISBLANK(C13),"",VLOOKUP(C13,'Awards &gt; 50000'!$H$13:$I$200,2,FALSE)),"Not Found")</f>
        <v/>
      </c>
      <c r="F13" s="236"/>
      <c r="G13" s="236"/>
      <c r="H13" s="206"/>
    </row>
    <row r="14" spans="1:8" ht="12.75" customHeight="1" x14ac:dyDescent="0.3">
      <c r="A14" s="239"/>
      <c r="B14" s="239"/>
      <c r="C14" s="257"/>
      <c r="D14" s="256" t="str">
        <f>IFERROR(IF(ISBLANK(C14),"",_xlfn.XLOOKUP(C14,'Awards &gt; 50000'!$H$13:$H$200,'Awards &gt; 50000'!$G$13:$G$200,"Not Found",0,1)),"Not Found")</f>
        <v/>
      </c>
      <c r="E14" s="256" t="str">
        <f>IFERROR(IF(ISBLANK(C14),"",VLOOKUP(C14,'Awards &gt; 50000'!$H$13:$I$200,2,FALSE)),"Not Found")</f>
        <v/>
      </c>
      <c r="F14" s="236"/>
      <c r="G14" s="236"/>
      <c r="H14" s="206"/>
    </row>
    <row r="15" spans="1:8" ht="12.75" customHeight="1" x14ac:dyDescent="0.3">
      <c r="A15" s="239"/>
      <c r="B15" s="239"/>
      <c r="C15" s="257"/>
      <c r="D15" s="256" t="str">
        <f>IFERROR(IF(ISBLANK(C15),"",_xlfn.XLOOKUP(C15,'Awards &gt; 50000'!$H$13:$H$200,'Awards &gt; 50000'!$G$13:$G$200,"Not Found",0,1)),"Not Found")</f>
        <v/>
      </c>
      <c r="E15" s="256" t="str">
        <f>IFERROR(IF(ISBLANK(C15),"",VLOOKUP(C15,'Awards &gt; 50000'!$H$13:$I$200,2,FALSE)),"Not Found")</f>
        <v/>
      </c>
      <c r="F15" s="236"/>
      <c r="G15" s="236"/>
      <c r="H15" s="206"/>
    </row>
    <row r="16" spans="1:8" ht="12.75" customHeight="1" x14ac:dyDescent="0.3">
      <c r="A16" s="239"/>
      <c r="B16" s="239"/>
      <c r="C16" s="257"/>
      <c r="D16" s="256" t="str">
        <f>IFERROR(IF(ISBLANK(C16),"",_xlfn.XLOOKUP(C16,'Awards &gt; 50000'!$H$13:$H$200,'Awards &gt; 50000'!$G$13:$G$200,"Not Found",0,1)),"Not Found")</f>
        <v/>
      </c>
      <c r="E16" s="256" t="str">
        <f>IFERROR(IF(ISBLANK(C16),"",VLOOKUP(C16,'Awards &gt; 50000'!$H$13:$I$200,2,FALSE)),"Not Found")</f>
        <v/>
      </c>
      <c r="F16" s="236"/>
      <c r="G16" s="236"/>
      <c r="H16" s="206"/>
    </row>
    <row r="17" spans="1:8" ht="12.75" customHeight="1" x14ac:dyDescent="0.3">
      <c r="A17" s="239"/>
      <c r="B17" s="239"/>
      <c r="C17" s="257"/>
      <c r="D17" s="256" t="str">
        <f>IFERROR(IF(ISBLANK(C17),"",_xlfn.XLOOKUP(C17,'Awards &gt; 50000'!$H$13:$H$200,'Awards &gt; 50000'!$G$13:$G$200,"Not Found",0,1)),"Not Found")</f>
        <v/>
      </c>
      <c r="E17" s="256" t="str">
        <f>IFERROR(IF(ISBLANK(C17),"",VLOOKUP(C17,'Awards &gt; 50000'!$H$13:$I$200,2,FALSE)),"Not Found")</f>
        <v/>
      </c>
      <c r="F17" s="236"/>
      <c r="G17" s="236"/>
      <c r="H17" s="206"/>
    </row>
    <row r="18" spans="1:8" ht="12.75" customHeight="1" x14ac:dyDescent="0.3">
      <c r="A18" s="239"/>
      <c r="B18" s="239"/>
      <c r="C18" s="257"/>
      <c r="D18" s="256" t="str">
        <f>IFERROR(IF(ISBLANK(C18),"",_xlfn.XLOOKUP(C18,'Awards &gt; 50000'!$H$13:$H$200,'Awards &gt; 50000'!$G$13:$G$200,"Not Found",0,1)),"Not Found")</f>
        <v/>
      </c>
      <c r="E18" s="256" t="str">
        <f>IFERROR(IF(ISBLANK(C18),"",VLOOKUP(C18,'Awards &gt; 50000'!$H$13:$I$200,2,FALSE)),"Not Found")</f>
        <v/>
      </c>
      <c r="F18" s="236"/>
      <c r="G18" s="236"/>
      <c r="H18" s="206"/>
    </row>
    <row r="19" spans="1:8" ht="12.75" customHeight="1" x14ac:dyDescent="0.3">
      <c r="A19" s="239"/>
      <c r="B19" s="239"/>
      <c r="C19" s="257"/>
      <c r="D19" s="256" t="str">
        <f>IFERROR(IF(ISBLANK(C19),"",_xlfn.XLOOKUP(C19,'Awards &gt; 50000'!$H$13:$H$200,'Awards &gt; 50000'!$G$13:$G$200,"Not Found",0,1)),"Not Found")</f>
        <v/>
      </c>
      <c r="E19" s="256" t="str">
        <f>IFERROR(IF(ISBLANK(C19),"",VLOOKUP(C19,'Awards &gt; 50000'!$H$13:$I$200,2,FALSE)),"Not Found")</f>
        <v/>
      </c>
      <c r="F19" s="236"/>
      <c r="G19" s="236"/>
      <c r="H19" s="206"/>
    </row>
    <row r="20" spans="1:8" ht="12.75" customHeight="1" x14ac:dyDescent="0.3">
      <c r="A20" s="239"/>
      <c r="B20" s="239"/>
      <c r="C20" s="237"/>
      <c r="D20" s="256" t="str">
        <f>IFERROR(IF(ISBLANK(C20),"",_xlfn.XLOOKUP(C20,'Awards &gt; 50000'!$H$13:$H$200,'Awards &gt; 50000'!$G$13:$G$200,"Not Found",0,1)),"Not Found")</f>
        <v/>
      </c>
      <c r="E20" s="256" t="str">
        <f>IFERROR(IF(ISBLANK(C20),"",VLOOKUP(C20,'Awards &gt; 50000'!$H$13:$I$200,2,FALSE)),"Not Found")</f>
        <v/>
      </c>
      <c r="F20" s="236"/>
      <c r="G20" s="236"/>
      <c r="H20" s="206"/>
    </row>
    <row r="21" spans="1:8" ht="12.75" customHeight="1" x14ac:dyDescent="0.3">
      <c r="A21" s="239"/>
      <c r="B21" s="239"/>
      <c r="C21" s="237"/>
      <c r="D21" s="256" t="str">
        <f>IFERROR(IF(ISBLANK(C21),"",_xlfn.XLOOKUP(C21,'Awards &gt; 50000'!$H$13:$H$200,'Awards &gt; 50000'!$G$13:$G$200,"Not Found",0,1)),"Not Found")</f>
        <v/>
      </c>
      <c r="E21" s="256" t="str">
        <f>IFERROR(IF(ISBLANK(C21),"",VLOOKUP(C21,'Awards &gt; 50000'!$H$13:$I$200,2,FALSE)),"Not Found")</f>
        <v/>
      </c>
      <c r="F21" s="236"/>
      <c r="G21" s="236"/>
      <c r="H21" s="206"/>
    </row>
    <row r="22" spans="1:8" ht="12.75" customHeight="1" x14ac:dyDescent="0.3">
      <c r="A22" s="239"/>
      <c r="B22" s="239"/>
      <c r="C22" s="237"/>
      <c r="D22" s="256" t="str">
        <f>IFERROR(IF(ISBLANK(C22),"",_xlfn.XLOOKUP(C22,'Awards &gt; 50000'!$H$13:$H$200,'Awards &gt; 50000'!$G$13:$G$200,"Not Found",0,1)),"Not Found")</f>
        <v/>
      </c>
      <c r="E22" s="256" t="str">
        <f>IFERROR(IF(ISBLANK(C22),"",VLOOKUP(C22,'Awards &gt; 50000'!$H$13:$I$200,2,FALSE)),"Not Found")</f>
        <v/>
      </c>
      <c r="F22" s="236"/>
      <c r="G22" s="236"/>
      <c r="H22" s="206"/>
    </row>
    <row r="23" spans="1:8" ht="12.75" customHeight="1" x14ac:dyDescent="0.3">
      <c r="A23" s="239"/>
      <c r="B23" s="239"/>
      <c r="C23" s="237"/>
      <c r="D23" s="256" t="str">
        <f>IFERROR(IF(ISBLANK(C23),"",_xlfn.XLOOKUP(C23,'Awards &gt; 50000'!$H$13:$H$200,'Awards &gt; 50000'!$G$13:$G$200,"Not Found",0,1)),"Not Found")</f>
        <v/>
      </c>
      <c r="E23" s="256" t="str">
        <f>IFERROR(IF(ISBLANK(C23),"",VLOOKUP(C23,'Awards &gt; 50000'!$H$13:$I$200,2,FALSE)),"Not Found")</f>
        <v/>
      </c>
      <c r="F23" s="236"/>
      <c r="G23" s="236"/>
      <c r="H23" s="206"/>
    </row>
    <row r="24" spans="1:8" ht="12.75" customHeight="1" x14ac:dyDescent="0.3">
      <c r="A24" s="239"/>
      <c r="B24" s="239"/>
      <c r="C24" s="237"/>
      <c r="D24" s="256" t="str">
        <f>IFERROR(IF(ISBLANK(C24),"",_xlfn.XLOOKUP(C24,'Awards &gt; 50000'!$H$13:$H$200,'Awards &gt; 50000'!$G$13:$G$200,"Not Found",0,1)),"Not Found")</f>
        <v/>
      </c>
      <c r="E24" s="256" t="str">
        <f>IFERROR(IF(ISBLANK(C24),"",VLOOKUP(C24,'Awards &gt; 50000'!$H$13:$I$200,2,FALSE)),"Not Found")</f>
        <v/>
      </c>
      <c r="F24" s="236"/>
      <c r="G24" s="236"/>
      <c r="H24" s="206"/>
    </row>
    <row r="25" spans="1:8" ht="12.75" customHeight="1" x14ac:dyDescent="0.3">
      <c r="A25" s="239"/>
      <c r="B25" s="239"/>
      <c r="C25" s="237"/>
      <c r="D25" s="256" t="str">
        <f>IFERROR(IF(ISBLANK(C25),"",_xlfn.XLOOKUP(C25,'Awards &gt; 50000'!$H$13:$H$200,'Awards &gt; 50000'!$G$13:$G$200,"Not Found",0,1)),"Not Found")</f>
        <v/>
      </c>
      <c r="E25" s="256" t="str">
        <f>IFERROR(IF(ISBLANK(C25),"",VLOOKUP(C25,'Awards &gt; 50000'!$H$13:$I$200,2,FALSE)),"Not Found")</f>
        <v/>
      </c>
      <c r="F25" s="236"/>
      <c r="G25" s="236"/>
      <c r="H25" s="206"/>
    </row>
    <row r="26" spans="1:8" ht="12.75" customHeight="1" x14ac:dyDescent="0.3">
      <c r="A26" s="239"/>
      <c r="B26" s="239"/>
      <c r="C26" s="237"/>
      <c r="D26" s="256" t="str">
        <f>IFERROR(IF(ISBLANK(C26),"",_xlfn.XLOOKUP(C26,'Awards &gt; 50000'!$H$13:$H$200,'Awards &gt; 50000'!$G$13:$G$200,"Not Found",0,1)),"Not Found")</f>
        <v/>
      </c>
      <c r="E26" s="256" t="str">
        <f>IFERROR(IF(ISBLANK(C26),"",VLOOKUP(C26,'Awards &gt; 50000'!$H$13:$I$200,2,FALSE)),"Not Found")</f>
        <v/>
      </c>
      <c r="F26" s="236"/>
      <c r="G26" s="236"/>
      <c r="H26" s="206"/>
    </row>
    <row r="27" spans="1:8" ht="12.75" customHeight="1" x14ac:dyDescent="0.3">
      <c r="A27" s="239"/>
      <c r="B27" s="239"/>
      <c r="C27" s="237"/>
      <c r="D27" s="256" t="str">
        <f>IFERROR(IF(ISBLANK(C27),"",_xlfn.XLOOKUP(C27,'Awards &gt; 50000'!$H$13:$H$200,'Awards &gt; 50000'!$G$13:$G$200,"Not Found",0,1)),"Not Found")</f>
        <v/>
      </c>
      <c r="E27" s="256" t="str">
        <f>IFERROR(IF(ISBLANK(C27),"",VLOOKUP(C27,'Awards &gt; 50000'!$H$13:$I$200,2,FALSE)),"Not Found")</f>
        <v/>
      </c>
      <c r="F27" s="236"/>
      <c r="G27" s="236"/>
      <c r="H27" s="206"/>
    </row>
    <row r="28" spans="1:8" ht="12.75" customHeight="1" x14ac:dyDescent="0.3">
      <c r="A28" s="239"/>
      <c r="B28" s="239"/>
      <c r="C28" s="237"/>
      <c r="D28" s="256" t="str">
        <f>IFERROR(IF(ISBLANK(C28),"",_xlfn.XLOOKUP(C28,'Awards &gt; 50000'!$H$13:$H$200,'Awards &gt; 50000'!$G$13:$G$200,"Not Found",0,1)),"Not Found")</f>
        <v/>
      </c>
      <c r="E28" s="256" t="str">
        <f>IFERROR(IF(ISBLANK(C28),"",VLOOKUP(C28,'Awards &gt; 50000'!$H$13:$I$200,2,FALSE)),"Not Found")</f>
        <v/>
      </c>
      <c r="F28" s="236"/>
      <c r="G28" s="236"/>
      <c r="H28" s="206"/>
    </row>
    <row r="29" spans="1:8" ht="12.75" customHeight="1" x14ac:dyDescent="0.3">
      <c r="A29" s="239"/>
      <c r="B29" s="239"/>
      <c r="C29" s="237"/>
      <c r="D29" s="256" t="str">
        <f>IFERROR(IF(ISBLANK(C29),"",_xlfn.XLOOKUP(C29,'Awards &gt; 50000'!$H$13:$H$200,'Awards &gt; 50000'!$G$13:$G$200,"Not Found",0,1)),"Not Found")</f>
        <v/>
      </c>
      <c r="E29" s="256" t="str">
        <f>IFERROR(IF(ISBLANK(C29),"",VLOOKUP(C29,'Awards &gt; 50000'!$H$13:$I$200,2,FALSE)),"Not Found")</f>
        <v/>
      </c>
      <c r="F29" s="236"/>
      <c r="G29" s="236"/>
      <c r="H29" s="206"/>
    </row>
    <row r="30" spans="1:8" ht="12.75" customHeight="1" x14ac:dyDescent="0.3">
      <c r="A30" s="239"/>
      <c r="B30" s="239"/>
      <c r="C30" s="237"/>
      <c r="D30" s="256" t="str">
        <f>IFERROR(IF(ISBLANK(C30),"",_xlfn.XLOOKUP(C30,'Awards &gt; 50000'!$H$13:$H$200,'Awards &gt; 50000'!$G$13:$G$200,"Not Found",0,1)),"Not Found")</f>
        <v/>
      </c>
      <c r="E30" s="256" t="str">
        <f>IFERROR(IF(ISBLANK(C30),"",VLOOKUP(C30,'Awards &gt; 50000'!$H$13:$I$200,2,FALSE)),"Not Found")</f>
        <v/>
      </c>
      <c r="F30" s="236"/>
      <c r="G30" s="236"/>
      <c r="H30" s="206"/>
    </row>
    <row r="31" spans="1:8" ht="12.75" customHeight="1" x14ac:dyDescent="0.3">
      <c r="A31" s="239"/>
      <c r="B31" s="239"/>
      <c r="C31" s="237"/>
      <c r="D31" s="256" t="str">
        <f>IFERROR(IF(ISBLANK(C31),"",_xlfn.XLOOKUP(C31,'Awards &gt; 50000'!$H$13:$H$200,'Awards &gt; 50000'!$G$13:$G$200,"Not Found",0,1)),"Not Found")</f>
        <v/>
      </c>
      <c r="E31" s="256" t="str">
        <f>IFERROR(IF(ISBLANK(C31),"",VLOOKUP(C31,'Awards &gt; 50000'!$H$13:$I$200,2,FALSE)),"Not Found")</f>
        <v/>
      </c>
      <c r="F31" s="236"/>
      <c r="G31" s="236"/>
      <c r="H31" s="206"/>
    </row>
    <row r="32" spans="1:8" ht="12.75" customHeight="1" x14ac:dyDescent="0.3">
      <c r="A32" s="239"/>
      <c r="B32" s="239"/>
      <c r="C32" s="237"/>
      <c r="D32" s="256" t="str">
        <f>IFERROR(IF(ISBLANK(C32),"",_xlfn.XLOOKUP(C32,'Awards &gt; 50000'!$H$13:$H$200,'Awards &gt; 50000'!$G$13:$G$200,"Not Found",0,1)),"Not Found")</f>
        <v/>
      </c>
      <c r="E32" s="256" t="str">
        <f>IFERROR(IF(ISBLANK(C32),"",VLOOKUP(C32,'Awards &gt; 50000'!$H$13:$I$200,2,FALSE)),"Not Found")</f>
        <v/>
      </c>
      <c r="F32" s="236"/>
      <c r="G32" s="236"/>
      <c r="H32" s="206"/>
    </row>
    <row r="33" spans="1:8" ht="12.75" customHeight="1" x14ac:dyDescent="0.3">
      <c r="A33" s="239"/>
      <c r="B33" s="239"/>
      <c r="C33" s="237"/>
      <c r="D33" s="256" t="str">
        <f>IFERROR(IF(ISBLANK(C33),"",_xlfn.XLOOKUP(C33,'Awards &gt; 50000'!$H$13:$H$200,'Awards &gt; 50000'!$G$13:$G$200,"Not Found",0,1)),"Not Found")</f>
        <v/>
      </c>
      <c r="E33" s="256" t="str">
        <f>IFERROR(IF(ISBLANK(C33),"",VLOOKUP(C33,'Awards &gt; 50000'!$H$13:$I$200,2,FALSE)),"Not Found")</f>
        <v/>
      </c>
      <c r="F33" s="236"/>
      <c r="G33" s="236"/>
      <c r="H33" s="206"/>
    </row>
    <row r="34" spans="1:8" ht="12.75" customHeight="1" x14ac:dyDescent="0.3">
      <c r="A34" s="239"/>
      <c r="B34" s="239"/>
      <c r="C34" s="237"/>
      <c r="D34" s="256" t="str">
        <f>IFERROR(IF(ISBLANK(C34),"",_xlfn.XLOOKUP(C34,'Awards &gt; 50000'!$H$13:$H$200,'Awards &gt; 50000'!$G$13:$G$200,"Not Found",0,1)),"Not Found")</f>
        <v/>
      </c>
      <c r="E34" s="256" t="str">
        <f>IFERROR(IF(ISBLANK(C34),"",VLOOKUP(C34,'Awards &gt; 50000'!$H$13:$I$200,2,FALSE)),"Not Found")</f>
        <v/>
      </c>
      <c r="F34" s="236"/>
      <c r="G34" s="236"/>
      <c r="H34" s="206"/>
    </row>
    <row r="35" spans="1:8" ht="12.75" customHeight="1" x14ac:dyDescent="0.3">
      <c r="A35" s="239"/>
      <c r="B35" s="239"/>
      <c r="C35" s="237"/>
      <c r="D35" s="256" t="str">
        <f>IFERROR(IF(ISBLANK(C35),"",_xlfn.XLOOKUP(C35,'Awards &gt; 50000'!$H$13:$H$200,'Awards &gt; 50000'!$G$13:$G$200,"Not Found",0,1)),"Not Found")</f>
        <v/>
      </c>
      <c r="E35" s="256" t="str">
        <f>IFERROR(IF(ISBLANK(C35),"",VLOOKUP(C35,'Awards &gt; 50000'!$H$13:$I$200,2,FALSE)),"Not Found")</f>
        <v/>
      </c>
      <c r="F35" s="236"/>
      <c r="G35" s="236"/>
      <c r="H35" s="206"/>
    </row>
    <row r="36" spans="1:8" ht="12.75" customHeight="1" x14ac:dyDescent="0.3">
      <c r="A36" s="239"/>
      <c r="B36" s="239"/>
      <c r="C36" s="237"/>
      <c r="D36" s="256" t="str">
        <f>IFERROR(IF(ISBLANK(C36),"",_xlfn.XLOOKUP(C36,'Awards &gt; 50000'!$H$13:$H$200,'Awards &gt; 50000'!$G$13:$G$200,"Not Found",0,1)),"Not Found")</f>
        <v/>
      </c>
      <c r="E36" s="256" t="str">
        <f>IFERROR(IF(ISBLANK(C36),"",VLOOKUP(C36,'Awards &gt; 50000'!$H$13:$I$200,2,FALSE)),"Not Found")</f>
        <v/>
      </c>
      <c r="F36" s="236"/>
      <c r="G36" s="236"/>
      <c r="H36" s="206"/>
    </row>
    <row r="37" spans="1:8" ht="12.75" customHeight="1" x14ac:dyDescent="0.3">
      <c r="A37" s="239"/>
      <c r="B37" s="239"/>
      <c r="C37" s="237"/>
      <c r="D37" s="256" t="str">
        <f>IFERROR(IF(ISBLANK(C37),"",_xlfn.XLOOKUP(C37,'Awards &gt; 50000'!$H$13:$H$200,'Awards &gt; 50000'!$G$13:$G$200,"Not Found",0,1)),"Not Found")</f>
        <v/>
      </c>
      <c r="E37" s="256" t="str">
        <f>IFERROR(IF(ISBLANK(C37),"",VLOOKUP(C37,'Awards &gt; 50000'!$H$13:$I$200,2,FALSE)),"Not Found")</f>
        <v/>
      </c>
      <c r="F37" s="236"/>
      <c r="G37" s="236"/>
      <c r="H37" s="206"/>
    </row>
    <row r="38" spans="1:8" ht="12.75" customHeight="1" x14ac:dyDescent="0.3">
      <c r="A38" s="239"/>
      <c r="B38" s="239"/>
      <c r="C38" s="237"/>
      <c r="D38" s="256" t="str">
        <f>IFERROR(IF(ISBLANK(C38),"",_xlfn.XLOOKUP(C38,'Awards &gt; 50000'!$H$13:$H$200,'Awards &gt; 50000'!$G$13:$G$200,"Not Found",0,1)),"Not Found")</f>
        <v/>
      </c>
      <c r="E38" s="256" t="str">
        <f>IFERROR(IF(ISBLANK(C38),"",VLOOKUP(C38,'Awards &gt; 50000'!$H$13:$I$200,2,FALSE)),"Not Found")</f>
        <v/>
      </c>
      <c r="F38" s="236"/>
      <c r="G38" s="236"/>
      <c r="H38" s="206"/>
    </row>
    <row r="39" spans="1:8" ht="12.75" customHeight="1" x14ac:dyDescent="0.3">
      <c r="A39" s="239"/>
      <c r="B39" s="239"/>
      <c r="C39" s="237"/>
      <c r="D39" s="256" t="str">
        <f>IFERROR(IF(ISBLANK(C39),"",_xlfn.XLOOKUP(C39,'Awards &gt; 50000'!$H$13:$H$200,'Awards &gt; 50000'!$G$13:$G$200,"Not Found",0,1)),"Not Found")</f>
        <v/>
      </c>
      <c r="E39" s="256" t="str">
        <f>IFERROR(IF(ISBLANK(C39),"",VLOOKUP(C39,'Awards &gt; 50000'!$H$13:$I$200,2,FALSE)),"Not Found")</f>
        <v/>
      </c>
      <c r="F39" s="236"/>
      <c r="G39" s="236"/>
      <c r="H39" s="206"/>
    </row>
    <row r="40" spans="1:8" ht="12.75" customHeight="1" x14ac:dyDescent="0.3">
      <c r="A40" s="239"/>
      <c r="B40" s="239"/>
      <c r="C40" s="237"/>
      <c r="D40" s="256" t="str">
        <f>IFERROR(IF(ISBLANK(C40),"",_xlfn.XLOOKUP(C40,'Awards &gt; 50000'!$H$13:$H$200,'Awards &gt; 50000'!$G$13:$G$200,"Not Found",0,1)),"Not Found")</f>
        <v/>
      </c>
      <c r="E40" s="256" t="str">
        <f>IFERROR(IF(ISBLANK(C40),"",VLOOKUP(C40,'Awards &gt; 50000'!$H$13:$I$200,2,FALSE)),"Not Found")</f>
        <v/>
      </c>
      <c r="F40" s="236"/>
      <c r="G40" s="236"/>
      <c r="H40" s="206"/>
    </row>
    <row r="41" spans="1:8" ht="12.75" customHeight="1" x14ac:dyDescent="0.3">
      <c r="A41" s="239"/>
      <c r="B41" s="239"/>
      <c r="C41" s="237"/>
      <c r="D41" s="256" t="str">
        <f>IFERROR(IF(ISBLANK(C41),"",_xlfn.XLOOKUP(C41,'Awards &gt; 50000'!$H$13:$H$200,'Awards &gt; 50000'!$G$13:$G$200,"Not Found",0,1)),"Not Found")</f>
        <v/>
      </c>
      <c r="E41" s="256" t="str">
        <f>IFERROR(IF(ISBLANK(C41),"",VLOOKUP(C41,'Awards &gt; 50000'!$H$13:$I$200,2,FALSE)),"Not Found")</f>
        <v/>
      </c>
      <c r="F41" s="236"/>
      <c r="G41" s="236"/>
      <c r="H41" s="206"/>
    </row>
    <row r="42" spans="1:8" ht="12.75" customHeight="1" x14ac:dyDescent="0.3">
      <c r="A42" s="239"/>
      <c r="B42" s="239"/>
      <c r="C42" s="237"/>
      <c r="D42" s="256" t="str">
        <f>IFERROR(IF(ISBLANK(C42),"",_xlfn.XLOOKUP(C42,'Awards &gt; 50000'!$H$13:$H$200,'Awards &gt; 50000'!$G$13:$G$200,"Not Found",0,1)),"Not Found")</f>
        <v/>
      </c>
      <c r="E42" s="256" t="str">
        <f>IFERROR(IF(ISBLANK(C42),"",VLOOKUP(C42,'Awards &gt; 50000'!$H$13:$I$200,2,FALSE)),"Not Found")</f>
        <v/>
      </c>
      <c r="F42" s="236"/>
      <c r="G42" s="236"/>
      <c r="H42" s="206"/>
    </row>
    <row r="43" spans="1:8" ht="12.75" customHeight="1" x14ac:dyDescent="0.3">
      <c r="A43" s="239"/>
      <c r="B43" s="239"/>
      <c r="C43" s="237"/>
      <c r="D43" s="256" t="str">
        <f>IFERROR(IF(ISBLANK(C43),"",_xlfn.XLOOKUP(C43,'Awards &gt; 50000'!$H$13:$H$200,'Awards &gt; 50000'!$G$13:$G$200,"Not Found",0,1)),"Not Found")</f>
        <v/>
      </c>
      <c r="E43" s="256" t="str">
        <f>IFERROR(IF(ISBLANK(C43),"",VLOOKUP(C43,'Awards &gt; 50000'!$H$13:$I$200,2,FALSE)),"Not Found")</f>
        <v/>
      </c>
      <c r="F43" s="236"/>
      <c r="G43" s="236"/>
      <c r="H43" s="206"/>
    </row>
    <row r="44" spans="1:8" ht="12.75" customHeight="1" x14ac:dyDescent="0.3">
      <c r="A44" s="239"/>
      <c r="B44" s="239"/>
      <c r="C44" s="237"/>
      <c r="D44" s="256" t="str">
        <f>IFERROR(IF(ISBLANK(C44),"",_xlfn.XLOOKUP(C44,'Awards &gt; 50000'!$H$13:$H$200,'Awards &gt; 50000'!$G$13:$G$200,"Not Found",0,1)),"Not Found")</f>
        <v/>
      </c>
      <c r="E44" s="256" t="str">
        <f>IFERROR(IF(ISBLANK(C44),"",VLOOKUP(C44,'Awards &gt; 50000'!$H$13:$I$200,2,FALSE)),"Not Found")</f>
        <v/>
      </c>
      <c r="F44" s="236"/>
      <c r="G44" s="236"/>
      <c r="H44" s="206"/>
    </row>
    <row r="45" spans="1:8" ht="12.75" customHeight="1" x14ac:dyDescent="0.3">
      <c r="A45" s="239"/>
      <c r="B45" s="239"/>
      <c r="C45" s="237"/>
      <c r="D45" s="256" t="str">
        <f>IFERROR(IF(ISBLANK(C45),"",_xlfn.XLOOKUP(C45,'Awards &gt; 50000'!$H$13:$H$200,'Awards &gt; 50000'!$G$13:$G$200,"Not Found",0,1)),"Not Found")</f>
        <v/>
      </c>
      <c r="E45" s="256" t="str">
        <f>IFERROR(IF(ISBLANK(C45),"",VLOOKUP(C45,'Awards &gt; 50000'!$H$13:$I$200,2,FALSE)),"Not Found")</f>
        <v/>
      </c>
      <c r="F45" s="236"/>
      <c r="G45" s="236"/>
      <c r="H45" s="206"/>
    </row>
    <row r="46" spans="1:8" ht="12.75" customHeight="1" x14ac:dyDescent="0.3">
      <c r="A46" s="239"/>
      <c r="B46" s="239"/>
      <c r="C46" s="237"/>
      <c r="D46" s="256" t="str">
        <f>IFERROR(IF(ISBLANK(C46),"",_xlfn.XLOOKUP(C46,'Awards &gt; 50000'!$H$13:$H$200,'Awards &gt; 50000'!$G$13:$G$200,"Not Found",0,1)),"Not Found")</f>
        <v/>
      </c>
      <c r="E46" s="256" t="str">
        <f>IFERROR(IF(ISBLANK(C46),"",VLOOKUP(C46,'Awards &gt; 50000'!$H$13:$I$200,2,FALSE)),"Not Found")</f>
        <v/>
      </c>
      <c r="F46" s="236"/>
      <c r="G46" s="236"/>
      <c r="H46" s="206"/>
    </row>
    <row r="47" spans="1:8" ht="12.75" customHeight="1" x14ac:dyDescent="0.3">
      <c r="A47" s="239"/>
      <c r="B47" s="239"/>
      <c r="C47" s="237"/>
      <c r="D47" s="256" t="str">
        <f>IFERROR(IF(ISBLANK(C47),"",_xlfn.XLOOKUP(C47,'Awards &gt; 50000'!$H$13:$H$200,'Awards &gt; 50000'!$G$13:$G$200,"Not Found",0,1)),"Not Found")</f>
        <v/>
      </c>
      <c r="E47" s="256" t="str">
        <f>IFERROR(IF(ISBLANK(C47),"",VLOOKUP(C47,'Awards &gt; 50000'!$H$13:$I$200,2,FALSE)),"Not Found")</f>
        <v/>
      </c>
      <c r="F47" s="236"/>
      <c r="G47" s="236"/>
      <c r="H47" s="206"/>
    </row>
    <row r="48" spans="1:8" ht="12.75" customHeight="1" x14ac:dyDescent="0.3">
      <c r="A48" s="239"/>
      <c r="B48" s="239"/>
      <c r="C48" s="237"/>
      <c r="D48" s="256" t="str">
        <f>IFERROR(IF(ISBLANK(C48),"",_xlfn.XLOOKUP(C48,'Awards &gt; 50000'!$H$13:$H$200,'Awards &gt; 50000'!$G$13:$G$200,"Not Found",0,1)),"Not Found")</f>
        <v/>
      </c>
      <c r="E48" s="256" t="str">
        <f>IFERROR(IF(ISBLANK(C48),"",VLOOKUP(C48,'Awards &gt; 50000'!$H$13:$I$200,2,FALSE)),"Not Found")</f>
        <v/>
      </c>
      <c r="F48" s="236"/>
      <c r="G48" s="236"/>
      <c r="H48" s="206"/>
    </row>
    <row r="49" spans="1:8" ht="12.75" customHeight="1" x14ac:dyDescent="0.3">
      <c r="A49" s="239"/>
      <c r="B49" s="239"/>
      <c r="C49" s="237"/>
      <c r="D49" s="256" t="str">
        <f>IFERROR(IF(ISBLANK(C49),"",_xlfn.XLOOKUP(C49,'Awards &gt; 50000'!$H$13:$H$200,'Awards &gt; 50000'!$G$13:$G$200,"Not Found",0,1)),"Not Found")</f>
        <v/>
      </c>
      <c r="E49" s="256" t="str">
        <f>IFERROR(IF(ISBLANK(C49),"",VLOOKUP(C49,'Awards &gt; 50000'!$H$13:$I$200,2,FALSE)),"Not Found")</f>
        <v/>
      </c>
      <c r="F49" s="236"/>
      <c r="G49" s="236"/>
      <c r="H49" s="206"/>
    </row>
    <row r="50" spans="1:8" ht="12.75" customHeight="1" x14ac:dyDescent="0.3">
      <c r="A50" s="239"/>
      <c r="B50" s="239"/>
      <c r="C50" s="237"/>
      <c r="D50" s="256" t="str">
        <f>IFERROR(IF(ISBLANK(C50),"",_xlfn.XLOOKUP(C50,'Awards &gt; 50000'!$H$13:$H$200,'Awards &gt; 50000'!$G$13:$G$200,"Not Found",0,1)),"Not Found")</f>
        <v/>
      </c>
      <c r="E50" s="256" t="str">
        <f>IFERROR(IF(ISBLANK(C50),"",VLOOKUP(C50,'Awards &gt; 50000'!$H$13:$I$200,2,FALSE)),"Not Found")</f>
        <v/>
      </c>
      <c r="F50" s="236"/>
      <c r="G50" s="236"/>
      <c r="H50" s="206"/>
    </row>
    <row r="51" spans="1:8" ht="12.75" customHeight="1" x14ac:dyDescent="0.3">
      <c r="A51" s="239"/>
      <c r="B51" s="239"/>
      <c r="C51" s="237"/>
      <c r="D51" s="256" t="str">
        <f>IFERROR(IF(ISBLANK(C51),"",_xlfn.XLOOKUP(C51,'Awards &gt; 50000'!$H$13:$H$200,'Awards &gt; 50000'!$G$13:$G$200,"Not Found",0,1)),"Not Found")</f>
        <v/>
      </c>
      <c r="E51" s="256" t="str">
        <f>IFERROR(IF(ISBLANK(C51),"",VLOOKUP(C51,'Awards &gt; 50000'!$H$13:$I$200,2,FALSE)),"Not Found")</f>
        <v/>
      </c>
      <c r="F51" s="236"/>
      <c r="G51" s="236"/>
      <c r="H51" s="206"/>
    </row>
    <row r="52" spans="1:8" ht="12.75" customHeight="1" x14ac:dyDescent="0.3">
      <c r="A52" s="239"/>
      <c r="B52" s="239"/>
      <c r="C52" s="237"/>
      <c r="D52" s="256" t="str">
        <f>IFERROR(IF(ISBLANK(C52),"",_xlfn.XLOOKUP(C52,'Awards &gt; 50000'!$H$13:$H$200,'Awards &gt; 50000'!$G$13:$G$200,"Not Found",0,1)),"Not Found")</f>
        <v/>
      </c>
      <c r="E52" s="256" t="str">
        <f>IFERROR(IF(ISBLANK(C52),"",VLOOKUP(C52,'Awards &gt; 50000'!$H$13:$I$200,2,FALSE)),"Not Found")</f>
        <v/>
      </c>
      <c r="F52" s="236"/>
      <c r="G52" s="236"/>
      <c r="H52" s="206"/>
    </row>
    <row r="53" spans="1:8" ht="12.75" customHeight="1" x14ac:dyDescent="0.3">
      <c r="A53" s="239"/>
      <c r="B53" s="239"/>
      <c r="C53" s="237"/>
      <c r="D53" s="256" t="str">
        <f>IFERROR(IF(ISBLANK(C53),"",_xlfn.XLOOKUP(C53,'Awards &gt; 50000'!$H$13:$H$200,'Awards &gt; 50000'!$G$13:$G$200,"Not Found",0,1)),"Not Found")</f>
        <v/>
      </c>
      <c r="E53" s="256" t="str">
        <f>IFERROR(IF(ISBLANK(C53),"",VLOOKUP(C53,'Awards &gt; 50000'!$H$13:$I$200,2,FALSE)),"Not Found")</f>
        <v/>
      </c>
      <c r="F53" s="236"/>
      <c r="G53" s="236"/>
      <c r="H53" s="206"/>
    </row>
    <row r="54" spans="1:8" ht="12.75" customHeight="1" x14ac:dyDescent="0.3">
      <c r="A54" s="239"/>
      <c r="B54" s="239"/>
      <c r="C54" s="237"/>
      <c r="D54" s="256" t="str">
        <f>IFERROR(IF(ISBLANK(C54),"",_xlfn.XLOOKUP(C54,'Awards &gt; 50000'!$H$13:$H$200,'Awards &gt; 50000'!$G$13:$G$200,"Not Found",0,1)),"Not Found")</f>
        <v/>
      </c>
      <c r="E54" s="256" t="str">
        <f>IFERROR(IF(ISBLANK(C54),"",VLOOKUP(C54,'Awards &gt; 50000'!$H$13:$I$200,2,FALSE)),"Not Found")</f>
        <v/>
      </c>
      <c r="F54" s="236"/>
      <c r="G54" s="236"/>
      <c r="H54" s="206"/>
    </row>
    <row r="55" spans="1:8" ht="12.75" customHeight="1" x14ac:dyDescent="0.3">
      <c r="A55" s="239"/>
      <c r="B55" s="239"/>
      <c r="C55" s="237"/>
      <c r="D55" s="256" t="str">
        <f>IFERROR(IF(ISBLANK(C55),"",_xlfn.XLOOKUP(C55,'Awards &gt; 50000'!$H$13:$H$200,'Awards &gt; 50000'!$G$13:$G$200,"Not Found",0,1)),"Not Found")</f>
        <v/>
      </c>
      <c r="E55" s="256" t="str">
        <f>IFERROR(IF(ISBLANK(C55),"",VLOOKUP(C55,'Awards &gt; 50000'!$H$13:$I$200,2,FALSE)),"Not Found")</f>
        <v/>
      </c>
      <c r="F55" s="236"/>
      <c r="G55" s="236"/>
      <c r="H55" s="206"/>
    </row>
    <row r="56" spans="1:8" ht="12.75" customHeight="1" x14ac:dyDescent="0.3">
      <c r="A56" s="239"/>
      <c r="B56" s="239"/>
      <c r="C56" s="237"/>
      <c r="D56" s="256" t="str">
        <f>IFERROR(IF(ISBLANK(C56),"",_xlfn.XLOOKUP(C56,'Awards &gt; 50000'!$H$13:$H$200,'Awards &gt; 50000'!$G$13:$G$200,"Not Found",0,1)),"Not Found")</f>
        <v/>
      </c>
      <c r="E56" s="256" t="str">
        <f>IFERROR(IF(ISBLANK(C56),"",VLOOKUP(C56,'Awards &gt; 50000'!$H$13:$I$200,2,FALSE)),"Not Found")</f>
        <v/>
      </c>
      <c r="F56" s="236"/>
      <c r="G56" s="236"/>
      <c r="H56" s="206"/>
    </row>
    <row r="57" spans="1:8" ht="12.75" customHeight="1" x14ac:dyDescent="0.3">
      <c r="A57" s="239"/>
      <c r="B57" s="239"/>
      <c r="C57" s="237"/>
      <c r="D57" s="256" t="str">
        <f>IFERROR(IF(ISBLANK(C57),"",_xlfn.XLOOKUP(C57,'Awards &gt; 50000'!$H$13:$H$200,'Awards &gt; 50000'!$G$13:$G$200,"Not Found",0,1)),"Not Found")</f>
        <v/>
      </c>
      <c r="E57" s="256" t="str">
        <f>IFERROR(IF(ISBLANK(C57),"",VLOOKUP(C57,'Awards &gt; 50000'!$H$13:$I$200,2,FALSE)),"Not Found")</f>
        <v/>
      </c>
      <c r="F57" s="236"/>
      <c r="G57" s="236"/>
      <c r="H57" s="206"/>
    </row>
    <row r="58" spans="1:8" ht="12.75" customHeight="1" x14ac:dyDescent="0.3">
      <c r="A58" s="239"/>
      <c r="B58" s="239"/>
      <c r="C58" s="237"/>
      <c r="D58" s="256" t="str">
        <f>IFERROR(IF(ISBLANK(C58),"",_xlfn.XLOOKUP(C58,'Awards &gt; 50000'!$H$13:$H$200,'Awards &gt; 50000'!$G$13:$G$200,"Not Found",0,1)),"Not Found")</f>
        <v/>
      </c>
      <c r="E58" s="256" t="str">
        <f>IFERROR(IF(ISBLANK(C58),"",VLOOKUP(C58,'Awards &gt; 50000'!$H$13:$I$200,2,FALSE)),"Not Found")</f>
        <v/>
      </c>
      <c r="F58" s="236"/>
      <c r="G58" s="236"/>
      <c r="H58" s="206"/>
    </row>
    <row r="59" spans="1:8" ht="12.75" customHeight="1" x14ac:dyDescent="0.3">
      <c r="A59" s="239"/>
      <c r="B59" s="239"/>
      <c r="C59" s="237"/>
      <c r="D59" s="256" t="str">
        <f>IFERROR(IF(ISBLANK(C59),"",_xlfn.XLOOKUP(C59,'Awards &gt; 50000'!$H$13:$H$200,'Awards &gt; 50000'!$G$13:$G$200,"Not Found",0,1)),"Not Found")</f>
        <v/>
      </c>
      <c r="E59" s="256" t="str">
        <f>IFERROR(IF(ISBLANK(C59),"",VLOOKUP(C59,'Awards &gt; 50000'!$H$13:$I$200,2,FALSE)),"Not Found")</f>
        <v/>
      </c>
      <c r="F59" s="236"/>
      <c r="G59" s="236"/>
      <c r="H59" s="206"/>
    </row>
    <row r="60" spans="1:8" ht="12.75" customHeight="1" x14ac:dyDescent="0.3">
      <c r="A60" s="239"/>
      <c r="B60" s="239"/>
      <c r="C60" s="237"/>
      <c r="D60" s="256" t="str">
        <f>IFERROR(IF(ISBLANK(C60),"",_xlfn.XLOOKUP(C60,'Awards &gt; 50000'!$H$13:$H$200,'Awards &gt; 50000'!$G$13:$G$200,"Not Found",0,1)),"Not Found")</f>
        <v/>
      </c>
      <c r="E60" s="256" t="str">
        <f>IFERROR(IF(ISBLANK(C60),"",VLOOKUP(C60,'Awards &gt; 50000'!$H$13:$I$200,2,FALSE)),"Not Found")</f>
        <v/>
      </c>
      <c r="F60" s="236"/>
      <c r="G60" s="236"/>
      <c r="H60" s="206"/>
    </row>
    <row r="61" spans="1:8" ht="12.75" customHeight="1" x14ac:dyDescent="0.3">
      <c r="A61" s="239"/>
      <c r="B61" s="239"/>
      <c r="C61" s="237"/>
      <c r="D61" s="256" t="str">
        <f>IFERROR(IF(ISBLANK(C61),"",_xlfn.XLOOKUP(C61,'Awards &gt; 50000'!$H$13:$H$200,'Awards &gt; 50000'!$G$13:$G$200,"Not Found",0,1)),"Not Found")</f>
        <v/>
      </c>
      <c r="E61" s="256" t="str">
        <f>IFERROR(IF(ISBLANK(C61),"",VLOOKUP(C61,'Awards &gt; 50000'!$H$13:$I$200,2,FALSE)),"Not Found")</f>
        <v/>
      </c>
      <c r="F61" s="236"/>
      <c r="G61" s="236"/>
      <c r="H61" s="206"/>
    </row>
    <row r="62" spans="1:8" ht="12.75" customHeight="1" x14ac:dyDescent="0.3">
      <c r="A62" s="239"/>
      <c r="B62" s="239"/>
      <c r="C62" s="237"/>
      <c r="D62" s="256" t="str">
        <f>IFERROR(IF(ISBLANK(C62),"",_xlfn.XLOOKUP(C62,'Awards &gt; 50000'!$H$13:$H$200,'Awards &gt; 50000'!$G$13:$G$200,"Not Found",0,1)),"Not Found")</f>
        <v/>
      </c>
      <c r="E62" s="256" t="str">
        <f>IFERROR(IF(ISBLANK(C62),"",VLOOKUP(C62,'Awards &gt; 50000'!$H$13:$I$200,2,FALSE)),"Not Found")</f>
        <v/>
      </c>
      <c r="F62" s="236"/>
      <c r="G62" s="236"/>
      <c r="H62" s="206"/>
    </row>
    <row r="63" spans="1:8" ht="12.75" customHeight="1" x14ac:dyDescent="0.3">
      <c r="A63" s="239"/>
      <c r="B63" s="239"/>
      <c r="C63" s="237"/>
      <c r="D63" s="256" t="str">
        <f>IFERROR(IF(ISBLANK(C63),"",_xlfn.XLOOKUP(C63,'Awards &gt; 50000'!$H$13:$H$200,'Awards &gt; 50000'!$G$13:$G$200,"Not Found",0,1)),"Not Found")</f>
        <v/>
      </c>
      <c r="E63" s="256" t="str">
        <f>IFERROR(IF(ISBLANK(C63),"",VLOOKUP(C63,'Awards &gt; 50000'!$H$13:$I$200,2,FALSE)),"Not Found")</f>
        <v/>
      </c>
      <c r="F63" s="236"/>
      <c r="G63" s="236"/>
      <c r="H63" s="206"/>
    </row>
    <row r="64" spans="1:8" ht="12.75" customHeight="1" x14ac:dyDescent="0.3">
      <c r="A64" s="239"/>
      <c r="B64" s="239"/>
      <c r="C64" s="237"/>
      <c r="D64" s="256" t="str">
        <f>IFERROR(IF(ISBLANK(C64),"",_xlfn.XLOOKUP(C64,'Awards &gt; 50000'!$H$13:$H$200,'Awards &gt; 50000'!$G$13:$G$200,"Not Found",0,1)),"Not Found")</f>
        <v/>
      </c>
      <c r="E64" s="256" t="str">
        <f>IFERROR(IF(ISBLANK(C64),"",VLOOKUP(C64,'Awards &gt; 50000'!$H$13:$I$200,2,FALSE)),"Not Found")</f>
        <v/>
      </c>
      <c r="F64" s="236"/>
      <c r="G64" s="236"/>
      <c r="H64" s="206"/>
    </row>
    <row r="65" spans="1:8" ht="12.75" customHeight="1" x14ac:dyDescent="0.3">
      <c r="A65" s="239"/>
      <c r="B65" s="239"/>
      <c r="C65" s="237"/>
      <c r="D65" s="256" t="str">
        <f>IFERROR(IF(ISBLANK(C65),"",_xlfn.XLOOKUP(C65,'Awards &gt; 50000'!$H$13:$H$200,'Awards &gt; 50000'!$G$13:$G$200,"Not Found",0,1)),"Not Found")</f>
        <v/>
      </c>
      <c r="E65" s="256" t="str">
        <f>IFERROR(IF(ISBLANK(C65),"",VLOOKUP(C65,'Awards &gt; 50000'!$H$13:$I$200,2,FALSE)),"Not Found")</f>
        <v/>
      </c>
      <c r="F65" s="236"/>
      <c r="G65" s="236"/>
      <c r="H65" s="206"/>
    </row>
    <row r="66" spans="1:8" ht="12.75" customHeight="1" x14ac:dyDescent="0.3">
      <c r="A66" s="239"/>
      <c r="B66" s="239"/>
      <c r="C66" s="237"/>
      <c r="D66" s="256" t="str">
        <f>IFERROR(IF(ISBLANK(C66),"",_xlfn.XLOOKUP(C66,'Awards &gt; 50000'!$H$13:$H$200,'Awards &gt; 50000'!$G$13:$G$200,"Not Found",0,1)),"Not Found")</f>
        <v/>
      </c>
      <c r="E66" s="256" t="str">
        <f>IFERROR(IF(ISBLANK(C66),"",VLOOKUP(C66,'Awards &gt; 50000'!$H$13:$I$200,2,FALSE)),"Not Found")</f>
        <v/>
      </c>
      <c r="F66" s="236"/>
      <c r="G66" s="236"/>
      <c r="H66" s="206"/>
    </row>
    <row r="67" spans="1:8" ht="12.75" customHeight="1" x14ac:dyDescent="0.3">
      <c r="A67" s="239"/>
      <c r="B67" s="239"/>
      <c r="C67" s="237"/>
      <c r="D67" s="256" t="str">
        <f>IFERROR(IF(ISBLANK(C67),"",_xlfn.XLOOKUP(C67,'Awards &gt; 50000'!$H$13:$H$200,'Awards &gt; 50000'!$G$13:$G$200,"Not Found",0,1)),"Not Found")</f>
        <v/>
      </c>
      <c r="E67" s="256" t="str">
        <f>IFERROR(IF(ISBLANK(C67),"",VLOOKUP(C67,'Awards &gt; 50000'!$H$13:$I$200,2,FALSE)),"Not Found")</f>
        <v/>
      </c>
      <c r="F67" s="236"/>
      <c r="G67" s="236"/>
      <c r="H67" s="206"/>
    </row>
    <row r="68" spans="1:8" ht="12.75" customHeight="1" x14ac:dyDescent="0.3">
      <c r="A68" s="239"/>
      <c r="B68" s="239"/>
      <c r="C68" s="237"/>
      <c r="D68" s="256" t="str">
        <f>IFERROR(IF(ISBLANK(C68),"",_xlfn.XLOOKUP(C68,'Awards &gt; 50000'!$H$13:$H$200,'Awards &gt; 50000'!$G$13:$G$200,"Not Found",0,1)),"Not Found")</f>
        <v/>
      </c>
      <c r="E68" s="256" t="str">
        <f>IFERROR(IF(ISBLANK(C68),"",VLOOKUP(C68,'Awards &gt; 50000'!$H$13:$I$200,2,FALSE)),"Not Found")</f>
        <v/>
      </c>
      <c r="F68" s="236"/>
      <c r="G68" s="236"/>
      <c r="H68" s="206"/>
    </row>
    <row r="69" spans="1:8" ht="12.75" customHeight="1" x14ac:dyDescent="0.3">
      <c r="A69" s="239"/>
      <c r="B69" s="239"/>
      <c r="C69" s="237"/>
      <c r="D69" s="256" t="str">
        <f>IFERROR(IF(ISBLANK(C69),"",_xlfn.XLOOKUP(C69,'Awards &gt; 50000'!$H$13:$H$200,'Awards &gt; 50000'!$G$13:$G$200,"Not Found",0,1)),"Not Found")</f>
        <v/>
      </c>
      <c r="E69" s="256" t="str">
        <f>IFERROR(IF(ISBLANK(C69),"",VLOOKUP(C69,'Awards &gt; 50000'!$H$13:$I$200,2,FALSE)),"Not Found")</f>
        <v/>
      </c>
      <c r="F69" s="236"/>
      <c r="G69" s="236"/>
      <c r="H69" s="206"/>
    </row>
    <row r="70" spans="1:8" ht="12.75" customHeight="1" x14ac:dyDescent="0.3">
      <c r="A70" s="239"/>
      <c r="B70" s="239"/>
      <c r="C70" s="237"/>
      <c r="D70" s="256" t="str">
        <f>IFERROR(IF(ISBLANK(C70),"",_xlfn.XLOOKUP(C70,'Awards &gt; 50000'!$H$13:$H$200,'Awards &gt; 50000'!$G$13:$G$200,"Not Found",0,1)),"Not Found")</f>
        <v/>
      </c>
      <c r="E70" s="256" t="str">
        <f>IFERROR(IF(ISBLANK(C70),"",VLOOKUP(C70,'Awards &gt; 50000'!$H$13:$I$200,2,FALSE)),"Not Found")</f>
        <v/>
      </c>
      <c r="F70" s="236"/>
      <c r="G70" s="236"/>
      <c r="H70" s="206"/>
    </row>
    <row r="71" spans="1:8" ht="12.75" customHeight="1" x14ac:dyDescent="0.3">
      <c r="A71" s="239"/>
      <c r="B71" s="239"/>
      <c r="C71" s="237"/>
      <c r="D71" s="256" t="str">
        <f>IFERROR(IF(ISBLANK(C71),"",_xlfn.XLOOKUP(C71,'Awards &gt; 50000'!$H$13:$H$200,'Awards &gt; 50000'!$G$13:$G$200,"Not Found",0,1)),"Not Found")</f>
        <v/>
      </c>
      <c r="E71" s="256" t="str">
        <f>IFERROR(IF(ISBLANK(C71),"",VLOOKUP(C71,'Awards &gt; 50000'!$H$13:$I$200,2,FALSE)),"Not Found")</f>
        <v/>
      </c>
      <c r="F71" s="236"/>
      <c r="G71" s="236"/>
      <c r="H71" s="206"/>
    </row>
    <row r="72" spans="1:8" ht="12.75" customHeight="1" x14ac:dyDescent="0.3">
      <c r="A72" s="239"/>
      <c r="B72" s="239"/>
      <c r="C72" s="237"/>
      <c r="D72" s="256" t="str">
        <f>IFERROR(IF(ISBLANK(C72),"",_xlfn.XLOOKUP(C72,'Awards &gt; 50000'!$H$13:$H$200,'Awards &gt; 50000'!$G$13:$G$200,"Not Found",0,1)),"Not Found")</f>
        <v/>
      </c>
      <c r="E72" s="256" t="str">
        <f>IFERROR(IF(ISBLANK(C72),"",VLOOKUP(C72,'Awards &gt; 50000'!$H$13:$I$200,2,FALSE)),"Not Found")</f>
        <v/>
      </c>
      <c r="F72" s="236"/>
      <c r="G72" s="236"/>
      <c r="H72" s="206"/>
    </row>
    <row r="73" spans="1:8" ht="12.75" customHeight="1" x14ac:dyDescent="0.3">
      <c r="A73" s="239"/>
      <c r="B73" s="239"/>
      <c r="C73" s="237"/>
      <c r="D73" s="256" t="str">
        <f>IFERROR(IF(ISBLANK(C73),"",_xlfn.XLOOKUP(C73,'Awards &gt; 50000'!$H$13:$H$200,'Awards &gt; 50000'!$G$13:$G$200,"Not Found",0,1)),"Not Found")</f>
        <v/>
      </c>
      <c r="E73" s="256" t="str">
        <f>IFERROR(IF(ISBLANK(C73),"",VLOOKUP(C73,'Awards &gt; 50000'!$H$13:$I$200,2,FALSE)),"Not Found")</f>
        <v/>
      </c>
      <c r="F73" s="236"/>
      <c r="G73" s="236"/>
      <c r="H73" s="206"/>
    </row>
    <row r="74" spans="1:8" ht="12.75" customHeight="1" x14ac:dyDescent="0.3">
      <c r="A74" s="239"/>
      <c r="B74" s="239"/>
      <c r="C74" s="237"/>
      <c r="D74" s="256" t="str">
        <f>IFERROR(IF(ISBLANK(C74),"",_xlfn.XLOOKUP(C74,'Awards &gt; 50000'!$H$13:$H$200,'Awards &gt; 50000'!$G$13:$G$200,"Not Found",0,1)),"Not Found")</f>
        <v/>
      </c>
      <c r="E74" s="256" t="str">
        <f>IFERROR(IF(ISBLANK(C74),"",VLOOKUP(C74,'Awards &gt; 50000'!$H$13:$I$200,2,FALSE)),"Not Found")</f>
        <v/>
      </c>
      <c r="F74" s="236"/>
      <c r="G74" s="236"/>
      <c r="H74" s="206"/>
    </row>
    <row r="75" spans="1:8" ht="12.75" customHeight="1" x14ac:dyDescent="0.3">
      <c r="A75" s="239"/>
      <c r="B75" s="239"/>
      <c r="C75" s="237"/>
      <c r="D75" s="256" t="str">
        <f>IFERROR(IF(ISBLANK(C75),"",_xlfn.XLOOKUP(C75,'Awards &gt; 50000'!$H$13:$H$200,'Awards &gt; 50000'!$G$13:$G$200,"Not Found",0,1)),"Not Found")</f>
        <v/>
      </c>
      <c r="E75" s="256" t="str">
        <f>IFERROR(IF(ISBLANK(C75),"",VLOOKUP(C75,'Awards &gt; 50000'!$H$13:$I$200,2,FALSE)),"Not Found")</f>
        <v/>
      </c>
      <c r="F75" s="236"/>
      <c r="G75" s="236"/>
      <c r="H75" s="206"/>
    </row>
    <row r="76" spans="1:8" ht="12.75" customHeight="1" x14ac:dyDescent="0.3">
      <c r="A76" s="239"/>
      <c r="B76" s="239"/>
      <c r="C76" s="237"/>
      <c r="D76" s="256" t="str">
        <f>IFERROR(IF(ISBLANK(C76),"",_xlfn.XLOOKUP(C76,'Awards &gt; 50000'!$H$13:$H$200,'Awards &gt; 50000'!$G$13:$G$200,"Not Found",0,1)),"Not Found")</f>
        <v/>
      </c>
      <c r="E76" s="256" t="str">
        <f>IFERROR(IF(ISBLANK(C76),"",VLOOKUP(C76,'Awards &gt; 50000'!$H$13:$I$200,2,FALSE)),"Not Found")</f>
        <v/>
      </c>
      <c r="F76" s="236"/>
      <c r="G76" s="236"/>
      <c r="H76" s="206"/>
    </row>
    <row r="77" spans="1:8" ht="12.75" customHeight="1" x14ac:dyDescent="0.3">
      <c r="A77" s="239"/>
      <c r="B77" s="239"/>
      <c r="C77" s="237"/>
      <c r="D77" s="256" t="str">
        <f>IFERROR(IF(ISBLANK(C77),"",_xlfn.XLOOKUP(C77,'Awards &gt; 50000'!$H$13:$H$200,'Awards &gt; 50000'!$G$13:$G$200,"Not Found",0,1)),"Not Found")</f>
        <v/>
      </c>
      <c r="E77" s="256" t="str">
        <f>IFERROR(IF(ISBLANK(C77),"",VLOOKUP(C77,'Awards &gt; 50000'!$H$13:$I$200,2,FALSE)),"Not Found")</f>
        <v/>
      </c>
      <c r="F77" s="236"/>
      <c r="G77" s="236"/>
      <c r="H77" s="206"/>
    </row>
    <row r="78" spans="1:8" ht="12.75" customHeight="1" x14ac:dyDescent="0.3">
      <c r="A78" s="239"/>
      <c r="B78" s="239"/>
      <c r="C78" s="237"/>
      <c r="D78" s="256" t="str">
        <f>IFERROR(IF(ISBLANK(C78),"",_xlfn.XLOOKUP(C78,'Awards &gt; 50000'!$H$13:$H$200,'Awards &gt; 50000'!$G$13:$G$200,"Not Found",0,1)),"Not Found")</f>
        <v/>
      </c>
      <c r="E78" s="256" t="str">
        <f>IFERROR(IF(ISBLANK(C78),"",VLOOKUP(C78,'Awards &gt; 50000'!$H$13:$I$200,2,FALSE)),"Not Found")</f>
        <v/>
      </c>
      <c r="F78" s="236"/>
      <c r="G78" s="236"/>
      <c r="H78" s="206"/>
    </row>
    <row r="79" spans="1:8" ht="12.75" customHeight="1" x14ac:dyDescent="0.3">
      <c r="A79" s="239"/>
      <c r="B79" s="239"/>
      <c r="C79" s="237"/>
      <c r="D79" s="256" t="str">
        <f>IFERROR(IF(ISBLANK(C79),"",_xlfn.XLOOKUP(C79,'Awards &gt; 50000'!$H$13:$H$200,'Awards &gt; 50000'!$G$13:$G$200,"Not Found",0,1)),"Not Found")</f>
        <v/>
      </c>
      <c r="E79" s="256" t="str">
        <f>IFERROR(IF(ISBLANK(C79),"",VLOOKUP(C79,'Awards &gt; 50000'!$H$13:$I$200,2,FALSE)),"Not Found")</f>
        <v/>
      </c>
      <c r="F79" s="236"/>
      <c r="G79" s="236"/>
      <c r="H79" s="206"/>
    </row>
    <row r="80" spans="1:8" ht="12.75" customHeight="1" x14ac:dyDescent="0.3">
      <c r="A80" s="239"/>
      <c r="B80" s="239"/>
      <c r="C80" s="237"/>
      <c r="D80" s="256" t="str">
        <f>IFERROR(IF(ISBLANK(C80),"",_xlfn.XLOOKUP(C80,'Awards &gt; 50000'!$H$13:$H$200,'Awards &gt; 50000'!$G$13:$G$200,"Not Found",0,1)),"Not Found")</f>
        <v/>
      </c>
      <c r="E80" s="256" t="str">
        <f>IFERROR(IF(ISBLANK(C80),"",VLOOKUP(C80,'Awards &gt; 50000'!$H$13:$I$200,2,FALSE)),"Not Found")</f>
        <v/>
      </c>
      <c r="F80" s="236"/>
      <c r="G80" s="236"/>
      <c r="H80" s="206"/>
    </row>
    <row r="81" spans="1:8" ht="12.75" customHeight="1" x14ac:dyDescent="0.3">
      <c r="A81" s="239"/>
      <c r="B81" s="239"/>
      <c r="C81" s="237"/>
      <c r="D81" s="256" t="str">
        <f>IFERROR(IF(ISBLANK(C81),"",_xlfn.XLOOKUP(C81,'Awards &gt; 50000'!$H$13:$H$200,'Awards &gt; 50000'!$G$13:$G$200,"Not Found",0,1)),"Not Found")</f>
        <v/>
      </c>
      <c r="E81" s="256" t="str">
        <f>IFERROR(IF(ISBLANK(C81),"",VLOOKUP(C81,'Awards &gt; 50000'!$H$13:$I$200,2,FALSE)),"Not Found")</f>
        <v/>
      </c>
      <c r="F81" s="236"/>
      <c r="G81" s="236"/>
      <c r="H81" s="206"/>
    </row>
    <row r="82" spans="1:8" ht="12.75" customHeight="1" x14ac:dyDescent="0.3">
      <c r="A82" s="239"/>
      <c r="B82" s="239"/>
      <c r="C82" s="237"/>
      <c r="D82" s="256" t="str">
        <f>IFERROR(IF(ISBLANK(C82),"",_xlfn.XLOOKUP(C82,'Awards &gt; 50000'!$H$13:$H$200,'Awards &gt; 50000'!$G$13:$G$200,"Not Found",0,1)),"Not Found")</f>
        <v/>
      </c>
      <c r="E82" s="256" t="str">
        <f>IFERROR(IF(ISBLANK(C82),"",VLOOKUP(C82,'Awards &gt; 50000'!$H$13:$I$200,2,FALSE)),"Not Found")</f>
        <v/>
      </c>
      <c r="F82" s="236"/>
      <c r="G82" s="236"/>
      <c r="H82" s="206"/>
    </row>
    <row r="83" spans="1:8" ht="12.75" customHeight="1" x14ac:dyDescent="0.3">
      <c r="A83" s="239"/>
      <c r="B83" s="239"/>
      <c r="C83" s="237"/>
      <c r="D83" s="256" t="str">
        <f>IFERROR(IF(ISBLANK(C83),"",_xlfn.XLOOKUP(C83,'Awards &gt; 50000'!$H$13:$H$200,'Awards &gt; 50000'!$G$13:$G$200,"Not Found",0,1)),"Not Found")</f>
        <v/>
      </c>
      <c r="E83" s="256" t="str">
        <f>IFERROR(IF(ISBLANK(C83),"",VLOOKUP(C83,'Awards &gt; 50000'!$H$13:$I$200,2,FALSE)),"Not Found")</f>
        <v/>
      </c>
      <c r="F83" s="236"/>
      <c r="G83" s="236"/>
      <c r="H83" s="206"/>
    </row>
    <row r="84" spans="1:8" ht="12.75" customHeight="1" x14ac:dyDescent="0.3">
      <c r="A84" s="239"/>
      <c r="B84" s="239"/>
      <c r="C84" s="237"/>
      <c r="D84" s="256" t="str">
        <f>IFERROR(IF(ISBLANK(C84),"",_xlfn.XLOOKUP(C84,'Awards &gt; 50000'!$H$13:$H$200,'Awards &gt; 50000'!$G$13:$G$200,"Not Found",0,1)),"Not Found")</f>
        <v/>
      </c>
      <c r="E84" s="256" t="str">
        <f>IFERROR(IF(ISBLANK(C84),"",VLOOKUP(C84,'Awards &gt; 50000'!$H$13:$I$200,2,FALSE)),"Not Found")</f>
        <v/>
      </c>
      <c r="F84" s="236"/>
      <c r="G84" s="236"/>
      <c r="H84" s="206"/>
    </row>
    <row r="85" spans="1:8" ht="12.75" customHeight="1" x14ac:dyDescent="0.3">
      <c r="A85" s="239"/>
      <c r="B85" s="239"/>
      <c r="C85" s="237"/>
      <c r="D85" s="256" t="str">
        <f>IFERROR(IF(ISBLANK(C85),"",_xlfn.XLOOKUP(C85,'Awards &gt; 50000'!$H$13:$H$200,'Awards &gt; 50000'!$G$13:$G$200,"Not Found",0,1)),"Not Found")</f>
        <v/>
      </c>
      <c r="E85" s="256" t="str">
        <f>IFERROR(IF(ISBLANK(C85),"",VLOOKUP(C85,'Awards &gt; 50000'!$H$13:$I$200,2,FALSE)),"Not Found")</f>
        <v/>
      </c>
      <c r="F85" s="236"/>
      <c r="G85" s="236"/>
      <c r="H85" s="206"/>
    </row>
    <row r="86" spans="1:8" ht="12.75" customHeight="1" x14ac:dyDescent="0.3">
      <c r="A86" s="239"/>
      <c r="B86" s="239"/>
      <c r="C86" s="237"/>
      <c r="D86" s="256" t="str">
        <f>IFERROR(IF(ISBLANK(C86),"",_xlfn.XLOOKUP(C86,'Awards &gt; 50000'!$H$13:$H$200,'Awards &gt; 50000'!$G$13:$G$200,"Not Found",0,1)),"Not Found")</f>
        <v/>
      </c>
      <c r="E86" s="256" t="str">
        <f>IFERROR(IF(ISBLANK(C86),"",VLOOKUP(C86,'Awards &gt; 50000'!$H$13:$I$200,2,FALSE)),"Not Found")</f>
        <v/>
      </c>
      <c r="F86" s="236"/>
      <c r="G86" s="236"/>
      <c r="H86" s="206"/>
    </row>
    <row r="87" spans="1:8" ht="12.75" customHeight="1" x14ac:dyDescent="0.3">
      <c r="A87" s="239"/>
      <c r="B87" s="239"/>
      <c r="C87" s="237"/>
      <c r="D87" s="256" t="str">
        <f>IFERROR(IF(ISBLANK(C87),"",_xlfn.XLOOKUP(C87,'Awards &gt; 50000'!$H$13:$H$200,'Awards &gt; 50000'!$G$13:$G$200,"Not Found",0,1)),"Not Found")</f>
        <v/>
      </c>
      <c r="E87" s="256" t="str">
        <f>IFERROR(IF(ISBLANK(C87),"",VLOOKUP(C87,'Awards &gt; 50000'!$H$13:$I$200,2,FALSE)),"Not Found")</f>
        <v/>
      </c>
      <c r="F87" s="236"/>
      <c r="G87" s="236"/>
      <c r="H87" s="206"/>
    </row>
    <row r="88" spans="1:8" ht="12.75" customHeight="1" x14ac:dyDescent="0.3">
      <c r="A88" s="239"/>
      <c r="B88" s="239"/>
      <c r="C88" s="237"/>
      <c r="D88" s="256" t="str">
        <f>IFERROR(IF(ISBLANK(C88),"",_xlfn.XLOOKUP(C88,'Awards &gt; 50000'!$H$13:$H$200,'Awards &gt; 50000'!$G$13:$G$200,"Not Found",0,1)),"Not Found")</f>
        <v/>
      </c>
      <c r="E88" s="256" t="str">
        <f>IFERROR(IF(ISBLANK(C88),"",VLOOKUP(C88,'Awards &gt; 50000'!$H$13:$I$200,2,FALSE)),"Not Found")</f>
        <v/>
      </c>
      <c r="F88" s="236"/>
      <c r="G88" s="236"/>
      <c r="H88" s="206"/>
    </row>
    <row r="89" spans="1:8" ht="12.75" customHeight="1" x14ac:dyDescent="0.3">
      <c r="A89" s="239"/>
      <c r="B89" s="239"/>
      <c r="C89" s="237"/>
      <c r="D89" s="256" t="str">
        <f>IFERROR(IF(ISBLANK(C89),"",_xlfn.XLOOKUP(C89,'Awards &gt; 50000'!$H$13:$H$200,'Awards &gt; 50000'!$G$13:$G$200,"Not Found",0,1)),"Not Found")</f>
        <v/>
      </c>
      <c r="E89" s="256" t="str">
        <f>IFERROR(IF(ISBLANK(C89),"",VLOOKUP(C89,'Awards &gt; 50000'!$H$13:$I$200,2,FALSE)),"Not Found")</f>
        <v/>
      </c>
      <c r="F89" s="236"/>
      <c r="G89" s="236"/>
      <c r="H89" s="206"/>
    </row>
    <row r="90" spans="1:8" ht="12.75" customHeight="1" x14ac:dyDescent="0.3">
      <c r="A90" s="239"/>
      <c r="B90" s="239"/>
      <c r="C90" s="237"/>
      <c r="D90" s="256" t="str">
        <f>IFERROR(IF(ISBLANK(C90),"",_xlfn.XLOOKUP(C90,'Awards &gt; 50000'!$H$13:$H$200,'Awards &gt; 50000'!$G$13:$G$200,"Not Found",0,1)),"Not Found")</f>
        <v/>
      </c>
      <c r="E90" s="256" t="str">
        <f>IFERROR(IF(ISBLANK(C90),"",VLOOKUP(C90,'Awards &gt; 50000'!$H$13:$I$200,2,FALSE)),"Not Found")</f>
        <v/>
      </c>
      <c r="F90" s="236"/>
      <c r="G90" s="236"/>
      <c r="H90" s="206"/>
    </row>
    <row r="91" spans="1:8" ht="12.75" customHeight="1" x14ac:dyDescent="0.3">
      <c r="A91" s="239"/>
      <c r="B91" s="239"/>
      <c r="C91" s="237"/>
      <c r="D91" s="256" t="str">
        <f>IFERROR(IF(ISBLANK(C91),"",_xlfn.XLOOKUP(C91,'Awards &gt; 50000'!$H$13:$H$200,'Awards &gt; 50000'!$G$13:$G$200,"Not Found",0,1)),"Not Found")</f>
        <v/>
      </c>
      <c r="E91" s="256" t="str">
        <f>IFERROR(IF(ISBLANK(C91),"",VLOOKUP(C91,'Awards &gt; 50000'!$H$13:$I$200,2,FALSE)),"Not Found")</f>
        <v/>
      </c>
      <c r="F91" s="236"/>
      <c r="G91" s="236"/>
      <c r="H91" s="206"/>
    </row>
    <row r="92" spans="1:8" ht="12.75" customHeight="1" x14ac:dyDescent="0.3">
      <c r="A92" s="239"/>
      <c r="B92" s="239"/>
      <c r="C92" s="237"/>
      <c r="D92" s="256" t="str">
        <f>IFERROR(IF(ISBLANK(C92),"",_xlfn.XLOOKUP(C92,'Awards &gt; 50000'!$H$13:$H$200,'Awards &gt; 50000'!$G$13:$G$200,"Not Found",0,1)),"Not Found")</f>
        <v/>
      </c>
      <c r="E92" s="256" t="str">
        <f>IFERROR(IF(ISBLANK(C92),"",VLOOKUP(C92,'Awards &gt; 50000'!$H$13:$I$200,2,FALSE)),"Not Found")</f>
        <v/>
      </c>
      <c r="F92" s="236"/>
      <c r="G92" s="236"/>
      <c r="H92" s="206"/>
    </row>
    <row r="93" spans="1:8" ht="12.75" customHeight="1" x14ac:dyDescent="0.3">
      <c r="A93" s="239"/>
      <c r="B93" s="239"/>
      <c r="C93" s="237"/>
      <c r="D93" s="256" t="str">
        <f>IFERROR(IF(ISBLANK(C93),"",_xlfn.XLOOKUP(C93,'Awards &gt; 50000'!$H$13:$H$200,'Awards &gt; 50000'!$G$13:$G$200,"Not Found",0,1)),"Not Found")</f>
        <v/>
      </c>
      <c r="E93" s="256" t="str">
        <f>IFERROR(IF(ISBLANK(C93),"",VLOOKUP(C93,'Awards &gt; 50000'!$H$13:$I$200,2,FALSE)),"Not Found")</f>
        <v/>
      </c>
      <c r="F93" s="236"/>
      <c r="G93" s="236"/>
      <c r="H93" s="206"/>
    </row>
    <row r="94" spans="1:8" ht="12.75" customHeight="1" x14ac:dyDescent="0.3">
      <c r="A94" s="239"/>
      <c r="B94" s="239"/>
      <c r="C94" s="237"/>
      <c r="D94" s="256" t="str">
        <f>IFERROR(IF(ISBLANK(C94),"",_xlfn.XLOOKUP(C94,'Awards &gt; 50000'!$H$13:$H$200,'Awards &gt; 50000'!$G$13:$G$200,"Not Found",0,1)),"Not Found")</f>
        <v/>
      </c>
      <c r="E94" s="256" t="str">
        <f>IFERROR(IF(ISBLANK(C94),"",VLOOKUP(C94,'Awards &gt; 50000'!$H$13:$I$200,2,FALSE)),"Not Found")</f>
        <v/>
      </c>
      <c r="F94" s="236"/>
      <c r="G94" s="236"/>
      <c r="H94" s="206"/>
    </row>
    <row r="95" spans="1:8" ht="12.75" customHeight="1" x14ac:dyDescent="0.3">
      <c r="A95" s="239"/>
      <c r="B95" s="239"/>
      <c r="C95" s="237"/>
      <c r="D95" s="256" t="str">
        <f>IFERROR(IF(ISBLANK(C95),"",_xlfn.XLOOKUP(C95,'Awards &gt; 50000'!$H$13:$H$200,'Awards &gt; 50000'!$G$13:$G$200,"Not Found",0,1)),"Not Found")</f>
        <v/>
      </c>
      <c r="E95" s="256" t="str">
        <f>IFERROR(IF(ISBLANK(C95),"",VLOOKUP(C95,'Awards &gt; 50000'!$H$13:$I$200,2,FALSE)),"Not Found")</f>
        <v/>
      </c>
      <c r="F95" s="236"/>
      <c r="G95" s="236"/>
      <c r="H95" s="206"/>
    </row>
    <row r="96" spans="1:8" ht="12.75" customHeight="1" x14ac:dyDescent="0.3">
      <c r="A96" s="239"/>
      <c r="B96" s="239"/>
      <c r="C96" s="237"/>
      <c r="D96" s="256" t="str">
        <f>IFERROR(IF(ISBLANK(C96),"",_xlfn.XLOOKUP(C96,'Awards &gt; 50000'!$H$13:$H$200,'Awards &gt; 50000'!$G$13:$G$200,"Not Found",0,1)),"Not Found")</f>
        <v/>
      </c>
      <c r="E96" s="256" t="str">
        <f>IFERROR(IF(ISBLANK(C96),"",VLOOKUP(C96,'Awards &gt; 50000'!$H$13:$I$200,2,FALSE)),"Not Found")</f>
        <v/>
      </c>
      <c r="F96" s="236"/>
      <c r="G96" s="236"/>
      <c r="H96" s="206"/>
    </row>
    <row r="97" spans="1:8" ht="12.75" customHeight="1" x14ac:dyDescent="0.3">
      <c r="A97" s="239"/>
      <c r="B97" s="239"/>
      <c r="C97" s="237"/>
      <c r="D97" s="256" t="str">
        <f>IFERROR(IF(ISBLANK(C97),"",_xlfn.XLOOKUP(C97,'Awards &gt; 50000'!$H$13:$H$200,'Awards &gt; 50000'!$G$13:$G$200,"Not Found",0,1)),"Not Found")</f>
        <v/>
      </c>
      <c r="E97" s="256" t="str">
        <f>IFERROR(IF(ISBLANK(C97),"",VLOOKUP(C97,'Awards &gt; 50000'!$H$13:$I$200,2,FALSE)),"Not Found")</f>
        <v/>
      </c>
      <c r="F97" s="236"/>
      <c r="G97" s="236"/>
      <c r="H97" s="206"/>
    </row>
    <row r="98" spans="1:8" ht="12.75" customHeight="1" x14ac:dyDescent="0.3">
      <c r="A98" s="239"/>
      <c r="B98" s="239"/>
      <c r="C98" s="237"/>
      <c r="D98" s="256" t="str">
        <f>IFERROR(IF(ISBLANK(C98),"",_xlfn.XLOOKUP(C98,'Awards &gt; 50000'!$H$13:$H$200,'Awards &gt; 50000'!$G$13:$G$200,"Not Found",0,1)),"Not Found")</f>
        <v/>
      </c>
      <c r="E98" s="256" t="str">
        <f>IFERROR(IF(ISBLANK(C98),"",VLOOKUP(C98,'Awards &gt; 50000'!$H$13:$I$200,2,FALSE)),"Not Found")</f>
        <v/>
      </c>
      <c r="F98" s="236"/>
      <c r="G98" s="236"/>
      <c r="H98" s="206"/>
    </row>
    <row r="99" spans="1:8" ht="12.75" customHeight="1" x14ac:dyDescent="0.3">
      <c r="A99" s="239"/>
      <c r="B99" s="239"/>
      <c r="C99" s="237"/>
      <c r="D99" s="256" t="str">
        <f>IFERROR(IF(ISBLANK(C99),"",_xlfn.XLOOKUP(C99,'Awards &gt; 50000'!$H$13:$H$200,'Awards &gt; 50000'!$G$13:$G$200,"Not Found",0,1)),"Not Found")</f>
        <v/>
      </c>
      <c r="E99" s="256" t="str">
        <f>IFERROR(IF(ISBLANK(C99),"",VLOOKUP(C99,'Awards &gt; 50000'!$H$13:$I$200,2,FALSE)),"Not Found")</f>
        <v/>
      </c>
      <c r="F99" s="236"/>
      <c r="G99" s="236"/>
      <c r="H99" s="206"/>
    </row>
    <row r="100" spans="1:8" ht="12.75" customHeight="1" x14ac:dyDescent="0.3">
      <c r="A100" s="239"/>
      <c r="B100" s="239"/>
      <c r="C100" s="237"/>
      <c r="D100" s="256" t="str">
        <f>IFERROR(IF(ISBLANK(C100),"",_xlfn.XLOOKUP(C100,'Awards &gt; 50000'!$H$13:$H$200,'Awards &gt; 50000'!$G$13:$G$200,"Not Found",0,1)),"Not Found")</f>
        <v/>
      </c>
      <c r="E100" s="256" t="str">
        <f>IFERROR(IF(ISBLANK(C100),"",VLOOKUP(C100,'Awards &gt; 50000'!$H$13:$I$200,2,FALSE)),"Not Found")</f>
        <v/>
      </c>
      <c r="F100" s="236"/>
      <c r="G100" s="236"/>
      <c r="H100" s="206"/>
    </row>
    <row r="101" spans="1:8" ht="12.75" customHeight="1" x14ac:dyDescent="0.3">
      <c r="A101" s="239"/>
      <c r="B101" s="239"/>
      <c r="C101" s="237"/>
      <c r="D101" s="256" t="str">
        <f>IFERROR(IF(ISBLANK(C101),"",_xlfn.XLOOKUP(C101,'Awards &gt; 50000'!$H$13:$H$200,'Awards &gt; 50000'!$G$13:$G$200,"Not Found",0,1)),"Not Found")</f>
        <v/>
      </c>
      <c r="E101" s="256" t="str">
        <f>IFERROR(IF(ISBLANK(C101),"",VLOOKUP(C101,'Awards &gt; 50000'!$H$13:$I$200,2,FALSE)),"Not Found")</f>
        <v/>
      </c>
      <c r="F101" s="236"/>
      <c r="G101" s="236"/>
      <c r="H101" s="206"/>
    </row>
    <row r="102" spans="1:8" ht="12.75" customHeight="1" x14ac:dyDescent="0.3">
      <c r="A102" s="239"/>
      <c r="B102" s="239"/>
      <c r="C102" s="237"/>
      <c r="D102" s="256" t="str">
        <f>IFERROR(IF(ISBLANK(C102),"",_xlfn.XLOOKUP(C102,'Awards &gt; 50000'!$H$13:$H$200,'Awards &gt; 50000'!$G$13:$G$200,"Not Found",0,1)),"Not Found")</f>
        <v/>
      </c>
      <c r="E102" s="256" t="str">
        <f>IFERROR(IF(ISBLANK(C102),"",VLOOKUP(C102,'Awards &gt; 50000'!$H$13:$I$200,2,FALSE)),"Not Found")</f>
        <v/>
      </c>
      <c r="F102" s="236"/>
      <c r="G102" s="236"/>
      <c r="H102" s="206"/>
    </row>
    <row r="103" spans="1:8" ht="12.75" customHeight="1" x14ac:dyDescent="0.3">
      <c r="A103" s="239"/>
      <c r="B103" s="239"/>
      <c r="C103" s="237"/>
      <c r="D103" s="256" t="str">
        <f>IFERROR(IF(ISBLANK(C103),"",_xlfn.XLOOKUP(C103,'Awards &gt; 50000'!$H$13:$H$200,'Awards &gt; 50000'!$G$13:$G$200,"Not Found",0,1)),"Not Found")</f>
        <v/>
      </c>
      <c r="E103" s="256" t="str">
        <f>IFERROR(IF(ISBLANK(C103),"",VLOOKUP(C103,'Awards &gt; 50000'!$H$13:$I$200,2,FALSE)),"Not Found")</f>
        <v/>
      </c>
      <c r="F103" s="236"/>
      <c r="G103" s="236"/>
      <c r="H103" s="206"/>
    </row>
    <row r="104" spans="1:8" ht="12.75" customHeight="1" x14ac:dyDescent="0.3">
      <c r="A104" s="239"/>
      <c r="B104" s="239"/>
      <c r="C104" s="237"/>
      <c r="D104" s="256" t="str">
        <f>IFERROR(IF(ISBLANK(C104),"",_xlfn.XLOOKUP(C104,'Awards &gt; 50000'!$H$13:$H$200,'Awards &gt; 50000'!$G$13:$G$200,"Not Found",0,1)),"Not Found")</f>
        <v/>
      </c>
      <c r="E104" s="256" t="str">
        <f>IFERROR(IF(ISBLANK(C104),"",VLOOKUP(C104,'Awards &gt; 50000'!$H$13:$I$200,2,FALSE)),"Not Found")</f>
        <v/>
      </c>
      <c r="F104" s="236"/>
      <c r="G104" s="236"/>
      <c r="H104" s="206"/>
    </row>
    <row r="105" spans="1:8" ht="12.75" customHeight="1" x14ac:dyDescent="0.3">
      <c r="A105" s="239"/>
      <c r="B105" s="239"/>
      <c r="C105" s="237"/>
      <c r="D105" s="256" t="str">
        <f>IFERROR(IF(ISBLANK(C105),"",_xlfn.XLOOKUP(C105,'Awards &gt; 50000'!$H$13:$H$200,'Awards &gt; 50000'!$G$13:$G$200,"Not Found",0,1)),"Not Found")</f>
        <v/>
      </c>
      <c r="E105" s="256" t="str">
        <f>IFERROR(IF(ISBLANK(C105),"",VLOOKUP(C105,'Awards &gt; 50000'!$H$13:$I$200,2,FALSE)),"Not Found")</f>
        <v/>
      </c>
      <c r="F105" s="236"/>
      <c r="G105" s="236"/>
      <c r="H105" s="206"/>
    </row>
    <row r="106" spans="1:8" ht="12.75" customHeight="1" x14ac:dyDescent="0.3">
      <c r="A106" s="239"/>
      <c r="B106" s="239"/>
      <c r="C106" s="237"/>
      <c r="D106" s="256" t="str">
        <f>IFERROR(IF(ISBLANK(C106),"",_xlfn.XLOOKUP(C106,'Awards &gt; 50000'!$H$13:$H$200,'Awards &gt; 50000'!$G$13:$G$200,"Not Found",0,1)),"Not Found")</f>
        <v/>
      </c>
      <c r="E106" s="256" t="str">
        <f>IFERROR(IF(ISBLANK(C106),"",VLOOKUP(C106,'Awards &gt; 50000'!$H$13:$I$200,2,FALSE)),"Not Found")</f>
        <v/>
      </c>
      <c r="F106" s="236"/>
      <c r="G106" s="236"/>
      <c r="H106" s="206"/>
    </row>
    <row r="107" spans="1:8" ht="12.75" customHeight="1" x14ac:dyDescent="0.3">
      <c r="A107" s="239"/>
      <c r="B107" s="239"/>
      <c r="C107" s="237"/>
      <c r="D107" s="256" t="str">
        <f>IFERROR(IF(ISBLANK(C107),"",_xlfn.XLOOKUP(C107,'Awards &gt; 50000'!$H$13:$H$200,'Awards &gt; 50000'!$G$13:$G$200,"Not Found",0,1)),"Not Found")</f>
        <v/>
      </c>
      <c r="E107" s="256" t="str">
        <f>IFERROR(IF(ISBLANK(C107),"",VLOOKUP(C107,'Awards &gt; 50000'!$H$13:$I$200,2,FALSE)),"Not Found")</f>
        <v/>
      </c>
      <c r="F107" s="236"/>
      <c r="G107" s="236"/>
      <c r="H107" s="206"/>
    </row>
    <row r="108" spans="1:8" ht="12.75" customHeight="1" x14ac:dyDescent="0.3">
      <c r="A108" s="239"/>
      <c r="B108" s="239"/>
      <c r="C108" s="237"/>
      <c r="D108" s="256" t="str">
        <f>IFERROR(IF(ISBLANK(C108),"",_xlfn.XLOOKUP(C108,'Awards &gt; 50000'!$H$13:$H$200,'Awards &gt; 50000'!$G$13:$G$200,"Not Found",0,1)),"Not Found")</f>
        <v/>
      </c>
      <c r="E108" s="256" t="str">
        <f>IFERROR(IF(ISBLANK(C108),"",VLOOKUP(C108,'Awards &gt; 50000'!$H$13:$I$200,2,FALSE)),"Not Found")</f>
        <v/>
      </c>
      <c r="F108" s="236"/>
      <c r="G108" s="236"/>
      <c r="H108" s="206"/>
    </row>
    <row r="109" spans="1:8" ht="12.75" customHeight="1" x14ac:dyDescent="0.3">
      <c r="A109" s="239"/>
      <c r="B109" s="239"/>
      <c r="C109" s="237"/>
      <c r="D109" s="256" t="str">
        <f>IFERROR(IF(ISBLANK(C109),"",_xlfn.XLOOKUP(C109,'Awards &gt; 50000'!$H$13:$H$200,'Awards &gt; 50000'!$G$13:$G$200,"Not Found",0,1)),"Not Found")</f>
        <v/>
      </c>
      <c r="E109" s="256" t="str">
        <f>IFERROR(IF(ISBLANK(C109),"",VLOOKUP(C109,'Awards &gt; 50000'!$H$13:$I$200,2,FALSE)),"Not Found")</f>
        <v/>
      </c>
      <c r="F109" s="236"/>
      <c r="G109" s="236"/>
      <c r="H109" s="206"/>
    </row>
    <row r="110" spans="1:8" ht="12.75" customHeight="1" x14ac:dyDescent="0.3">
      <c r="A110" s="239"/>
      <c r="B110" s="239"/>
      <c r="C110" s="237"/>
      <c r="D110" s="256" t="str">
        <f>IFERROR(IF(ISBLANK(C110),"",_xlfn.XLOOKUP(C110,'Awards &gt; 50000'!$H$13:$H$200,'Awards &gt; 50000'!$G$13:$G$200,"Not Found",0,1)),"Not Found")</f>
        <v/>
      </c>
      <c r="E110" s="256" t="str">
        <f>IFERROR(IF(ISBLANK(C110),"",VLOOKUP(C110,'Awards &gt; 50000'!$H$13:$I$200,2,FALSE)),"Not Found")</f>
        <v/>
      </c>
      <c r="F110" s="236"/>
      <c r="G110" s="236"/>
      <c r="H110" s="206"/>
    </row>
    <row r="111" spans="1:8" ht="12.75" customHeight="1" x14ac:dyDescent="0.3">
      <c r="A111" s="239"/>
      <c r="B111" s="239"/>
      <c r="C111" s="237"/>
      <c r="D111" s="256" t="str">
        <f>IFERROR(IF(ISBLANK(C111),"",_xlfn.XLOOKUP(C111,'Awards &gt; 50000'!$H$13:$H$200,'Awards &gt; 50000'!$G$13:$G$200,"Not Found",0,1)),"Not Found")</f>
        <v/>
      </c>
      <c r="E111" s="256" t="str">
        <f>IFERROR(IF(ISBLANK(C111),"",VLOOKUP(C111,'Awards &gt; 50000'!$H$13:$I$200,2,FALSE)),"Not Found")</f>
        <v/>
      </c>
      <c r="F111" s="236"/>
      <c r="G111" s="236"/>
      <c r="H111" s="206"/>
    </row>
    <row r="112" spans="1:8" ht="12.75" customHeight="1" x14ac:dyDescent="0.3">
      <c r="A112" s="239"/>
      <c r="B112" s="239"/>
      <c r="C112" s="237"/>
      <c r="D112" s="256" t="str">
        <f>IFERROR(IF(ISBLANK(C112),"",_xlfn.XLOOKUP(C112,'Awards &gt; 50000'!$H$13:$H$200,'Awards &gt; 50000'!$G$13:$G$200,"Not Found",0,1)),"Not Found")</f>
        <v/>
      </c>
      <c r="E112" s="256" t="str">
        <f>IFERROR(IF(ISBLANK(C112),"",VLOOKUP(C112,'Awards &gt; 50000'!$H$13:$I$200,2,FALSE)),"Not Found")</f>
        <v/>
      </c>
      <c r="F112" s="236"/>
      <c r="G112" s="236"/>
      <c r="H112" s="206"/>
    </row>
    <row r="113" spans="1:8" ht="12.75" customHeight="1" x14ac:dyDescent="0.3">
      <c r="A113" s="239"/>
      <c r="B113" s="239"/>
      <c r="C113" s="237"/>
      <c r="D113" s="256" t="str">
        <f>IFERROR(IF(ISBLANK(C113),"",_xlfn.XLOOKUP(C113,'Awards &gt; 50000'!$H$13:$H$200,'Awards &gt; 50000'!$G$13:$G$200,"Not Found",0,1)),"Not Found")</f>
        <v/>
      </c>
      <c r="E113" s="256" t="str">
        <f>IFERROR(IF(ISBLANK(C113),"",VLOOKUP(C113,'Awards &gt; 50000'!$H$13:$I$200,2,FALSE)),"Not Found")</f>
        <v/>
      </c>
      <c r="F113" s="236"/>
      <c r="G113" s="236"/>
      <c r="H113" s="206"/>
    </row>
    <row r="114" spans="1:8" ht="12.75" customHeight="1" x14ac:dyDescent="0.3">
      <c r="A114" s="239"/>
      <c r="B114" s="239"/>
      <c r="C114" s="237"/>
      <c r="D114" s="256" t="str">
        <f>IFERROR(IF(ISBLANK(C114),"",_xlfn.XLOOKUP(C114,'Awards &gt; 50000'!$H$13:$H$200,'Awards &gt; 50000'!$G$13:$G$200,"Not Found",0,1)),"Not Found")</f>
        <v/>
      </c>
      <c r="E114" s="256" t="str">
        <f>IFERROR(IF(ISBLANK(C114),"",VLOOKUP(C114,'Awards &gt; 50000'!$H$13:$I$200,2,FALSE)),"Not Found")</f>
        <v/>
      </c>
      <c r="F114" s="236"/>
      <c r="G114" s="236"/>
      <c r="H114" s="206"/>
    </row>
    <row r="115" spans="1:8" ht="12.75" customHeight="1" x14ac:dyDescent="0.3">
      <c r="A115" s="239"/>
      <c r="B115" s="239"/>
      <c r="C115" s="237"/>
      <c r="D115" s="256" t="str">
        <f>IFERROR(IF(ISBLANK(C115),"",_xlfn.XLOOKUP(C115,'Awards &gt; 50000'!$H$13:$H$200,'Awards &gt; 50000'!$G$13:$G$200,"Not Found",0,1)),"Not Found")</f>
        <v/>
      </c>
      <c r="E115" s="256" t="str">
        <f>IFERROR(IF(ISBLANK(C115),"",VLOOKUP(C115,'Awards &gt; 50000'!$H$13:$I$200,2,FALSE)),"Not Found")</f>
        <v/>
      </c>
      <c r="F115" s="236"/>
      <c r="G115" s="236"/>
      <c r="H115" s="206"/>
    </row>
    <row r="116" spans="1:8" ht="12.75" customHeight="1" x14ac:dyDescent="0.3">
      <c r="A116" s="239"/>
      <c r="B116" s="239"/>
      <c r="C116" s="237"/>
      <c r="D116" s="256" t="str">
        <f>IFERROR(IF(ISBLANK(C116),"",_xlfn.XLOOKUP(C116,'Awards &gt; 50000'!$H$13:$H$200,'Awards &gt; 50000'!$G$13:$G$200,"Not Found",0,1)),"Not Found")</f>
        <v/>
      </c>
      <c r="E116" s="256" t="str">
        <f>IFERROR(IF(ISBLANK(C116),"",VLOOKUP(C116,'Awards &gt; 50000'!$H$13:$I$200,2,FALSE)),"Not Found")</f>
        <v/>
      </c>
      <c r="F116" s="236"/>
      <c r="G116" s="236"/>
      <c r="H116" s="206"/>
    </row>
    <row r="117" spans="1:8" ht="12.75" customHeight="1" x14ac:dyDescent="0.3">
      <c r="A117" s="239"/>
      <c r="B117" s="239"/>
      <c r="C117" s="237"/>
      <c r="D117" s="256" t="str">
        <f>IFERROR(IF(ISBLANK(C117),"",_xlfn.XLOOKUP(C117,'Awards &gt; 50000'!$H$13:$H$200,'Awards &gt; 50000'!$G$13:$G$200,"Not Found",0,1)),"Not Found")</f>
        <v/>
      </c>
      <c r="E117" s="256" t="str">
        <f>IFERROR(IF(ISBLANK(C117),"",VLOOKUP(C117,'Awards &gt; 50000'!$H$13:$I$200,2,FALSE)),"Not Found")</f>
        <v/>
      </c>
      <c r="F117" s="236"/>
      <c r="G117" s="236"/>
      <c r="H117" s="206"/>
    </row>
    <row r="118" spans="1:8" ht="12.75" customHeight="1" x14ac:dyDescent="0.3">
      <c r="A118" s="239"/>
      <c r="B118" s="239"/>
      <c r="C118" s="237"/>
      <c r="D118" s="256" t="str">
        <f>IFERROR(IF(ISBLANK(C118),"",_xlfn.XLOOKUP(C118,'Awards &gt; 50000'!$H$13:$H$200,'Awards &gt; 50000'!$G$13:$G$200,"Not Found",0,1)),"Not Found")</f>
        <v/>
      </c>
      <c r="E118" s="256" t="str">
        <f>IFERROR(IF(ISBLANK(C118),"",VLOOKUP(C118,'Awards &gt; 50000'!$H$13:$I$200,2,FALSE)),"Not Found")</f>
        <v/>
      </c>
      <c r="F118" s="236"/>
      <c r="G118" s="236"/>
      <c r="H118" s="206"/>
    </row>
    <row r="119" spans="1:8" ht="12.75" customHeight="1" x14ac:dyDescent="0.3">
      <c r="A119" s="239"/>
      <c r="B119" s="239"/>
      <c r="C119" s="237"/>
      <c r="D119" s="256" t="str">
        <f>IFERROR(IF(ISBLANK(C119),"",_xlfn.XLOOKUP(C119,'Awards &gt; 50000'!$H$13:$H$200,'Awards &gt; 50000'!$G$13:$G$200,"Not Found",0,1)),"Not Found")</f>
        <v/>
      </c>
      <c r="E119" s="256" t="str">
        <f>IFERROR(IF(ISBLANK(C119),"",VLOOKUP(C119,'Awards &gt; 50000'!$H$13:$I$200,2,FALSE)),"Not Found")</f>
        <v/>
      </c>
      <c r="F119" s="236"/>
      <c r="G119" s="236"/>
      <c r="H119" s="206"/>
    </row>
    <row r="120" spans="1:8" ht="12.75" customHeight="1" x14ac:dyDescent="0.3">
      <c r="A120" s="239"/>
      <c r="B120" s="239"/>
      <c r="C120" s="237"/>
      <c r="D120" s="256" t="str">
        <f>IFERROR(IF(ISBLANK(C120),"",_xlfn.XLOOKUP(C120,'Awards &gt; 50000'!$H$13:$H$200,'Awards &gt; 50000'!$G$13:$G$200,"Not Found",0,1)),"Not Found")</f>
        <v/>
      </c>
      <c r="E120" s="256" t="str">
        <f>IFERROR(IF(ISBLANK(C120),"",VLOOKUP(C120,'Awards &gt; 50000'!$H$13:$I$200,2,FALSE)),"Not Found")</f>
        <v/>
      </c>
      <c r="F120" s="236"/>
      <c r="G120" s="236"/>
      <c r="H120" s="206"/>
    </row>
    <row r="121" spans="1:8" ht="12.75" customHeight="1" x14ac:dyDescent="0.3">
      <c r="A121" s="239"/>
      <c r="B121" s="239"/>
      <c r="C121" s="237"/>
      <c r="D121" s="256" t="str">
        <f>IFERROR(IF(ISBLANK(C121),"",_xlfn.XLOOKUP(C121,'Awards &gt; 50000'!$H$13:$H$200,'Awards &gt; 50000'!$G$13:$G$200,"Not Found",0,1)),"Not Found")</f>
        <v/>
      </c>
      <c r="E121" s="256" t="str">
        <f>IFERROR(IF(ISBLANK(C121),"",VLOOKUP(C121,'Awards &gt; 50000'!$H$13:$I$200,2,FALSE)),"Not Found")</f>
        <v/>
      </c>
      <c r="F121" s="236"/>
      <c r="G121" s="236"/>
      <c r="H121" s="206"/>
    </row>
    <row r="122" spans="1:8" ht="12.75" customHeight="1" x14ac:dyDescent="0.3">
      <c r="A122" s="239"/>
      <c r="B122" s="239"/>
      <c r="C122" s="237"/>
      <c r="D122" s="256" t="str">
        <f>IFERROR(IF(ISBLANK(C122),"",_xlfn.XLOOKUP(C122,'Awards &gt; 50000'!$H$13:$H$200,'Awards &gt; 50000'!$G$13:$G$200,"Not Found",0,1)),"Not Found")</f>
        <v/>
      </c>
      <c r="E122" s="256" t="str">
        <f>IFERROR(IF(ISBLANK(C122),"",VLOOKUP(C122,'Awards &gt; 50000'!$H$13:$I$200,2,FALSE)),"Not Found")</f>
        <v/>
      </c>
      <c r="F122" s="236"/>
      <c r="G122" s="236"/>
      <c r="H122" s="206"/>
    </row>
    <row r="123" spans="1:8" ht="12.75" customHeight="1" x14ac:dyDescent="0.3">
      <c r="A123" s="239"/>
      <c r="B123" s="239"/>
      <c r="C123" s="237"/>
      <c r="D123" s="256" t="str">
        <f>IFERROR(IF(ISBLANK(C123),"",_xlfn.XLOOKUP(C123,'Awards &gt; 50000'!$H$13:$H$200,'Awards &gt; 50000'!$G$13:$G$200,"Not Found",0,1)),"Not Found")</f>
        <v/>
      </c>
      <c r="E123" s="256" t="str">
        <f>IFERROR(IF(ISBLANK(C123),"",VLOOKUP(C123,'Awards &gt; 50000'!$H$13:$I$200,2,FALSE)),"Not Found")</f>
        <v/>
      </c>
      <c r="F123" s="236"/>
      <c r="G123" s="236"/>
      <c r="H123" s="206"/>
    </row>
    <row r="124" spans="1:8" ht="12.75" customHeight="1" x14ac:dyDescent="0.3">
      <c r="A124" s="239"/>
      <c r="B124" s="239"/>
      <c r="C124" s="237"/>
      <c r="D124" s="256" t="str">
        <f>IFERROR(IF(ISBLANK(C124),"",_xlfn.XLOOKUP(C124,'Awards &gt; 50000'!$H$13:$H$200,'Awards &gt; 50000'!$G$13:$G$200,"Not Found",0,1)),"Not Found")</f>
        <v/>
      </c>
      <c r="E124" s="256" t="str">
        <f>IFERROR(IF(ISBLANK(C124),"",VLOOKUP(C124,'Awards &gt; 50000'!$H$13:$I$200,2,FALSE)),"Not Found")</f>
        <v/>
      </c>
      <c r="F124" s="236"/>
      <c r="G124" s="236"/>
      <c r="H124" s="206"/>
    </row>
    <row r="125" spans="1:8" ht="12.75" customHeight="1" x14ac:dyDescent="0.3">
      <c r="A125" s="239"/>
      <c r="B125" s="239"/>
      <c r="C125" s="237"/>
      <c r="D125" s="256" t="str">
        <f>IFERROR(IF(ISBLANK(C125),"",_xlfn.XLOOKUP(C125,'Awards &gt; 50000'!$H$13:$H$200,'Awards &gt; 50000'!$G$13:$G$200,"Not Found",0,1)),"Not Found")</f>
        <v/>
      </c>
      <c r="E125" s="256" t="str">
        <f>IFERROR(IF(ISBLANK(C125),"",VLOOKUP(C125,'Awards &gt; 50000'!$H$13:$I$200,2,FALSE)),"Not Found")</f>
        <v/>
      </c>
      <c r="F125" s="236"/>
      <c r="G125" s="236"/>
      <c r="H125" s="206"/>
    </row>
    <row r="126" spans="1:8" ht="12.75" customHeight="1" x14ac:dyDescent="0.3">
      <c r="A126" s="239"/>
      <c r="B126" s="239"/>
      <c r="C126" s="237"/>
      <c r="D126" s="256" t="str">
        <f>IFERROR(IF(ISBLANK(C126),"",_xlfn.XLOOKUP(C126,'Awards &gt; 50000'!$H$13:$H$200,'Awards &gt; 50000'!$G$13:$G$200,"Not Found",0,1)),"Not Found")</f>
        <v/>
      </c>
      <c r="E126" s="256" t="str">
        <f>IFERROR(IF(ISBLANK(C126),"",VLOOKUP(C126,'Awards &gt; 50000'!$H$13:$I$200,2,FALSE)),"Not Found")</f>
        <v/>
      </c>
      <c r="F126" s="236"/>
      <c r="G126" s="236"/>
      <c r="H126" s="206"/>
    </row>
    <row r="127" spans="1:8" ht="12.75" customHeight="1" x14ac:dyDescent="0.3">
      <c r="A127" s="239"/>
      <c r="B127" s="239"/>
      <c r="C127" s="237"/>
      <c r="D127" s="256" t="str">
        <f>IFERROR(IF(ISBLANK(C127),"",_xlfn.XLOOKUP(C127,'Awards &gt; 50000'!$H$13:$H$200,'Awards &gt; 50000'!$G$13:$G$200,"Not Found",0,1)),"Not Found")</f>
        <v/>
      </c>
      <c r="E127" s="256" t="str">
        <f>IFERROR(IF(ISBLANK(C127),"",VLOOKUP(C127,'Awards &gt; 50000'!$H$13:$I$200,2,FALSE)),"Not Found")</f>
        <v/>
      </c>
      <c r="F127" s="236"/>
      <c r="G127" s="236"/>
      <c r="H127" s="206"/>
    </row>
    <row r="128" spans="1:8" ht="12.75" customHeight="1" x14ac:dyDescent="0.3">
      <c r="A128" s="239"/>
      <c r="B128" s="239"/>
      <c r="C128" s="237"/>
      <c r="D128" s="256" t="str">
        <f>IFERROR(IF(ISBLANK(C128),"",_xlfn.XLOOKUP(C128,'Awards &gt; 50000'!$H$13:$H$200,'Awards &gt; 50000'!$G$13:$G$200,"Not Found",0,1)),"Not Found")</f>
        <v/>
      </c>
      <c r="E128" s="256" t="str">
        <f>IFERROR(IF(ISBLANK(C128),"",VLOOKUP(C128,'Awards &gt; 50000'!$H$13:$I$200,2,FALSE)),"Not Found")</f>
        <v/>
      </c>
      <c r="F128" s="236"/>
      <c r="G128" s="236"/>
      <c r="H128" s="206"/>
    </row>
    <row r="129" spans="1:8" ht="12.75" customHeight="1" x14ac:dyDescent="0.3">
      <c r="A129" s="239"/>
      <c r="B129" s="239"/>
      <c r="C129" s="237"/>
      <c r="D129" s="256" t="str">
        <f>IFERROR(IF(ISBLANK(C129),"",_xlfn.XLOOKUP(C129,'Awards &gt; 50000'!$H$13:$H$200,'Awards &gt; 50000'!$G$13:$G$200,"Not Found",0,1)),"Not Found")</f>
        <v/>
      </c>
      <c r="E129" s="256" t="str">
        <f>IFERROR(IF(ISBLANK(C129),"",VLOOKUP(C129,'Awards &gt; 50000'!$H$13:$I$200,2,FALSE)),"Not Found")</f>
        <v/>
      </c>
      <c r="F129" s="236"/>
      <c r="G129" s="236"/>
      <c r="H129" s="206"/>
    </row>
    <row r="130" spans="1:8" ht="12.75" customHeight="1" x14ac:dyDescent="0.3">
      <c r="A130" s="239"/>
      <c r="B130" s="239"/>
      <c r="C130" s="237"/>
      <c r="D130" s="256" t="str">
        <f>IFERROR(IF(ISBLANK(C130),"",_xlfn.XLOOKUP(C130,'Awards &gt; 50000'!$H$13:$H$200,'Awards &gt; 50000'!$G$13:$G$200,"Not Found",0,1)),"Not Found")</f>
        <v/>
      </c>
      <c r="E130" s="256" t="str">
        <f>IFERROR(IF(ISBLANK(C130),"",VLOOKUP(C130,'Awards &gt; 50000'!$H$13:$I$200,2,FALSE)),"Not Found")</f>
        <v/>
      </c>
      <c r="F130" s="236"/>
      <c r="G130" s="236"/>
      <c r="H130" s="206"/>
    </row>
    <row r="131" spans="1:8" ht="12.75" customHeight="1" x14ac:dyDescent="0.3">
      <c r="A131" s="239"/>
      <c r="B131" s="239"/>
      <c r="C131" s="237"/>
      <c r="D131" s="256" t="str">
        <f>IFERROR(IF(ISBLANK(C131),"",_xlfn.XLOOKUP(C131,'Awards &gt; 50000'!$H$13:$H$200,'Awards &gt; 50000'!$G$13:$G$200,"Not Found",0,1)),"Not Found")</f>
        <v/>
      </c>
      <c r="E131" s="256" t="str">
        <f>IFERROR(IF(ISBLANK(C131),"",VLOOKUP(C131,'Awards &gt; 50000'!$H$13:$I$200,2,FALSE)),"Not Found")</f>
        <v/>
      </c>
      <c r="F131" s="236"/>
      <c r="G131" s="236"/>
      <c r="H131" s="206"/>
    </row>
    <row r="132" spans="1:8" ht="12.75" customHeight="1" x14ac:dyDescent="0.3">
      <c r="A132" s="239"/>
      <c r="B132" s="239"/>
      <c r="C132" s="237"/>
      <c r="D132" s="256" t="str">
        <f>IFERROR(IF(ISBLANK(C132),"",_xlfn.XLOOKUP(C132,'Awards &gt; 50000'!$H$13:$H$200,'Awards &gt; 50000'!$G$13:$G$200,"Not Found",0,1)),"Not Found")</f>
        <v/>
      </c>
      <c r="E132" s="256" t="str">
        <f>IFERROR(IF(ISBLANK(C132),"",VLOOKUP(C132,'Awards &gt; 50000'!$H$13:$I$200,2,FALSE)),"Not Found")</f>
        <v/>
      </c>
      <c r="F132" s="236"/>
      <c r="G132" s="236"/>
      <c r="H132" s="206"/>
    </row>
    <row r="133" spans="1:8" ht="12.75" customHeight="1" x14ac:dyDescent="0.3">
      <c r="A133" s="239"/>
      <c r="B133" s="239"/>
      <c r="C133" s="237"/>
      <c r="D133" s="256" t="str">
        <f>IFERROR(IF(ISBLANK(C133),"",_xlfn.XLOOKUP(C133,'Awards &gt; 50000'!$H$13:$H$200,'Awards &gt; 50000'!$G$13:$G$200,"Not Found",0,1)),"Not Found")</f>
        <v/>
      </c>
      <c r="E133" s="256" t="str">
        <f>IFERROR(IF(ISBLANK(C133),"",VLOOKUP(C133,'Awards &gt; 50000'!$H$13:$I$200,2,FALSE)),"Not Found")</f>
        <v/>
      </c>
      <c r="F133" s="236"/>
      <c r="G133" s="236"/>
      <c r="H133" s="206"/>
    </row>
    <row r="134" spans="1:8" ht="12.75" customHeight="1" x14ac:dyDescent="0.3">
      <c r="A134" s="239"/>
      <c r="B134" s="239"/>
      <c r="C134" s="237"/>
      <c r="D134" s="256" t="str">
        <f>IFERROR(IF(ISBLANK(C134),"",_xlfn.XLOOKUP(C134,'Awards &gt; 50000'!$H$13:$H$200,'Awards &gt; 50000'!$G$13:$G$200,"Not Found",0,1)),"Not Found")</f>
        <v/>
      </c>
      <c r="E134" s="256" t="str">
        <f>IFERROR(IF(ISBLANK(C134),"",VLOOKUP(C134,'Awards &gt; 50000'!$H$13:$I$200,2,FALSE)),"Not Found")</f>
        <v/>
      </c>
      <c r="F134" s="236"/>
      <c r="G134" s="236"/>
      <c r="H134" s="206"/>
    </row>
    <row r="135" spans="1:8" ht="12.75" customHeight="1" x14ac:dyDescent="0.3">
      <c r="A135" s="239"/>
      <c r="B135" s="239"/>
      <c r="C135" s="237"/>
      <c r="D135" s="256" t="str">
        <f>IFERROR(IF(ISBLANK(C135),"",_xlfn.XLOOKUP(C135,'Awards &gt; 50000'!$H$13:$H$200,'Awards &gt; 50000'!$G$13:$G$200,"Not Found",0,1)),"Not Found")</f>
        <v/>
      </c>
      <c r="E135" s="256" t="str">
        <f>IFERROR(IF(ISBLANK(C135),"",VLOOKUP(C135,'Awards &gt; 50000'!$H$13:$I$200,2,FALSE)),"Not Found")</f>
        <v/>
      </c>
      <c r="F135" s="236"/>
      <c r="G135" s="236"/>
      <c r="H135" s="206"/>
    </row>
    <row r="136" spans="1:8" ht="12.75" customHeight="1" x14ac:dyDescent="0.3">
      <c r="A136" s="239"/>
      <c r="B136" s="239"/>
      <c r="C136" s="237"/>
      <c r="D136" s="256" t="str">
        <f>IFERROR(IF(ISBLANK(C136),"",_xlfn.XLOOKUP(C136,'Awards &gt; 50000'!$H$13:$H$200,'Awards &gt; 50000'!$G$13:$G$200,"Not Found",0,1)),"Not Found")</f>
        <v/>
      </c>
      <c r="E136" s="256" t="str">
        <f>IFERROR(IF(ISBLANK(C136),"",VLOOKUP(C136,'Awards &gt; 50000'!$H$13:$I$200,2,FALSE)),"Not Found")</f>
        <v/>
      </c>
      <c r="F136" s="236"/>
      <c r="G136" s="236"/>
      <c r="H136" s="206"/>
    </row>
    <row r="137" spans="1:8" ht="12.75" customHeight="1" x14ac:dyDescent="0.3">
      <c r="A137" s="239"/>
      <c r="B137" s="239"/>
      <c r="C137" s="237"/>
      <c r="D137" s="256" t="str">
        <f>IFERROR(IF(ISBLANK(C137),"",_xlfn.XLOOKUP(C137,'Awards &gt; 50000'!$H$13:$H$200,'Awards &gt; 50000'!$G$13:$G$200,"Not Found",0,1)),"Not Found")</f>
        <v/>
      </c>
      <c r="E137" s="256" t="str">
        <f>IFERROR(IF(ISBLANK(C137),"",VLOOKUP(C137,'Awards &gt; 50000'!$H$13:$I$200,2,FALSE)),"Not Found")</f>
        <v/>
      </c>
      <c r="F137" s="236"/>
      <c r="G137" s="236"/>
      <c r="H137" s="206"/>
    </row>
    <row r="138" spans="1:8" ht="12.75" customHeight="1" x14ac:dyDescent="0.3">
      <c r="A138" s="239"/>
      <c r="B138" s="239"/>
      <c r="C138" s="237"/>
      <c r="D138" s="256" t="str">
        <f>IFERROR(IF(ISBLANK(C138),"",_xlfn.XLOOKUP(C138,'Awards &gt; 50000'!$H$13:$H$200,'Awards &gt; 50000'!$G$13:$G$200,"Not Found",0,1)),"Not Found")</f>
        <v/>
      </c>
      <c r="E138" s="256" t="str">
        <f>IFERROR(IF(ISBLANK(C138),"",VLOOKUP(C138,'Awards &gt; 50000'!$H$13:$I$200,2,FALSE)),"Not Found")</f>
        <v/>
      </c>
      <c r="F138" s="236"/>
      <c r="G138" s="236"/>
      <c r="H138" s="206"/>
    </row>
    <row r="139" spans="1:8" ht="12.75" customHeight="1" x14ac:dyDescent="0.3">
      <c r="A139" s="239"/>
      <c r="B139" s="239"/>
      <c r="C139" s="237"/>
      <c r="D139" s="256" t="str">
        <f>IFERROR(IF(ISBLANK(C139),"",_xlfn.XLOOKUP(C139,'Awards &gt; 50000'!$H$13:$H$200,'Awards &gt; 50000'!$G$13:$G$200,"Not Found",0,1)),"Not Found")</f>
        <v/>
      </c>
      <c r="E139" s="256" t="str">
        <f>IFERROR(IF(ISBLANK(C139),"",VLOOKUP(C139,'Awards &gt; 50000'!$H$13:$I$200,2,FALSE)),"Not Found")</f>
        <v/>
      </c>
      <c r="F139" s="236"/>
      <c r="G139" s="236"/>
      <c r="H139" s="206"/>
    </row>
    <row r="140" spans="1:8" ht="12.75" customHeight="1" x14ac:dyDescent="0.3">
      <c r="A140" s="239"/>
      <c r="B140" s="239"/>
      <c r="C140" s="237"/>
      <c r="D140" s="256" t="str">
        <f>IFERROR(IF(ISBLANK(C140),"",_xlfn.XLOOKUP(C140,'Awards &gt; 50000'!$H$13:$H$200,'Awards &gt; 50000'!$G$13:$G$200,"Not Found",0,1)),"Not Found")</f>
        <v/>
      </c>
      <c r="E140" s="256" t="str">
        <f>IFERROR(IF(ISBLANK(C140),"",VLOOKUP(C140,'Awards &gt; 50000'!$H$13:$I$200,2,FALSE)),"Not Found")</f>
        <v/>
      </c>
      <c r="F140" s="236"/>
      <c r="G140" s="236"/>
      <c r="H140" s="206"/>
    </row>
    <row r="141" spans="1:8" ht="12.75" customHeight="1" x14ac:dyDescent="0.3">
      <c r="A141" s="239"/>
      <c r="B141" s="239"/>
      <c r="C141" s="237"/>
      <c r="D141" s="256" t="str">
        <f>IFERROR(IF(ISBLANK(C141),"",_xlfn.XLOOKUP(C141,'Awards &gt; 50000'!$H$13:$H$200,'Awards &gt; 50000'!$G$13:$G$200,"Not Found",0,1)),"Not Found")</f>
        <v/>
      </c>
      <c r="E141" s="256" t="str">
        <f>IFERROR(IF(ISBLANK(C141),"",VLOOKUP(C141,'Awards &gt; 50000'!$H$13:$I$200,2,FALSE)),"Not Found")</f>
        <v/>
      </c>
      <c r="F141" s="236"/>
      <c r="G141" s="236"/>
      <c r="H141" s="206"/>
    </row>
    <row r="142" spans="1:8" ht="12.75" customHeight="1" x14ac:dyDescent="0.3">
      <c r="A142" s="239"/>
      <c r="B142" s="239"/>
      <c r="C142" s="237"/>
      <c r="D142" s="256" t="str">
        <f>IFERROR(IF(ISBLANK(C142),"",_xlfn.XLOOKUP(C142,'Awards &gt; 50000'!$H$13:$H$200,'Awards &gt; 50000'!$G$13:$G$200,"Not Found",0,1)),"Not Found")</f>
        <v/>
      </c>
      <c r="E142" s="256" t="str">
        <f>IFERROR(IF(ISBLANK(C142),"",VLOOKUP(C142,'Awards &gt; 50000'!$H$13:$I$200,2,FALSE)),"Not Found")</f>
        <v/>
      </c>
      <c r="F142" s="236"/>
      <c r="G142" s="236"/>
      <c r="H142" s="206"/>
    </row>
    <row r="143" spans="1:8" ht="12.75" customHeight="1" x14ac:dyDescent="0.3">
      <c r="A143" s="239"/>
      <c r="B143" s="239"/>
      <c r="C143" s="237"/>
      <c r="D143" s="256" t="str">
        <f>IFERROR(IF(ISBLANK(C143),"",_xlfn.XLOOKUP(C143,'Awards &gt; 50000'!$H$13:$H$200,'Awards &gt; 50000'!$G$13:$G$200,"Not Found",0,1)),"Not Found")</f>
        <v/>
      </c>
      <c r="E143" s="256" t="str">
        <f>IFERROR(IF(ISBLANK(C143),"",VLOOKUP(C143,'Awards &gt; 50000'!$H$13:$I$200,2,FALSE)),"Not Found")</f>
        <v/>
      </c>
      <c r="F143" s="236"/>
      <c r="G143" s="236"/>
      <c r="H143" s="206"/>
    </row>
    <row r="144" spans="1:8" ht="12.75" customHeight="1" x14ac:dyDescent="0.3">
      <c r="A144" s="239"/>
      <c r="B144" s="239"/>
      <c r="C144" s="237"/>
      <c r="D144" s="256" t="str">
        <f>IFERROR(IF(ISBLANK(C144),"",_xlfn.XLOOKUP(C144,'Awards &gt; 50000'!$H$13:$H$200,'Awards &gt; 50000'!$G$13:$G$200,"Not Found",0,1)),"Not Found")</f>
        <v/>
      </c>
      <c r="E144" s="256" t="str">
        <f>IFERROR(IF(ISBLANK(C144),"",VLOOKUP(C144,'Awards &gt; 50000'!$H$13:$I$200,2,FALSE)),"Not Found")</f>
        <v/>
      </c>
      <c r="F144" s="236"/>
      <c r="G144" s="236"/>
      <c r="H144" s="206"/>
    </row>
    <row r="145" spans="1:8" ht="12.75" customHeight="1" x14ac:dyDescent="0.3">
      <c r="A145" s="239"/>
      <c r="B145" s="239"/>
      <c r="C145" s="237"/>
      <c r="D145" s="256" t="str">
        <f>IFERROR(IF(ISBLANK(C145),"",_xlfn.XLOOKUP(C145,'Awards &gt; 50000'!$H$13:$H$200,'Awards &gt; 50000'!$G$13:$G$200,"Not Found",0,1)),"Not Found")</f>
        <v/>
      </c>
      <c r="E145" s="256" t="str">
        <f>IFERROR(IF(ISBLANK(C145),"",VLOOKUP(C145,'Awards &gt; 50000'!$H$13:$I$200,2,FALSE)),"Not Found")</f>
        <v/>
      </c>
      <c r="F145" s="236"/>
      <c r="G145" s="236"/>
      <c r="H145" s="206"/>
    </row>
    <row r="146" spans="1:8" ht="12.75" customHeight="1" x14ac:dyDescent="0.3">
      <c r="A146" s="239"/>
      <c r="B146" s="239"/>
      <c r="C146" s="237"/>
      <c r="D146" s="256" t="str">
        <f>IFERROR(IF(ISBLANK(C146),"",_xlfn.XLOOKUP(C146,'Awards &gt; 50000'!$H$13:$H$200,'Awards &gt; 50000'!$G$13:$G$200,"Not Found",0,1)),"Not Found")</f>
        <v/>
      </c>
      <c r="E146" s="256" t="str">
        <f>IFERROR(IF(ISBLANK(C146),"",VLOOKUP(C146,'Awards &gt; 50000'!$H$13:$I$200,2,FALSE)),"Not Found")</f>
        <v/>
      </c>
      <c r="F146" s="236"/>
      <c r="G146" s="236"/>
      <c r="H146" s="206"/>
    </row>
    <row r="147" spans="1:8" ht="12.75" customHeight="1" x14ac:dyDescent="0.3">
      <c r="A147" s="239"/>
      <c r="B147" s="239"/>
      <c r="C147" s="237"/>
      <c r="D147" s="256" t="str">
        <f>IFERROR(IF(ISBLANK(C147),"",_xlfn.XLOOKUP(C147,'Awards &gt; 50000'!$H$13:$H$200,'Awards &gt; 50000'!$G$13:$G$200,"Not Found",0,1)),"Not Found")</f>
        <v/>
      </c>
      <c r="E147" s="256" t="str">
        <f>IFERROR(IF(ISBLANK(C147),"",VLOOKUP(C147,'Awards &gt; 50000'!$H$13:$I$200,2,FALSE)),"Not Found")</f>
        <v/>
      </c>
      <c r="F147" s="236"/>
      <c r="G147" s="236"/>
      <c r="H147" s="206"/>
    </row>
    <row r="148" spans="1:8" ht="12.75" customHeight="1" x14ac:dyDescent="0.3">
      <c r="A148" s="239"/>
      <c r="B148" s="239"/>
      <c r="C148" s="237"/>
      <c r="D148" s="256" t="str">
        <f>IFERROR(IF(ISBLANK(C148),"",_xlfn.XLOOKUP(C148,'Awards &gt; 50000'!$H$13:$H$200,'Awards &gt; 50000'!$G$13:$G$200,"Not Found",0,1)),"Not Found")</f>
        <v/>
      </c>
      <c r="E148" s="256" t="str">
        <f>IFERROR(IF(ISBLANK(C148),"",VLOOKUP(C148,'Awards &gt; 50000'!$H$13:$I$200,2,FALSE)),"Not Found")</f>
        <v/>
      </c>
      <c r="F148" s="236"/>
      <c r="G148" s="236"/>
      <c r="H148" s="206"/>
    </row>
    <row r="149" spans="1:8" ht="12.75" customHeight="1" x14ac:dyDescent="0.3">
      <c r="A149" s="239"/>
      <c r="B149" s="239"/>
      <c r="C149" s="237"/>
      <c r="D149" s="256" t="str">
        <f>IFERROR(IF(ISBLANK(C149),"",_xlfn.XLOOKUP(C149,'Awards &gt; 50000'!$H$13:$H$200,'Awards &gt; 50000'!$G$13:$G$200,"Not Found",0,1)),"Not Found")</f>
        <v/>
      </c>
      <c r="E149" s="256" t="str">
        <f>IFERROR(IF(ISBLANK(C149),"",VLOOKUP(C149,'Awards &gt; 50000'!$H$13:$I$200,2,FALSE)),"Not Found")</f>
        <v/>
      </c>
      <c r="F149" s="236"/>
      <c r="G149" s="236"/>
      <c r="H149" s="206"/>
    </row>
    <row r="150" spans="1:8" ht="12.75" customHeight="1" x14ac:dyDescent="0.3">
      <c r="A150" s="239"/>
      <c r="B150" s="239"/>
      <c r="C150" s="237"/>
      <c r="D150" s="256" t="str">
        <f>IFERROR(IF(ISBLANK(C150),"",_xlfn.XLOOKUP(C150,'Awards &gt; 50000'!$H$13:$H$200,'Awards &gt; 50000'!$G$13:$G$200,"Not Found",0,1)),"Not Found")</f>
        <v/>
      </c>
      <c r="E150" s="256" t="str">
        <f>IFERROR(IF(ISBLANK(C150),"",VLOOKUP(C150,'Awards &gt; 50000'!$H$13:$I$200,2,FALSE)),"Not Found")</f>
        <v/>
      </c>
      <c r="F150" s="236"/>
      <c r="G150" s="236"/>
      <c r="H150" s="206"/>
    </row>
    <row r="151" spans="1:8" ht="12.75" customHeight="1" x14ac:dyDescent="0.3">
      <c r="A151" s="239"/>
      <c r="B151" s="239"/>
      <c r="C151" s="237"/>
      <c r="D151" s="256" t="str">
        <f>IFERROR(IF(ISBLANK(C151),"",_xlfn.XLOOKUP(C151,'Awards &gt; 50000'!$H$13:$H$200,'Awards &gt; 50000'!$G$13:$G$200,"Not Found",0,1)),"Not Found")</f>
        <v/>
      </c>
      <c r="E151" s="256" t="str">
        <f>IFERROR(IF(ISBLANK(C151),"",VLOOKUP(C151,'Awards &gt; 50000'!$H$13:$I$200,2,FALSE)),"Not Found")</f>
        <v/>
      </c>
      <c r="F151" s="236"/>
      <c r="G151" s="236"/>
      <c r="H151" s="206"/>
    </row>
    <row r="152" spans="1:8" ht="12.75" customHeight="1" x14ac:dyDescent="0.3">
      <c r="A152" s="239"/>
      <c r="B152" s="239"/>
      <c r="C152" s="237"/>
      <c r="D152" s="256" t="str">
        <f>IFERROR(IF(ISBLANK(C152),"",_xlfn.XLOOKUP(C152,'Awards &gt; 50000'!$H$13:$H$200,'Awards &gt; 50000'!$G$13:$G$200,"Not Found",0,1)),"Not Found")</f>
        <v/>
      </c>
      <c r="E152" s="256" t="str">
        <f>IFERROR(IF(ISBLANK(C152),"",VLOOKUP(C152,'Awards &gt; 50000'!$H$13:$I$200,2,FALSE)),"Not Found")</f>
        <v/>
      </c>
      <c r="F152" s="236"/>
      <c r="G152" s="236"/>
      <c r="H152" s="206"/>
    </row>
    <row r="153" spans="1:8" ht="12.75" customHeight="1" x14ac:dyDescent="0.3">
      <c r="A153" s="239"/>
      <c r="B153" s="239"/>
      <c r="C153" s="237"/>
      <c r="D153" s="256" t="str">
        <f>IFERROR(IF(ISBLANK(C153),"",_xlfn.XLOOKUP(C153,'Awards &gt; 50000'!$H$13:$H$200,'Awards &gt; 50000'!$G$13:$G$200,"Not Found",0,1)),"Not Found")</f>
        <v/>
      </c>
      <c r="E153" s="256" t="str">
        <f>IFERROR(IF(ISBLANK(C153),"",VLOOKUP(C153,'Awards &gt; 50000'!$H$13:$I$200,2,FALSE)),"Not Found")</f>
        <v/>
      </c>
      <c r="F153" s="236"/>
      <c r="G153" s="236"/>
      <c r="H153" s="206"/>
    </row>
    <row r="154" spans="1:8" ht="12.75" customHeight="1" x14ac:dyDescent="0.3">
      <c r="A154" s="239"/>
      <c r="B154" s="239"/>
      <c r="C154" s="237"/>
      <c r="D154" s="256" t="str">
        <f>IFERROR(IF(ISBLANK(C154),"",_xlfn.XLOOKUP(C154,'Awards &gt; 50000'!$H$13:$H$200,'Awards &gt; 50000'!$G$13:$G$200,"Not Found",0,1)),"Not Found")</f>
        <v/>
      </c>
      <c r="E154" s="256" t="str">
        <f>IFERROR(IF(ISBLANK(C154),"",VLOOKUP(C154,'Awards &gt; 50000'!$H$13:$I$200,2,FALSE)),"Not Found")</f>
        <v/>
      </c>
      <c r="F154" s="236"/>
      <c r="G154" s="236"/>
      <c r="H154" s="206"/>
    </row>
    <row r="155" spans="1:8" ht="12.75" customHeight="1" x14ac:dyDescent="0.3">
      <c r="A155" s="239"/>
      <c r="B155" s="239"/>
      <c r="C155" s="237"/>
      <c r="D155" s="256" t="str">
        <f>IFERROR(IF(ISBLANK(C155),"",_xlfn.XLOOKUP(C155,'Awards &gt; 50000'!$H$13:$H$200,'Awards &gt; 50000'!$G$13:$G$200,"Not Found",0,1)),"Not Found")</f>
        <v/>
      </c>
      <c r="E155" s="256" t="str">
        <f>IFERROR(IF(ISBLANK(C155),"",VLOOKUP(C155,'Awards &gt; 50000'!$H$13:$I$200,2,FALSE)),"Not Found")</f>
        <v/>
      </c>
      <c r="F155" s="236"/>
      <c r="G155" s="236"/>
      <c r="H155" s="206"/>
    </row>
    <row r="156" spans="1:8" ht="12.75" customHeight="1" x14ac:dyDescent="0.3">
      <c r="A156" s="239"/>
      <c r="B156" s="239"/>
      <c r="C156" s="237"/>
      <c r="D156" s="256" t="str">
        <f>IFERROR(IF(ISBLANK(C156),"",_xlfn.XLOOKUP(C156,'Awards &gt; 50000'!$H$13:$H$200,'Awards &gt; 50000'!$G$13:$G$200,"Not Found",0,1)),"Not Found")</f>
        <v/>
      </c>
      <c r="E156" s="256" t="str">
        <f>IFERROR(IF(ISBLANK(C156),"",VLOOKUP(C156,'Awards &gt; 50000'!$H$13:$I$200,2,FALSE)),"Not Found")</f>
        <v/>
      </c>
      <c r="F156" s="236"/>
      <c r="G156" s="236"/>
      <c r="H156" s="206"/>
    </row>
    <row r="157" spans="1:8" ht="12.75" customHeight="1" x14ac:dyDescent="0.3">
      <c r="A157" s="239"/>
      <c r="B157" s="239"/>
      <c r="C157" s="237"/>
      <c r="D157" s="256" t="str">
        <f>IFERROR(IF(ISBLANK(C157),"",_xlfn.XLOOKUP(C157,'Awards &gt; 50000'!$H$13:$H$200,'Awards &gt; 50000'!$G$13:$G$200,"Not Found",0,1)),"Not Found")</f>
        <v/>
      </c>
      <c r="E157" s="256" t="str">
        <f>IFERROR(IF(ISBLANK(C157),"",VLOOKUP(C157,'Awards &gt; 50000'!$H$13:$I$200,2,FALSE)),"Not Found")</f>
        <v/>
      </c>
      <c r="F157" s="236"/>
      <c r="G157" s="236"/>
      <c r="H157" s="206"/>
    </row>
    <row r="158" spans="1:8" ht="12.75" customHeight="1" x14ac:dyDescent="0.3">
      <c r="A158" s="239"/>
      <c r="B158" s="239"/>
      <c r="C158" s="237"/>
      <c r="D158" s="256" t="str">
        <f>IFERROR(IF(ISBLANK(C158),"",_xlfn.XLOOKUP(C158,'Awards &gt; 50000'!$H$13:$H$200,'Awards &gt; 50000'!$G$13:$G$200,"Not Found",0,1)),"Not Found")</f>
        <v/>
      </c>
      <c r="E158" s="256" t="str">
        <f>IFERROR(IF(ISBLANK(C158),"",VLOOKUP(C158,'Awards &gt; 50000'!$H$13:$I$200,2,FALSE)),"Not Found")</f>
        <v/>
      </c>
      <c r="F158" s="236"/>
      <c r="G158" s="236"/>
      <c r="H158" s="206"/>
    </row>
    <row r="159" spans="1:8" ht="12.75" customHeight="1" x14ac:dyDescent="0.3">
      <c r="A159" s="239"/>
      <c r="B159" s="239"/>
      <c r="C159" s="237"/>
      <c r="D159" s="256" t="str">
        <f>IFERROR(IF(ISBLANK(C159),"",_xlfn.XLOOKUP(C159,'Awards &gt; 50000'!$H$13:$H$200,'Awards &gt; 50000'!$G$13:$G$200,"Not Found",0,1)),"Not Found")</f>
        <v/>
      </c>
      <c r="E159" s="256" t="str">
        <f>IFERROR(IF(ISBLANK(C159),"",VLOOKUP(C159,'Awards &gt; 50000'!$H$13:$I$200,2,FALSE)),"Not Found")</f>
        <v/>
      </c>
      <c r="F159" s="236"/>
      <c r="G159" s="236"/>
      <c r="H159" s="206"/>
    </row>
    <row r="160" spans="1:8" ht="12.75" customHeight="1" x14ac:dyDescent="0.3">
      <c r="A160" s="239"/>
      <c r="B160" s="239"/>
      <c r="C160" s="237"/>
      <c r="D160" s="256" t="str">
        <f>IFERROR(IF(ISBLANK(C160),"",_xlfn.XLOOKUP(C160,'Awards &gt; 50000'!$H$13:$H$200,'Awards &gt; 50000'!$G$13:$G$200,"Not Found",0,1)),"Not Found")</f>
        <v/>
      </c>
      <c r="E160" s="256" t="str">
        <f>IFERROR(IF(ISBLANK(C160),"",VLOOKUP(C160,'Awards &gt; 50000'!$H$13:$I$200,2,FALSE)),"Not Found")</f>
        <v/>
      </c>
      <c r="F160" s="236"/>
      <c r="G160" s="236"/>
      <c r="H160" s="206"/>
    </row>
    <row r="161" spans="1:8" ht="12.75" customHeight="1" x14ac:dyDescent="0.3">
      <c r="A161" s="239"/>
      <c r="B161" s="239"/>
      <c r="C161" s="237"/>
      <c r="D161" s="256" t="str">
        <f>IFERROR(IF(ISBLANK(C161),"",_xlfn.XLOOKUP(C161,'Awards &gt; 50000'!$H$13:$H$200,'Awards &gt; 50000'!$G$13:$G$200,"Not Found",0,1)),"Not Found")</f>
        <v/>
      </c>
      <c r="E161" s="256" t="str">
        <f>IFERROR(IF(ISBLANK(C161),"",VLOOKUP(C161,'Awards &gt; 50000'!$H$13:$I$200,2,FALSE)),"Not Found")</f>
        <v/>
      </c>
      <c r="F161" s="236"/>
      <c r="G161" s="236"/>
      <c r="H161" s="206"/>
    </row>
    <row r="162" spans="1:8" ht="12.75" customHeight="1" x14ac:dyDescent="0.3">
      <c r="A162" s="239"/>
      <c r="B162" s="239"/>
      <c r="C162" s="237"/>
      <c r="D162" s="256" t="str">
        <f>IFERROR(IF(ISBLANK(C162),"",_xlfn.XLOOKUP(C162,'Awards &gt; 50000'!$H$13:$H$200,'Awards &gt; 50000'!$G$13:$G$200,"Not Found",0,1)),"Not Found")</f>
        <v/>
      </c>
      <c r="E162" s="256" t="str">
        <f>IFERROR(IF(ISBLANK(C162),"",VLOOKUP(C162,'Awards &gt; 50000'!$H$13:$I$200,2,FALSE)),"Not Found")</f>
        <v/>
      </c>
      <c r="F162" s="236"/>
      <c r="G162" s="236"/>
      <c r="H162" s="206"/>
    </row>
    <row r="163" spans="1:8" ht="12.75" customHeight="1" x14ac:dyDescent="0.3">
      <c r="A163" s="239"/>
      <c r="B163" s="239"/>
      <c r="C163" s="237"/>
      <c r="D163" s="256" t="str">
        <f>IFERROR(IF(ISBLANK(C163),"",_xlfn.XLOOKUP(C163,'Awards &gt; 50000'!$H$13:$H$200,'Awards &gt; 50000'!$G$13:$G$200,"Not Found",0,1)),"Not Found")</f>
        <v/>
      </c>
      <c r="E163" s="256" t="str">
        <f>IFERROR(IF(ISBLANK(C163),"",VLOOKUP(C163,'Awards &gt; 50000'!$H$13:$I$200,2,FALSE)),"Not Found")</f>
        <v/>
      </c>
      <c r="F163" s="236"/>
      <c r="G163" s="236"/>
      <c r="H163" s="206"/>
    </row>
    <row r="164" spans="1:8" ht="12.75" customHeight="1" x14ac:dyDescent="0.3">
      <c r="A164" s="239"/>
      <c r="B164" s="239"/>
      <c r="C164" s="237"/>
      <c r="D164" s="256" t="str">
        <f>IFERROR(IF(ISBLANK(C164),"",_xlfn.XLOOKUP(C164,'Awards &gt; 50000'!$H$13:$H$200,'Awards &gt; 50000'!$G$13:$G$200,"Not Found",0,1)),"Not Found")</f>
        <v/>
      </c>
      <c r="E164" s="256" t="str">
        <f>IFERROR(IF(ISBLANK(C164),"",VLOOKUP(C164,'Awards &gt; 50000'!$H$13:$I$200,2,FALSE)),"Not Found")</f>
        <v/>
      </c>
      <c r="F164" s="236"/>
      <c r="G164" s="236"/>
      <c r="H164" s="206"/>
    </row>
    <row r="165" spans="1:8" ht="12.75" customHeight="1" x14ac:dyDescent="0.3">
      <c r="A165" s="239"/>
      <c r="B165" s="239"/>
      <c r="C165" s="237"/>
      <c r="D165" s="256" t="str">
        <f>IFERROR(IF(ISBLANK(C165),"",_xlfn.XLOOKUP(C165,'Awards &gt; 50000'!$H$13:$H$200,'Awards &gt; 50000'!$G$13:$G$200,"Not Found",0,1)),"Not Found")</f>
        <v/>
      </c>
      <c r="E165" s="256" t="str">
        <f>IFERROR(IF(ISBLANK(C165),"",VLOOKUP(C165,'Awards &gt; 50000'!$H$13:$I$200,2,FALSE)),"Not Found")</f>
        <v/>
      </c>
      <c r="F165" s="236"/>
      <c r="G165" s="236"/>
      <c r="H165" s="206"/>
    </row>
    <row r="166" spans="1:8" ht="12.75" customHeight="1" x14ac:dyDescent="0.3">
      <c r="A166" s="239"/>
      <c r="B166" s="239"/>
      <c r="C166" s="237"/>
      <c r="D166" s="256" t="str">
        <f>IFERROR(IF(ISBLANK(C166),"",_xlfn.XLOOKUP(C166,'Awards &gt; 50000'!$H$13:$H$200,'Awards &gt; 50000'!$G$13:$G$200,"Not Found",0,1)),"Not Found")</f>
        <v/>
      </c>
      <c r="E166" s="256" t="str">
        <f>IFERROR(IF(ISBLANK(C166),"",VLOOKUP(C166,'Awards &gt; 50000'!$H$13:$I$200,2,FALSE)),"Not Found")</f>
        <v/>
      </c>
      <c r="F166" s="236"/>
      <c r="G166" s="236"/>
      <c r="H166" s="206"/>
    </row>
    <row r="167" spans="1:8" ht="12.75" customHeight="1" x14ac:dyDescent="0.3">
      <c r="A167" s="239"/>
      <c r="B167" s="239"/>
      <c r="C167" s="237"/>
      <c r="D167" s="256" t="str">
        <f>IFERROR(IF(ISBLANK(C167),"",_xlfn.XLOOKUP(C167,'Awards &gt; 50000'!$H$13:$H$200,'Awards &gt; 50000'!$G$13:$G$200,"Not Found",0,1)),"Not Found")</f>
        <v/>
      </c>
      <c r="E167" s="256" t="str">
        <f>IFERROR(IF(ISBLANK(C167),"",VLOOKUP(C167,'Awards &gt; 50000'!$H$13:$I$200,2,FALSE)),"Not Found")</f>
        <v/>
      </c>
      <c r="F167" s="236"/>
      <c r="G167" s="236"/>
      <c r="H167" s="206"/>
    </row>
    <row r="168" spans="1:8" ht="12.75" customHeight="1" x14ac:dyDescent="0.3">
      <c r="A168" s="239"/>
      <c r="B168" s="239"/>
      <c r="C168" s="237"/>
      <c r="D168" s="256" t="str">
        <f>IFERROR(IF(ISBLANK(C168),"",_xlfn.XLOOKUP(C168,'Awards &gt; 50000'!$H$13:$H$200,'Awards &gt; 50000'!$G$13:$G$200,"Not Found",0,1)),"Not Found")</f>
        <v/>
      </c>
      <c r="E168" s="256" t="str">
        <f>IFERROR(IF(ISBLANK(C168),"",VLOOKUP(C168,'Awards &gt; 50000'!$H$13:$I$200,2,FALSE)),"Not Found")</f>
        <v/>
      </c>
      <c r="F168" s="236"/>
      <c r="G168" s="236"/>
      <c r="H168" s="206"/>
    </row>
    <row r="169" spans="1:8" ht="12.75" customHeight="1" x14ac:dyDescent="0.3">
      <c r="A169" s="239"/>
      <c r="B169" s="239"/>
      <c r="C169" s="237"/>
      <c r="D169" s="256" t="str">
        <f>IFERROR(IF(ISBLANK(C169),"",_xlfn.XLOOKUP(C169,'Awards &gt; 50000'!$H$13:$H$200,'Awards &gt; 50000'!$G$13:$G$200,"Not Found",0,1)),"Not Found")</f>
        <v/>
      </c>
      <c r="E169" s="256" t="str">
        <f>IFERROR(IF(ISBLANK(C169),"",VLOOKUP(C169,'Awards &gt; 50000'!$H$13:$I$200,2,FALSE)),"Not Found")</f>
        <v/>
      </c>
      <c r="F169" s="236"/>
      <c r="G169" s="236"/>
      <c r="H169" s="206"/>
    </row>
    <row r="170" spans="1:8" ht="12.75" customHeight="1" x14ac:dyDescent="0.3">
      <c r="A170" s="239"/>
      <c r="B170" s="239"/>
      <c r="C170" s="237"/>
      <c r="D170" s="256" t="str">
        <f>IFERROR(IF(ISBLANK(C170),"",_xlfn.XLOOKUP(C170,'Awards &gt; 50000'!$H$13:$H$200,'Awards &gt; 50000'!$G$13:$G$200,"Not Found",0,1)),"Not Found")</f>
        <v/>
      </c>
      <c r="E170" s="256" t="str">
        <f>IFERROR(IF(ISBLANK(C170),"",VLOOKUP(C170,'Awards &gt; 50000'!$H$13:$I$200,2,FALSE)),"Not Found")</f>
        <v/>
      </c>
      <c r="F170" s="236"/>
      <c r="G170" s="236"/>
      <c r="H170" s="206"/>
    </row>
    <row r="171" spans="1:8" ht="12.75" customHeight="1" x14ac:dyDescent="0.3">
      <c r="A171" s="239"/>
      <c r="B171" s="239"/>
      <c r="C171" s="237"/>
      <c r="D171" s="256" t="str">
        <f>IFERROR(IF(ISBLANK(C171),"",_xlfn.XLOOKUP(C171,'Awards &gt; 50000'!$H$13:$H$200,'Awards &gt; 50000'!$G$13:$G$200,"Not Found",0,1)),"Not Found")</f>
        <v/>
      </c>
      <c r="E171" s="256" t="str">
        <f>IFERROR(IF(ISBLANK(C171),"",VLOOKUP(C171,'Awards &gt; 50000'!$H$13:$I$200,2,FALSE)),"Not Found")</f>
        <v/>
      </c>
      <c r="F171" s="236"/>
      <c r="G171" s="236"/>
      <c r="H171" s="206"/>
    </row>
    <row r="172" spans="1:8" ht="12.75" customHeight="1" x14ac:dyDescent="0.3">
      <c r="A172" s="239"/>
      <c r="B172" s="239"/>
      <c r="C172" s="237"/>
      <c r="D172" s="256" t="str">
        <f>IFERROR(IF(ISBLANK(C172),"",_xlfn.XLOOKUP(C172,'Awards &gt; 50000'!$H$13:$H$200,'Awards &gt; 50000'!$G$13:$G$200,"Not Found",0,1)),"Not Found")</f>
        <v/>
      </c>
      <c r="E172" s="256" t="str">
        <f>IFERROR(IF(ISBLANK(C172),"",VLOOKUP(C172,'Awards &gt; 50000'!$H$13:$I$200,2,FALSE)),"Not Found")</f>
        <v/>
      </c>
      <c r="F172" s="236"/>
      <c r="G172" s="236"/>
      <c r="H172" s="206"/>
    </row>
    <row r="173" spans="1:8" ht="12.75" customHeight="1" x14ac:dyDescent="0.3">
      <c r="A173" s="239"/>
      <c r="B173" s="239"/>
      <c r="C173" s="237"/>
      <c r="D173" s="256" t="str">
        <f>IFERROR(IF(ISBLANK(C173),"",_xlfn.XLOOKUP(C173,'Awards &gt; 50000'!$H$13:$H$200,'Awards &gt; 50000'!$G$13:$G$200,"Not Found",0,1)),"Not Found")</f>
        <v/>
      </c>
      <c r="E173" s="256" t="str">
        <f>IFERROR(IF(ISBLANK(C173),"",VLOOKUP(C173,'Awards &gt; 50000'!$H$13:$I$200,2,FALSE)),"Not Found")</f>
        <v/>
      </c>
      <c r="F173" s="236"/>
      <c r="G173" s="236"/>
      <c r="H173" s="206"/>
    </row>
    <row r="174" spans="1:8" ht="12.75" customHeight="1" x14ac:dyDescent="0.3">
      <c r="A174" s="239"/>
      <c r="B174" s="239"/>
      <c r="C174" s="237"/>
      <c r="D174" s="256" t="str">
        <f>IFERROR(IF(ISBLANK(C174),"",_xlfn.XLOOKUP(C174,'Awards &gt; 50000'!$H$13:$H$200,'Awards &gt; 50000'!$G$13:$G$200,"Not Found",0,1)),"Not Found")</f>
        <v/>
      </c>
      <c r="E174" s="256" t="str">
        <f>IFERROR(IF(ISBLANK(C174),"",VLOOKUP(C174,'Awards &gt; 50000'!$H$13:$I$200,2,FALSE)),"Not Found")</f>
        <v/>
      </c>
      <c r="F174" s="236"/>
      <c r="G174" s="236"/>
      <c r="H174" s="206"/>
    </row>
    <row r="175" spans="1:8" ht="12.75" customHeight="1" x14ac:dyDescent="0.3">
      <c r="A175" s="239"/>
      <c r="B175" s="239"/>
      <c r="C175" s="237"/>
      <c r="D175" s="256" t="str">
        <f>IFERROR(IF(ISBLANK(C175),"",_xlfn.XLOOKUP(C175,'Awards &gt; 50000'!$H$13:$H$200,'Awards &gt; 50000'!$G$13:$G$200,"Not Found",0,1)),"Not Found")</f>
        <v/>
      </c>
      <c r="E175" s="256" t="str">
        <f>IFERROR(IF(ISBLANK(C175),"",VLOOKUP(C175,'Awards &gt; 50000'!$H$13:$I$200,2,FALSE)),"Not Found")</f>
        <v/>
      </c>
      <c r="F175" s="236"/>
      <c r="G175" s="236"/>
      <c r="H175" s="206"/>
    </row>
    <row r="176" spans="1:8" ht="12.75" customHeight="1" x14ac:dyDescent="0.3">
      <c r="A176" s="239"/>
      <c r="B176" s="239"/>
      <c r="C176" s="237"/>
      <c r="D176" s="256" t="str">
        <f>IFERROR(IF(ISBLANK(C176),"",_xlfn.XLOOKUP(C176,'Awards &gt; 50000'!$H$13:$H$200,'Awards &gt; 50000'!$G$13:$G$200,"Not Found",0,1)),"Not Found")</f>
        <v/>
      </c>
      <c r="E176" s="256" t="str">
        <f>IFERROR(IF(ISBLANK(C176),"",VLOOKUP(C176,'Awards &gt; 50000'!$H$13:$I$200,2,FALSE)),"Not Found")</f>
        <v/>
      </c>
      <c r="F176" s="236"/>
      <c r="G176" s="236"/>
      <c r="H176" s="206"/>
    </row>
    <row r="177" spans="1:8" ht="12.75" customHeight="1" x14ac:dyDescent="0.3">
      <c r="A177" s="239"/>
      <c r="B177" s="239"/>
      <c r="C177" s="237"/>
      <c r="D177" s="256" t="str">
        <f>IFERROR(IF(ISBLANK(C177),"",_xlfn.XLOOKUP(C177,'Awards &gt; 50000'!$H$13:$H$200,'Awards &gt; 50000'!$G$13:$G$200,"Not Found",0,1)),"Not Found")</f>
        <v/>
      </c>
      <c r="E177" s="256" t="str">
        <f>IFERROR(IF(ISBLANK(C177),"",VLOOKUP(C177,'Awards &gt; 50000'!$H$13:$I$200,2,FALSE)),"Not Found")</f>
        <v/>
      </c>
      <c r="F177" s="236"/>
      <c r="G177" s="236"/>
      <c r="H177" s="206"/>
    </row>
    <row r="178" spans="1:8" ht="12.75" customHeight="1" x14ac:dyDescent="0.3">
      <c r="A178" s="239"/>
      <c r="B178" s="239"/>
      <c r="C178" s="237"/>
      <c r="D178" s="256" t="str">
        <f>IFERROR(IF(ISBLANK(C178),"",_xlfn.XLOOKUP(C178,'Awards &gt; 50000'!$H$13:$H$200,'Awards &gt; 50000'!$G$13:$G$200,"Not Found",0,1)),"Not Found")</f>
        <v/>
      </c>
      <c r="E178" s="256" t="str">
        <f>IFERROR(IF(ISBLANK(C178),"",VLOOKUP(C178,'Awards &gt; 50000'!$H$13:$I$200,2,FALSE)),"Not Found")</f>
        <v/>
      </c>
      <c r="F178" s="236"/>
      <c r="G178" s="236"/>
      <c r="H178" s="206"/>
    </row>
    <row r="179" spans="1:8" ht="12.75" customHeight="1" x14ac:dyDescent="0.3">
      <c r="A179" s="239"/>
      <c r="B179" s="239"/>
      <c r="C179" s="237"/>
      <c r="D179" s="256" t="str">
        <f>IFERROR(IF(ISBLANK(C179),"",_xlfn.XLOOKUP(C179,'Awards &gt; 50000'!$H$13:$H$200,'Awards &gt; 50000'!$G$13:$G$200,"Not Found",0,1)),"Not Found")</f>
        <v/>
      </c>
      <c r="E179" s="256" t="str">
        <f>IFERROR(IF(ISBLANK(C179),"",VLOOKUP(C179,'Awards &gt; 50000'!$H$13:$I$200,2,FALSE)),"Not Found")</f>
        <v/>
      </c>
      <c r="F179" s="236"/>
      <c r="G179" s="236"/>
      <c r="H179" s="206"/>
    </row>
    <row r="180" spans="1:8" ht="12.75" customHeight="1" x14ac:dyDescent="0.3">
      <c r="A180" s="239"/>
      <c r="B180" s="239"/>
      <c r="C180" s="237"/>
      <c r="D180" s="256" t="str">
        <f>IFERROR(IF(ISBLANK(C180),"",_xlfn.XLOOKUP(C180,'Awards &gt; 50000'!$H$13:$H$200,'Awards &gt; 50000'!$G$13:$G$200,"Not Found",0,1)),"Not Found")</f>
        <v/>
      </c>
      <c r="E180" s="256" t="str">
        <f>IFERROR(IF(ISBLANK(C180),"",VLOOKUP(C180,'Awards &gt; 50000'!$H$13:$I$200,2,FALSE)),"Not Found")</f>
        <v/>
      </c>
      <c r="F180" s="236"/>
      <c r="G180" s="236"/>
      <c r="H180" s="206"/>
    </row>
    <row r="181" spans="1:8" ht="12.75" customHeight="1" x14ac:dyDescent="0.3">
      <c r="A181" s="239"/>
      <c r="B181" s="239"/>
      <c r="C181" s="237"/>
      <c r="D181" s="256" t="str">
        <f>IFERROR(IF(ISBLANK(C181),"",_xlfn.XLOOKUP(C181,'Awards &gt; 50000'!$H$13:$H$200,'Awards &gt; 50000'!$G$13:$G$200,"Not Found",0,1)),"Not Found")</f>
        <v/>
      </c>
      <c r="E181" s="256" t="str">
        <f>IFERROR(IF(ISBLANK(C181),"",VLOOKUP(C181,'Awards &gt; 50000'!$H$13:$I$200,2,FALSE)),"Not Found")</f>
        <v/>
      </c>
      <c r="F181" s="236"/>
      <c r="G181" s="236"/>
      <c r="H181" s="206"/>
    </row>
    <row r="182" spans="1:8" ht="12.75" customHeight="1" x14ac:dyDescent="0.3">
      <c r="A182" s="239"/>
      <c r="B182" s="239"/>
      <c r="C182" s="237"/>
      <c r="D182" s="256" t="str">
        <f>IFERROR(IF(ISBLANK(C182),"",_xlfn.XLOOKUP(C182,'Awards &gt; 50000'!$H$13:$H$200,'Awards &gt; 50000'!$G$13:$G$200,"Not Found",0,1)),"Not Found")</f>
        <v/>
      </c>
      <c r="E182" s="256" t="str">
        <f>IFERROR(IF(ISBLANK(C182),"",VLOOKUP(C182,'Awards &gt; 50000'!$H$13:$I$200,2,FALSE)),"Not Found")</f>
        <v/>
      </c>
      <c r="F182" s="236"/>
      <c r="G182" s="236"/>
      <c r="H182" s="206"/>
    </row>
    <row r="183" spans="1:8" ht="12.75" customHeight="1" x14ac:dyDescent="0.3">
      <c r="A183" s="239"/>
      <c r="B183" s="239"/>
      <c r="C183" s="237"/>
      <c r="D183" s="256" t="str">
        <f>IFERROR(IF(ISBLANK(C183),"",_xlfn.XLOOKUP(C183,'Awards &gt; 50000'!$H$13:$H$200,'Awards &gt; 50000'!$G$13:$G$200,"Not Found",0,1)),"Not Found")</f>
        <v/>
      </c>
      <c r="E183" s="256" t="str">
        <f>IFERROR(IF(ISBLANK(C183),"",VLOOKUP(C183,'Awards &gt; 50000'!$H$13:$I$200,2,FALSE)),"Not Found")</f>
        <v/>
      </c>
      <c r="F183" s="236"/>
      <c r="G183" s="236"/>
      <c r="H183" s="206"/>
    </row>
    <row r="184" spans="1:8" ht="12.75" customHeight="1" x14ac:dyDescent="0.3">
      <c r="A184" s="239"/>
      <c r="B184" s="239"/>
      <c r="C184" s="237"/>
      <c r="D184" s="256" t="str">
        <f>IFERROR(IF(ISBLANK(C184),"",_xlfn.XLOOKUP(C184,'Awards &gt; 50000'!$H$13:$H$200,'Awards &gt; 50000'!$G$13:$G$200,"Not Found",0,1)),"Not Found")</f>
        <v/>
      </c>
      <c r="E184" s="256" t="str">
        <f>IFERROR(IF(ISBLANK(C184),"",VLOOKUP(C184,'Awards &gt; 50000'!$H$13:$I$200,2,FALSE)),"Not Found")</f>
        <v/>
      </c>
      <c r="F184" s="236"/>
      <c r="G184" s="236"/>
      <c r="H184" s="206"/>
    </row>
    <row r="185" spans="1:8" ht="12.75" customHeight="1" x14ac:dyDescent="0.3">
      <c r="A185" s="239"/>
      <c r="B185" s="239"/>
      <c r="C185" s="237"/>
      <c r="D185" s="256" t="str">
        <f>IFERROR(IF(ISBLANK(C185),"",_xlfn.XLOOKUP(C185,'Awards &gt; 50000'!$H$13:$H$200,'Awards &gt; 50000'!$G$13:$G$200,"Not Found",0,1)),"Not Found")</f>
        <v/>
      </c>
      <c r="E185" s="256" t="str">
        <f>IFERROR(IF(ISBLANK(C185),"",VLOOKUP(C185,'Awards &gt; 50000'!$H$13:$I$200,2,FALSE)),"Not Found")</f>
        <v/>
      </c>
      <c r="F185" s="236"/>
      <c r="G185" s="236"/>
      <c r="H185" s="206"/>
    </row>
    <row r="186" spans="1:8" ht="12.75" customHeight="1" x14ac:dyDescent="0.3">
      <c r="A186" s="239"/>
      <c r="B186" s="239"/>
      <c r="C186" s="237"/>
      <c r="D186" s="256" t="str">
        <f>IFERROR(IF(ISBLANK(C186),"",_xlfn.XLOOKUP(C186,'Awards &gt; 50000'!$H$13:$H$200,'Awards &gt; 50000'!$G$13:$G$200,"Not Found",0,1)),"Not Found")</f>
        <v/>
      </c>
      <c r="E186" s="256" t="str">
        <f>IFERROR(IF(ISBLANK(C186),"",VLOOKUP(C186,'Awards &gt; 50000'!$H$13:$I$200,2,FALSE)),"Not Found")</f>
        <v/>
      </c>
      <c r="F186" s="236"/>
      <c r="G186" s="236"/>
      <c r="H186" s="206"/>
    </row>
    <row r="187" spans="1:8" ht="12.75" customHeight="1" x14ac:dyDescent="0.3">
      <c r="A187" s="239"/>
      <c r="B187" s="239"/>
      <c r="C187" s="237"/>
      <c r="D187" s="256" t="str">
        <f>IFERROR(IF(ISBLANK(C187),"",_xlfn.XLOOKUP(C187,'Awards &gt; 50000'!$H$13:$H$200,'Awards &gt; 50000'!$G$13:$G$200,"Not Found",0,1)),"Not Found")</f>
        <v/>
      </c>
      <c r="E187" s="256" t="str">
        <f>IFERROR(IF(ISBLANK(C187),"",VLOOKUP(C187,'Awards &gt; 50000'!$H$13:$I$200,2,FALSE)),"Not Found")</f>
        <v/>
      </c>
      <c r="F187" s="236"/>
      <c r="G187" s="236"/>
      <c r="H187" s="206"/>
    </row>
    <row r="188" spans="1:8" ht="12.75" customHeight="1" x14ac:dyDescent="0.3">
      <c r="A188" s="239"/>
      <c r="B188" s="239"/>
      <c r="C188" s="237"/>
      <c r="D188" s="256" t="str">
        <f>IFERROR(IF(ISBLANK(C188),"",_xlfn.XLOOKUP(C188,'Awards &gt; 50000'!$H$13:$H$200,'Awards &gt; 50000'!$G$13:$G$200,"Not Found",0,1)),"Not Found")</f>
        <v/>
      </c>
      <c r="E188" s="256" t="str">
        <f>IFERROR(IF(ISBLANK(C188),"",VLOOKUP(C188,'Awards &gt; 50000'!$H$13:$I$200,2,FALSE)),"Not Found")</f>
        <v/>
      </c>
      <c r="F188" s="236"/>
      <c r="G188" s="236"/>
      <c r="H188" s="206"/>
    </row>
    <row r="189" spans="1:8" ht="12.75" customHeight="1" x14ac:dyDescent="0.3">
      <c r="A189" s="239"/>
      <c r="B189" s="239"/>
      <c r="C189" s="237"/>
      <c r="D189" s="256" t="str">
        <f>IFERROR(IF(ISBLANK(C189),"",_xlfn.XLOOKUP(C189,'Awards &gt; 50000'!$H$13:$H$200,'Awards &gt; 50000'!$G$13:$G$200,"Not Found",0,1)),"Not Found")</f>
        <v/>
      </c>
      <c r="E189" s="256" t="str">
        <f>IFERROR(IF(ISBLANK(C189),"",VLOOKUP(C189,'Awards &gt; 50000'!$H$13:$I$200,2,FALSE)),"Not Found")</f>
        <v/>
      </c>
      <c r="F189" s="236"/>
      <c r="G189" s="236"/>
      <c r="H189" s="206"/>
    </row>
    <row r="190" spans="1:8" ht="12.75" customHeight="1" x14ac:dyDescent="0.3">
      <c r="A190" s="239"/>
      <c r="B190" s="239"/>
      <c r="C190" s="237"/>
      <c r="D190" s="256" t="str">
        <f>IFERROR(IF(ISBLANK(C190),"",_xlfn.XLOOKUP(C190,'Awards &gt; 50000'!$H$13:$H$200,'Awards &gt; 50000'!$G$13:$G$200,"Not Found",0,1)),"Not Found")</f>
        <v/>
      </c>
      <c r="E190" s="256" t="str">
        <f>IFERROR(IF(ISBLANK(C190),"",VLOOKUP(C190,'Awards &gt; 50000'!$H$13:$I$200,2,FALSE)),"Not Found")</f>
        <v/>
      </c>
      <c r="F190" s="236"/>
      <c r="G190" s="236"/>
      <c r="H190" s="206"/>
    </row>
    <row r="191" spans="1:8" ht="12.75" customHeight="1" x14ac:dyDescent="0.3">
      <c r="A191" s="239"/>
      <c r="B191" s="239"/>
      <c r="C191" s="237"/>
      <c r="D191" s="256" t="str">
        <f>IFERROR(IF(ISBLANK(C191),"",_xlfn.XLOOKUP(C191,'Awards &gt; 50000'!$H$13:$H$200,'Awards &gt; 50000'!$G$13:$G$200,"Not Found",0,1)),"Not Found")</f>
        <v/>
      </c>
      <c r="E191" s="256" t="str">
        <f>IFERROR(IF(ISBLANK(C191),"",VLOOKUP(C191,'Awards &gt; 50000'!$H$13:$I$200,2,FALSE)),"Not Found")</f>
        <v/>
      </c>
      <c r="F191" s="236"/>
      <c r="G191" s="236"/>
      <c r="H191" s="206"/>
    </row>
    <row r="192" spans="1:8" ht="12.75" customHeight="1" x14ac:dyDescent="0.3">
      <c r="A192" s="239"/>
      <c r="B192" s="239"/>
      <c r="C192" s="237"/>
      <c r="D192" s="256" t="str">
        <f>IFERROR(IF(ISBLANK(C192),"",_xlfn.XLOOKUP(C192,'Awards &gt; 50000'!$H$13:$H$200,'Awards &gt; 50000'!$G$13:$G$200,"Not Found",0,1)),"Not Found")</f>
        <v/>
      </c>
      <c r="E192" s="256" t="str">
        <f>IFERROR(IF(ISBLANK(C192),"",VLOOKUP(C192,'Awards &gt; 50000'!$H$13:$I$200,2,FALSE)),"Not Found")</f>
        <v/>
      </c>
      <c r="F192" s="236"/>
      <c r="G192" s="236"/>
      <c r="H192" s="206"/>
    </row>
    <row r="193" spans="1:8" ht="12.75" customHeight="1" x14ac:dyDescent="0.3">
      <c r="A193" s="239"/>
      <c r="B193" s="239"/>
      <c r="C193" s="237"/>
      <c r="D193" s="256" t="str">
        <f>IFERROR(IF(ISBLANK(C193),"",_xlfn.XLOOKUP(C193,'Awards &gt; 50000'!$H$13:$H$200,'Awards &gt; 50000'!$G$13:$G$200,"Not Found",0,1)),"Not Found")</f>
        <v/>
      </c>
      <c r="E193" s="256" t="str">
        <f>IFERROR(IF(ISBLANK(C193),"",VLOOKUP(C193,'Awards &gt; 50000'!$H$13:$I$200,2,FALSE)),"Not Found")</f>
        <v/>
      </c>
      <c r="F193" s="236"/>
      <c r="G193" s="236"/>
      <c r="H193" s="206"/>
    </row>
    <row r="194" spans="1:8" ht="12.75" customHeight="1" x14ac:dyDescent="0.3">
      <c r="A194" s="239"/>
      <c r="B194" s="239"/>
      <c r="C194" s="237"/>
      <c r="D194" s="256" t="str">
        <f>IFERROR(IF(ISBLANK(C194),"",_xlfn.XLOOKUP(C194,'Awards &gt; 50000'!$H$13:$H$200,'Awards &gt; 50000'!$G$13:$G$200,"Not Found",0,1)),"Not Found")</f>
        <v/>
      </c>
      <c r="E194" s="256" t="str">
        <f>IFERROR(IF(ISBLANK(C194),"",VLOOKUP(C194,'Awards &gt; 50000'!$H$13:$I$200,2,FALSE)),"Not Found")</f>
        <v/>
      </c>
      <c r="F194" s="236"/>
      <c r="G194" s="236"/>
      <c r="H194" s="206"/>
    </row>
    <row r="195" spans="1:8" ht="12.75" customHeight="1" x14ac:dyDescent="0.3">
      <c r="A195" s="239"/>
      <c r="B195" s="239"/>
      <c r="C195" s="237"/>
      <c r="D195" s="256" t="str">
        <f>IFERROR(IF(ISBLANK(C195),"",_xlfn.XLOOKUP(C195,'Awards &gt; 50000'!$H$13:$H$200,'Awards &gt; 50000'!$G$13:$G$200,"Not Found",0,1)),"Not Found")</f>
        <v/>
      </c>
      <c r="E195" s="256" t="str">
        <f>IFERROR(IF(ISBLANK(C195),"",VLOOKUP(C195,'Awards &gt; 50000'!$H$13:$I$200,2,FALSE)),"Not Found")</f>
        <v/>
      </c>
      <c r="F195" s="236"/>
      <c r="G195" s="236"/>
      <c r="H195" s="206"/>
    </row>
    <row r="196" spans="1:8" ht="12.75" customHeight="1" x14ac:dyDescent="0.3">
      <c r="A196" s="239"/>
      <c r="B196" s="239"/>
      <c r="C196" s="237"/>
      <c r="D196" s="256" t="str">
        <f>IFERROR(IF(ISBLANK(C196),"",_xlfn.XLOOKUP(C196,'Awards &gt; 50000'!$H$13:$H$200,'Awards &gt; 50000'!$G$13:$G$200,"Not Found",0,1)),"Not Found")</f>
        <v/>
      </c>
      <c r="E196" s="256" t="str">
        <f>IFERROR(IF(ISBLANK(C196),"",VLOOKUP(C196,'Awards &gt; 50000'!$H$13:$I$200,2,FALSE)),"Not Found")</f>
        <v/>
      </c>
      <c r="F196" s="236"/>
      <c r="G196" s="236"/>
      <c r="H196" s="206"/>
    </row>
    <row r="197" spans="1:8" ht="12.75" customHeight="1" x14ac:dyDescent="0.3">
      <c r="A197" s="239"/>
      <c r="B197" s="239"/>
      <c r="C197" s="237"/>
      <c r="D197" s="256" t="str">
        <f>IFERROR(IF(ISBLANK(C197),"",_xlfn.XLOOKUP(C197,'Awards &gt; 50000'!$H$13:$H$200,'Awards &gt; 50000'!$G$13:$G$200,"Not Found",0,1)),"Not Found")</f>
        <v/>
      </c>
      <c r="E197" s="256" t="str">
        <f>IFERROR(IF(ISBLANK(C197),"",VLOOKUP(C197,'Awards &gt; 50000'!$H$13:$I$200,2,FALSE)),"Not Found")</f>
        <v/>
      </c>
      <c r="F197" s="236"/>
      <c r="G197" s="236"/>
      <c r="H197" s="206"/>
    </row>
    <row r="198" spans="1:8" ht="12.75" customHeight="1" x14ac:dyDescent="0.3">
      <c r="A198" s="239"/>
      <c r="B198" s="239"/>
      <c r="C198" s="237"/>
      <c r="D198" s="256" t="str">
        <f>IFERROR(IF(ISBLANK(C198),"",_xlfn.XLOOKUP(C198,'Awards &gt; 50000'!$H$13:$H$200,'Awards &gt; 50000'!$G$13:$G$200,"Not Found",0,1)),"Not Found")</f>
        <v/>
      </c>
      <c r="E198" s="256" t="str">
        <f>IFERROR(IF(ISBLANK(C198),"",VLOOKUP(C198,'Awards &gt; 50000'!$H$13:$I$200,2,FALSE)),"Not Found")</f>
        <v/>
      </c>
      <c r="F198" s="236"/>
      <c r="G198" s="236"/>
      <c r="H198" s="206"/>
    </row>
    <row r="199" spans="1:8" ht="12.75" customHeight="1" x14ac:dyDescent="0.3">
      <c r="A199" s="239"/>
      <c r="B199" s="239"/>
      <c r="C199" s="237"/>
      <c r="D199" s="256" t="str">
        <f>IFERROR(IF(ISBLANK(C199),"",_xlfn.XLOOKUP(C199,'Awards &gt; 50000'!$H$13:$H$200,'Awards &gt; 50000'!$G$13:$G$200,"Not Found",0,1)),"Not Found")</f>
        <v/>
      </c>
      <c r="E199" s="256" t="str">
        <f>IFERROR(IF(ISBLANK(C199),"",VLOOKUP(C199,'Awards &gt; 50000'!$H$13:$I$200,2,FALSE)),"Not Found")</f>
        <v/>
      </c>
      <c r="F199" s="236"/>
      <c r="G199" s="236"/>
      <c r="H199" s="206"/>
    </row>
    <row r="200" spans="1:8" ht="12.75" customHeight="1" x14ac:dyDescent="0.3">
      <c r="A200" s="239"/>
      <c r="B200" s="239"/>
      <c r="C200" s="237"/>
      <c r="D200" s="256" t="str">
        <f>IFERROR(IF(ISBLANK(C200),"",_xlfn.XLOOKUP(C200,'Awards &gt; 50000'!$H$13:$H$200,'Awards &gt; 50000'!$G$13:$G$200,"Not Found",0,1)),"Not Found")</f>
        <v/>
      </c>
      <c r="E200" s="256" t="str">
        <f>IFERROR(IF(ISBLANK(C200),"",VLOOKUP(C200,'Awards &gt; 50000'!$H$13:$I$200,2,FALSE)),"Not Found")</f>
        <v/>
      </c>
      <c r="F200" s="236"/>
      <c r="G200" s="236"/>
      <c r="H200" s="206"/>
    </row>
  </sheetData>
  <sheetProtection algorithmName="SHA-512" hashValue="Jsynl8LzZX1X084ZU94Vi7jfxxUXSkCewD6ZkdgAsYj0K1aLby8WL8Jsgp90rJBk5xYi7ymk20uhvN1GC2Fpag==" saltValue="iPsbUsHRir0cEP1UGwnrZA==" spinCount="100000" sheet="1" objects="1" scenarios="1" formatCells="0" formatRows="0"/>
  <dataConsolidate/>
  <conditionalFormatting sqref="D13:E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200" xr:uid="{3EC81DE7-A9BF-475D-BB3D-9A438367F6DD}"/>
    <dataValidation type="textLength" operator="lessThanOrEqual" allowBlank="1" showInputMessage="1" showErrorMessage="1" errorTitle="Max Length Exceed" error="Value cannot exceed 20 characters." sqref="C13:D200" xr:uid="{41FFF029-DEE3-4672-8609-6B282FF35E72}">
      <formula1>20</formula1>
    </dataValidation>
    <dataValidation type="date" operator="lessThan" allowBlank="1" showInputMessage="1" showErrorMessage="1" errorTitle="Date Format" error="Please check the format of the date you entered." sqref="F13:G200" xr:uid="{DF9DA218-FAD9-4058-B648-9915ECCD141A}">
      <formula1>46753</formula1>
    </dataValidation>
    <dataValidation type="decimal" operator="lessThanOrEqual" allowBlank="1" showInputMessage="1" showErrorMessage="1" errorTitle="Maximum Exceeded" error="Value cannot exceed 999,999,999,999.99" sqref="H13:H200" xr:uid="{2EBAAB4F-33DC-4C60-A5AA-422E59C922BC}">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159" hidden="1" customWidth="1"/>
    <col min="2" max="2" width="6.453125" style="159" hidden="1" customWidth="1"/>
    <col min="3" max="3" width="23.6328125" style="164" customWidth="1"/>
    <col min="4" max="4" width="23.632812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690</v>
      </c>
      <c r="D1" s="67"/>
      <c r="E1" s="67" t="s">
        <v>687</v>
      </c>
      <c r="F1" s="67" t="s">
        <v>689</v>
      </c>
    </row>
    <row r="2" spans="1:6" ht="27" hidden="1" customHeight="1" x14ac:dyDescent="0.25">
      <c r="A2" s="61" t="s">
        <v>345</v>
      </c>
      <c r="B2" s="75"/>
      <c r="C2" s="80" t="s">
        <v>594</v>
      </c>
      <c r="D2" s="67" t="s">
        <v>594</v>
      </c>
      <c r="E2" s="67" t="s">
        <v>594</v>
      </c>
      <c r="F2" s="67" t="s">
        <v>594</v>
      </c>
    </row>
    <row r="3" spans="1:6" ht="27" hidden="1" customHeight="1" x14ac:dyDescent="0.25">
      <c r="A3" s="61" t="s">
        <v>133</v>
      </c>
      <c r="B3" s="75"/>
      <c r="C3" s="80" t="s">
        <v>109</v>
      </c>
      <c r="D3" s="67" t="s">
        <v>691</v>
      </c>
      <c r="E3" s="67" t="s">
        <v>686</v>
      </c>
      <c r="F3" s="67" t="s">
        <v>688</v>
      </c>
    </row>
    <row r="4" spans="1:6" ht="27" hidden="1" customHeight="1" x14ac:dyDescent="0.25">
      <c r="A4" s="61" t="s">
        <v>132</v>
      </c>
      <c r="B4" s="75"/>
      <c r="C4" s="81" t="s">
        <v>119</v>
      </c>
      <c r="D4" s="82" t="s">
        <v>119</v>
      </c>
      <c r="E4" s="74" t="s">
        <v>119</v>
      </c>
      <c r="F4" s="74" t="s">
        <v>119</v>
      </c>
    </row>
    <row r="5" spans="1:6" ht="27" hidden="1" customHeight="1" x14ac:dyDescent="0.25">
      <c r="A5" s="61" t="s">
        <v>346</v>
      </c>
      <c r="B5" s="75"/>
      <c r="C5" s="83" t="s">
        <v>601</v>
      </c>
      <c r="D5" s="67" t="s">
        <v>602</v>
      </c>
      <c r="E5" s="67" t="s">
        <v>603</v>
      </c>
      <c r="F5" s="67" t="s">
        <v>604</v>
      </c>
    </row>
    <row r="6" spans="1:6" ht="27" hidden="1" customHeight="1" x14ac:dyDescent="0.25">
      <c r="A6" s="61" t="s">
        <v>136</v>
      </c>
      <c r="B6" s="75"/>
      <c r="C6" s="81" t="s">
        <v>105</v>
      </c>
      <c r="D6" s="84" t="s">
        <v>243</v>
      </c>
      <c r="E6" s="74" t="s">
        <v>105</v>
      </c>
      <c r="F6" s="74" t="s">
        <v>105</v>
      </c>
    </row>
    <row r="7" spans="1:6" ht="27" hidden="1" customHeight="1" x14ac:dyDescent="0.25">
      <c r="A7" s="61" t="s">
        <v>137</v>
      </c>
      <c r="B7" s="75"/>
      <c r="C7" s="81" t="s">
        <v>139</v>
      </c>
      <c r="D7" s="82" t="s">
        <v>141</v>
      </c>
      <c r="E7" s="74" t="s">
        <v>143</v>
      </c>
      <c r="F7" s="74" t="s">
        <v>143</v>
      </c>
    </row>
    <row r="8" spans="1:6" ht="27" hidden="1" customHeight="1" x14ac:dyDescent="0.25">
      <c r="A8" s="61" t="s">
        <v>138</v>
      </c>
      <c r="B8" s="75"/>
      <c r="C8" s="81">
        <v>20</v>
      </c>
      <c r="D8" s="85" t="s">
        <v>105</v>
      </c>
      <c r="E8" s="74" t="s">
        <v>244</v>
      </c>
      <c r="F8" s="74" t="s">
        <v>244</v>
      </c>
    </row>
    <row r="9" spans="1:6" ht="27" hidden="1" customHeight="1" x14ac:dyDescent="0.25">
      <c r="A9" s="61" t="s">
        <v>347</v>
      </c>
      <c r="B9" s="75"/>
      <c r="C9" s="83"/>
      <c r="D9" s="74"/>
      <c r="E9" s="74"/>
      <c r="F9" s="74"/>
    </row>
    <row r="10" spans="1:6" ht="35.15" hidden="1" customHeight="1" x14ac:dyDescent="0.25">
      <c r="A10" s="38" t="s">
        <v>703</v>
      </c>
      <c r="B10" s="43"/>
      <c r="C10" s="76" t="s">
        <v>737</v>
      </c>
      <c r="D10" s="78" t="s">
        <v>740</v>
      </c>
      <c r="E10" s="78" t="s">
        <v>738</v>
      </c>
      <c r="F10" s="78" t="s">
        <v>739</v>
      </c>
    </row>
    <row r="11" spans="1:6" ht="14" x14ac:dyDescent="0.25">
      <c r="A11" s="54"/>
      <c r="B11" s="54"/>
      <c r="C11" s="34">
        <f>Cover!$C$2</f>
        <v>0</v>
      </c>
      <c r="D11" s="53"/>
      <c r="E11" s="53"/>
      <c r="F11" s="53"/>
    </row>
    <row r="12" spans="1:6" ht="39" x14ac:dyDescent="0.3">
      <c r="A12" s="6" t="s">
        <v>134</v>
      </c>
      <c r="B12" s="6"/>
      <c r="C12" s="185" t="s">
        <v>122</v>
      </c>
      <c r="D12" s="186" t="s">
        <v>282</v>
      </c>
      <c r="E12" s="186" t="s">
        <v>60</v>
      </c>
      <c r="F12" s="186" t="s">
        <v>65</v>
      </c>
    </row>
    <row r="13" spans="1:6" ht="12.75" customHeight="1" x14ac:dyDescent="0.25">
      <c r="A13" s="178" t="s">
        <v>135</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wdbxqtEk+ghaBGOcNsdOzG8SP52nm7tGt+RFZ7tHxzO1rK6TjL8a3QL+4S7UYrC4UnkJxm1FUab0Qxtk4cyxHA==" saltValue="bQX6gvBLcPEQvQXg67A9bA==" spinCount="100000" sheet="1" objects="1" scenarios="1" formatCells="0" formatRows="0"/>
  <dataConsolidate/>
  <conditionalFormatting sqref="C4:D4 C6:D8">
    <cfRule type="containsBlanks" dxfId="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H5" sqref="H5"/>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66</v>
      </c>
      <c r="B1" s="242" t="s">
        <v>67</v>
      </c>
      <c r="C1" s="241" t="s">
        <v>67</v>
      </c>
      <c r="D1" s="241" t="s">
        <v>67</v>
      </c>
      <c r="E1" s="241" t="s">
        <v>68</v>
      </c>
      <c r="F1" s="241" t="s">
        <v>68</v>
      </c>
      <c r="G1" s="241" t="s">
        <v>68</v>
      </c>
      <c r="H1" s="241" t="s">
        <v>68</v>
      </c>
      <c r="I1" s="241" t="s">
        <v>263</v>
      </c>
      <c r="J1" s="241" t="s">
        <v>69</v>
      </c>
      <c r="K1" s="241" t="s">
        <v>68</v>
      </c>
      <c r="L1" s="241" t="s">
        <v>325</v>
      </c>
      <c r="M1" s="241" t="s">
        <v>509</v>
      </c>
      <c r="N1" s="241" t="s">
        <v>68</v>
      </c>
      <c r="O1" s="241" t="s">
        <v>620</v>
      </c>
      <c r="P1" s="241" t="s">
        <v>263</v>
      </c>
      <c r="Q1" s="35"/>
      <c r="R1" s="35"/>
      <c r="S1" s="35"/>
      <c r="T1" s="35"/>
      <c r="U1" s="35"/>
      <c r="V1" s="35"/>
      <c r="W1" s="35"/>
      <c r="X1" s="35"/>
    </row>
    <row r="2" spans="1:24" ht="15" customHeight="1" x14ac:dyDescent="0.3">
      <c r="A2" s="243" t="s">
        <v>70</v>
      </c>
      <c r="B2" s="244" t="s">
        <v>4</v>
      </c>
      <c r="C2" s="243" t="s">
        <v>295</v>
      </c>
      <c r="D2" s="243" t="s">
        <v>101</v>
      </c>
      <c r="E2" s="245" t="s">
        <v>12</v>
      </c>
      <c r="F2" s="245" t="s">
        <v>71</v>
      </c>
      <c r="G2" s="245" t="s">
        <v>289</v>
      </c>
      <c r="H2" s="245" t="s">
        <v>294</v>
      </c>
      <c r="I2" s="245" t="s">
        <v>264</v>
      </c>
      <c r="J2" s="245" t="s">
        <v>64</v>
      </c>
      <c r="K2" s="245" t="s">
        <v>168</v>
      </c>
      <c r="L2" s="240" t="s">
        <v>250</v>
      </c>
      <c r="M2" s="240" t="s">
        <v>510</v>
      </c>
      <c r="N2" s="243" t="s">
        <v>520</v>
      </c>
      <c r="O2" s="243" t="s">
        <v>620</v>
      </c>
      <c r="P2" s="243" t="s">
        <v>769</v>
      </c>
      <c r="Q2" s="35"/>
      <c r="R2" s="35"/>
      <c r="S2" s="35"/>
      <c r="T2" s="35"/>
      <c r="U2" s="35"/>
      <c r="V2" s="35"/>
      <c r="W2" s="35"/>
      <c r="X2" s="35"/>
    </row>
    <row r="3" spans="1:24" ht="15" customHeight="1" x14ac:dyDescent="0.3">
      <c r="A3" s="241" t="s">
        <v>72</v>
      </c>
      <c r="B3" s="246" t="s">
        <v>967</v>
      </c>
      <c r="C3" s="247" t="s">
        <v>391</v>
      </c>
      <c r="D3" s="247" t="s">
        <v>391</v>
      </c>
      <c r="E3" s="248" t="s">
        <v>51</v>
      </c>
      <c r="F3" s="248" t="s">
        <v>15</v>
      </c>
      <c r="G3" s="248" t="s">
        <v>73</v>
      </c>
      <c r="H3" s="248" t="s">
        <v>74</v>
      </c>
      <c r="I3" s="248" t="s">
        <v>265</v>
      </c>
      <c r="J3" s="248" t="s">
        <v>284</v>
      </c>
      <c r="K3" s="248" t="s">
        <v>887</v>
      </c>
      <c r="L3" s="248" t="s">
        <v>326</v>
      </c>
      <c r="M3" s="249" t="s">
        <v>481</v>
      </c>
      <c r="N3" s="249" t="s">
        <v>526</v>
      </c>
      <c r="O3" s="250" t="s">
        <v>348</v>
      </c>
      <c r="P3" s="249" t="s">
        <v>770</v>
      </c>
    </row>
    <row r="4" spans="1:24" ht="15" customHeight="1" x14ac:dyDescent="0.25">
      <c r="A4" s="249"/>
      <c r="B4" s="251"/>
      <c r="C4" s="248"/>
      <c r="D4" s="4"/>
      <c r="E4" s="248" t="s">
        <v>75</v>
      </c>
      <c r="F4" s="248" t="s">
        <v>76</v>
      </c>
      <c r="G4" s="248" t="s">
        <v>291</v>
      </c>
      <c r="H4" s="248" t="s">
        <v>77</v>
      </c>
      <c r="I4" s="248" t="s">
        <v>266</v>
      </c>
      <c r="J4" s="248" t="s">
        <v>285</v>
      </c>
      <c r="K4" s="248" t="s">
        <v>888</v>
      </c>
      <c r="L4" s="248" t="s">
        <v>327</v>
      </c>
      <c r="M4" s="249" t="s">
        <v>482</v>
      </c>
      <c r="N4" s="249" t="s">
        <v>527</v>
      </c>
      <c r="O4" s="250" t="s">
        <v>912</v>
      </c>
      <c r="P4" s="249" t="s">
        <v>771</v>
      </c>
    </row>
    <row r="5" spans="1:24" ht="15" customHeight="1" x14ac:dyDescent="0.25">
      <c r="A5" s="249"/>
      <c r="B5" s="251"/>
      <c r="C5" s="248"/>
      <c r="D5" s="3"/>
      <c r="E5" s="248" t="s">
        <v>79</v>
      </c>
      <c r="F5" s="248" t="s">
        <v>80</v>
      </c>
      <c r="G5" s="248" t="s">
        <v>78</v>
      </c>
      <c r="H5" s="248" t="s">
        <v>105</v>
      </c>
      <c r="I5" s="248" t="s">
        <v>267</v>
      </c>
      <c r="J5" s="248" t="s">
        <v>286</v>
      </c>
      <c r="K5" s="248" t="s">
        <v>889</v>
      </c>
      <c r="L5" s="248" t="s">
        <v>328</v>
      </c>
      <c r="M5" s="249" t="s">
        <v>483</v>
      </c>
      <c r="N5" s="249" t="s">
        <v>805</v>
      </c>
      <c r="O5" s="250" t="s">
        <v>913</v>
      </c>
      <c r="P5" s="249" t="s">
        <v>772</v>
      </c>
    </row>
    <row r="6" spans="1:24" ht="15" customHeight="1" x14ac:dyDescent="0.25">
      <c r="A6" s="249"/>
      <c r="B6" s="251"/>
      <c r="C6" s="248"/>
      <c r="D6" s="3"/>
      <c r="E6" s="248" t="s">
        <v>48</v>
      </c>
      <c r="F6" s="249"/>
      <c r="G6" s="248" t="s">
        <v>292</v>
      </c>
      <c r="H6" s="249"/>
      <c r="I6" s="248" t="s">
        <v>268</v>
      </c>
      <c r="J6" s="248" t="s">
        <v>287</v>
      </c>
      <c r="K6" s="248" t="s">
        <v>890</v>
      </c>
      <c r="L6" s="248" t="s">
        <v>329</v>
      </c>
      <c r="M6" s="249" t="s">
        <v>484</v>
      </c>
      <c r="N6" s="249" t="s">
        <v>528</v>
      </c>
      <c r="O6" s="249"/>
      <c r="P6" s="249" t="s">
        <v>85</v>
      </c>
    </row>
    <row r="7" spans="1:24" ht="15" customHeight="1" x14ac:dyDescent="0.25">
      <c r="A7" s="249"/>
      <c r="B7" s="251"/>
      <c r="C7" s="248"/>
      <c r="D7" s="3"/>
      <c r="E7" s="248" t="s">
        <v>37</v>
      </c>
      <c r="F7" s="249"/>
      <c r="G7" s="249" t="s">
        <v>807</v>
      </c>
      <c r="H7" s="249"/>
      <c r="I7" s="248" t="s">
        <v>269</v>
      </c>
      <c r="J7" s="248" t="s">
        <v>288</v>
      </c>
      <c r="K7" s="248" t="s">
        <v>891</v>
      </c>
      <c r="L7" s="248"/>
      <c r="M7" s="249" t="s">
        <v>485</v>
      </c>
      <c r="N7" s="249" t="s">
        <v>927</v>
      </c>
      <c r="O7" s="249"/>
      <c r="P7" s="249"/>
    </row>
    <row r="8" spans="1:24" ht="15" customHeight="1" x14ac:dyDescent="0.25">
      <c r="A8" s="249"/>
      <c r="B8" s="251"/>
      <c r="C8" s="248"/>
      <c r="D8" s="3"/>
      <c r="E8" s="248" t="s">
        <v>24</v>
      </c>
      <c r="F8" s="248"/>
      <c r="G8" s="248"/>
      <c r="H8" s="248"/>
      <c r="I8" s="248" t="s">
        <v>270</v>
      </c>
      <c r="J8" s="248" t="s">
        <v>283</v>
      </c>
      <c r="K8" s="248" t="s">
        <v>892</v>
      </c>
      <c r="L8" s="248"/>
      <c r="M8" s="249" t="s">
        <v>486</v>
      </c>
      <c r="N8" s="249" t="s">
        <v>926</v>
      </c>
      <c r="O8" s="249"/>
      <c r="P8" s="249"/>
    </row>
    <row r="9" spans="1:24" ht="15" customHeight="1" x14ac:dyDescent="0.25">
      <c r="A9" s="249"/>
      <c r="B9" s="251"/>
      <c r="C9" s="248"/>
      <c r="D9" s="3"/>
      <c r="E9" s="248" t="s">
        <v>33</v>
      </c>
      <c r="F9" s="249"/>
      <c r="G9" s="249"/>
      <c r="H9" s="249"/>
      <c r="I9" s="248" t="s">
        <v>271</v>
      </c>
      <c r="J9" s="249"/>
      <c r="K9" s="248" t="s">
        <v>893</v>
      </c>
      <c r="L9" s="248"/>
      <c r="M9" s="249" t="s">
        <v>487</v>
      </c>
      <c r="N9" s="249" t="s">
        <v>529</v>
      </c>
      <c r="O9" s="249"/>
      <c r="P9" s="249"/>
    </row>
    <row r="10" spans="1:24" ht="15" customHeight="1" x14ac:dyDescent="0.25">
      <c r="A10" s="249"/>
      <c r="B10" s="251"/>
      <c r="C10" s="248"/>
      <c r="D10" s="3"/>
      <c r="E10" s="248" t="s">
        <v>19</v>
      </c>
      <c r="F10" s="249"/>
      <c r="G10" s="249"/>
      <c r="H10" s="249"/>
      <c r="I10" s="248" t="s">
        <v>272</v>
      </c>
      <c r="J10" s="249"/>
      <c r="K10" s="248" t="s">
        <v>894</v>
      </c>
      <c r="L10" s="248"/>
      <c r="M10" s="249" t="s">
        <v>488</v>
      </c>
      <c r="N10" s="249" t="s">
        <v>530</v>
      </c>
      <c r="O10" s="249"/>
      <c r="P10" s="249"/>
    </row>
    <row r="11" spans="1:24" ht="15" customHeight="1" x14ac:dyDescent="0.25">
      <c r="A11" s="249"/>
      <c r="B11" s="251"/>
      <c r="C11" s="248"/>
      <c r="D11" s="3"/>
      <c r="E11" s="248" t="s">
        <v>81</v>
      </c>
      <c r="F11" s="249"/>
      <c r="G11" s="249"/>
      <c r="H11" s="249"/>
      <c r="I11" s="248" t="s">
        <v>273</v>
      </c>
      <c r="J11" s="249"/>
      <c r="K11" s="248" t="s">
        <v>895</v>
      </c>
      <c r="L11" s="248"/>
      <c r="M11" s="249" t="s">
        <v>489</v>
      </c>
      <c r="N11" s="249" t="s">
        <v>531</v>
      </c>
      <c r="O11" s="249"/>
      <c r="P11" s="249"/>
    </row>
    <row r="12" spans="1:24" ht="15" customHeight="1" x14ac:dyDescent="0.25">
      <c r="A12" s="249"/>
      <c r="B12" s="251"/>
      <c r="C12" s="248"/>
      <c r="D12" s="3"/>
      <c r="E12" s="248" t="s">
        <v>34</v>
      </c>
      <c r="F12" s="249"/>
      <c r="G12" s="249"/>
      <c r="H12" s="249"/>
      <c r="I12" s="248" t="s">
        <v>274</v>
      </c>
      <c r="J12" s="249"/>
      <c r="K12" s="248" t="s">
        <v>896</v>
      </c>
      <c r="L12" s="248"/>
      <c r="M12" s="249" t="s">
        <v>490</v>
      </c>
      <c r="N12" s="249" t="s">
        <v>532</v>
      </c>
      <c r="O12" s="249"/>
      <c r="P12" s="249"/>
    </row>
    <row r="13" spans="1:24" ht="15" customHeight="1" x14ac:dyDescent="0.25">
      <c r="A13" s="249"/>
      <c r="B13" s="251"/>
      <c r="C13" s="248"/>
      <c r="D13" s="3"/>
      <c r="E13" s="248" t="s">
        <v>82</v>
      </c>
      <c r="F13" s="249"/>
      <c r="G13" s="249"/>
      <c r="H13" s="249"/>
      <c r="I13" s="248" t="s">
        <v>275</v>
      </c>
      <c r="J13" s="249"/>
      <c r="K13" s="248" t="s">
        <v>897</v>
      </c>
      <c r="L13" s="248"/>
      <c r="M13" s="249" t="s">
        <v>491</v>
      </c>
      <c r="N13" s="249" t="s">
        <v>533</v>
      </c>
      <c r="O13" s="249"/>
      <c r="P13" s="249"/>
    </row>
    <row r="14" spans="1:24" ht="15" customHeight="1" x14ac:dyDescent="0.25">
      <c r="A14" s="249"/>
      <c r="B14" s="251"/>
      <c r="C14" s="248"/>
      <c r="D14" s="3"/>
      <c r="E14" s="248" t="s">
        <v>20</v>
      </c>
      <c r="F14" s="249"/>
      <c r="G14" s="249"/>
      <c r="H14" s="249"/>
      <c r="I14" s="248" t="s">
        <v>276</v>
      </c>
      <c r="J14" s="249"/>
      <c r="K14" s="248" t="s">
        <v>898</v>
      </c>
      <c r="L14" s="248"/>
      <c r="M14" s="249" t="s">
        <v>492</v>
      </c>
      <c r="N14" s="249" t="s">
        <v>534</v>
      </c>
      <c r="O14" s="249"/>
      <c r="P14" s="249"/>
    </row>
    <row r="15" spans="1:24" ht="15" customHeight="1" x14ac:dyDescent="0.25">
      <c r="A15" s="249"/>
      <c r="B15" s="251"/>
      <c r="C15" s="248"/>
      <c r="D15" s="3"/>
      <c r="E15" s="248" t="s">
        <v>6</v>
      </c>
      <c r="F15" s="249"/>
      <c r="G15" s="249"/>
      <c r="H15" s="249"/>
      <c r="I15" s="248" t="s">
        <v>277</v>
      </c>
      <c r="J15" s="249"/>
      <c r="K15" s="248" t="s">
        <v>899</v>
      </c>
      <c r="L15" s="248"/>
      <c r="M15" s="249" t="s">
        <v>493</v>
      </c>
      <c r="N15" s="249" t="s">
        <v>535</v>
      </c>
      <c r="O15" s="249"/>
      <c r="P15" s="249"/>
    </row>
    <row r="16" spans="1:24" ht="15" customHeight="1" x14ac:dyDescent="0.25">
      <c r="A16" s="249"/>
      <c r="B16" s="251"/>
      <c r="C16" s="248"/>
      <c r="D16" s="3"/>
      <c r="E16" s="248" t="s">
        <v>83</v>
      </c>
      <c r="F16" s="249"/>
      <c r="G16" s="249"/>
      <c r="H16" s="249"/>
      <c r="I16" s="248"/>
      <c r="J16" s="249"/>
      <c r="K16" s="248" t="s">
        <v>900</v>
      </c>
      <c r="L16" s="248"/>
      <c r="M16" s="249" t="s">
        <v>494</v>
      </c>
      <c r="N16" s="249" t="s">
        <v>536</v>
      </c>
      <c r="O16" s="249"/>
      <c r="P16" s="249"/>
    </row>
    <row r="17" spans="1:16" ht="15" customHeight="1" x14ac:dyDescent="0.25">
      <c r="A17" s="249"/>
      <c r="B17" s="251"/>
      <c r="C17" s="248"/>
      <c r="D17" s="3"/>
      <c r="E17" s="248" t="s">
        <v>84</v>
      </c>
      <c r="F17" s="249"/>
      <c r="G17" s="249"/>
      <c r="H17" s="249"/>
      <c r="I17" s="248"/>
      <c r="J17" s="249"/>
      <c r="K17" s="248" t="s">
        <v>901</v>
      </c>
      <c r="L17" s="248"/>
      <c r="M17" s="249" t="s">
        <v>495</v>
      </c>
      <c r="N17" s="249" t="s">
        <v>537</v>
      </c>
      <c r="O17" s="249"/>
      <c r="P17" s="249"/>
    </row>
    <row r="18" spans="1:16" ht="15" customHeight="1" x14ac:dyDescent="0.25">
      <c r="A18" s="249"/>
      <c r="B18" s="251"/>
      <c r="C18" s="248"/>
      <c r="D18" s="3"/>
      <c r="E18" s="248" t="s">
        <v>30</v>
      </c>
      <c r="F18" s="249"/>
      <c r="G18" s="249"/>
      <c r="H18" s="249"/>
      <c r="I18" s="248"/>
      <c r="J18" s="249"/>
      <c r="K18" s="248" t="s">
        <v>902</v>
      </c>
      <c r="L18" s="248"/>
      <c r="M18" s="249" t="s">
        <v>496</v>
      </c>
      <c r="N18" s="249" t="s">
        <v>925</v>
      </c>
      <c r="O18" s="249"/>
      <c r="P18" s="249"/>
    </row>
    <row r="19" spans="1:16" ht="15" customHeight="1" x14ac:dyDescent="0.25">
      <c r="A19" s="249"/>
      <c r="B19" s="251"/>
      <c r="C19" s="248"/>
      <c r="D19" s="3"/>
      <c r="E19" s="248" t="s">
        <v>18</v>
      </c>
      <c r="F19" s="249"/>
      <c r="G19" s="249"/>
      <c r="H19" s="249"/>
      <c r="I19" s="248"/>
      <c r="J19" s="249"/>
      <c r="K19" s="248" t="s">
        <v>903</v>
      </c>
      <c r="L19" s="248"/>
      <c r="M19" s="249" t="s">
        <v>497</v>
      </c>
      <c r="N19" s="249" t="s">
        <v>538</v>
      </c>
      <c r="O19" s="249"/>
      <c r="P19" s="249"/>
    </row>
    <row r="20" spans="1:16" ht="15" customHeight="1" x14ac:dyDescent="0.25">
      <c r="A20" s="249"/>
      <c r="B20" s="251"/>
      <c r="C20" s="248"/>
      <c r="D20" s="3"/>
      <c r="E20" s="248" t="s">
        <v>43</v>
      </c>
      <c r="F20" s="249"/>
      <c r="G20" s="249"/>
      <c r="H20" s="249"/>
      <c r="I20" s="248"/>
      <c r="J20" s="249"/>
      <c r="K20" s="248" t="s">
        <v>904</v>
      </c>
      <c r="L20" s="248"/>
      <c r="M20" s="249" t="s">
        <v>498</v>
      </c>
      <c r="N20" s="249" t="s">
        <v>539</v>
      </c>
      <c r="O20" s="249"/>
      <c r="P20" s="249"/>
    </row>
    <row r="21" spans="1:16" ht="15" customHeight="1" x14ac:dyDescent="0.25">
      <c r="A21" s="249"/>
      <c r="B21" s="251"/>
      <c r="C21" s="248"/>
      <c r="D21" s="3"/>
      <c r="E21" s="248" t="s">
        <v>45</v>
      </c>
      <c r="F21" s="249"/>
      <c r="G21" s="249"/>
      <c r="H21" s="249"/>
      <c r="I21" s="248"/>
      <c r="J21" s="249"/>
      <c r="K21" s="248" t="s">
        <v>905</v>
      </c>
      <c r="L21" s="248"/>
      <c r="M21" s="249" t="s">
        <v>499</v>
      </c>
      <c r="N21" s="249" t="s">
        <v>540</v>
      </c>
      <c r="O21" s="249"/>
      <c r="P21" s="249"/>
    </row>
    <row r="22" spans="1:16" ht="15" customHeight="1" x14ac:dyDescent="0.25">
      <c r="A22" s="249"/>
      <c r="B22" s="252"/>
      <c r="C22" s="249"/>
      <c r="D22" s="3"/>
      <c r="E22" s="248" t="s">
        <v>86</v>
      </c>
      <c r="F22" s="249"/>
      <c r="G22" s="249"/>
      <c r="H22" s="249"/>
      <c r="I22" s="249"/>
      <c r="J22" s="249"/>
      <c r="K22" s="248" t="s">
        <v>906</v>
      </c>
      <c r="L22" s="248"/>
      <c r="M22" s="249" t="s">
        <v>500</v>
      </c>
      <c r="N22" s="249" t="s">
        <v>541</v>
      </c>
      <c r="O22" s="249"/>
      <c r="P22" s="249"/>
    </row>
    <row r="23" spans="1:16" ht="15" customHeight="1" x14ac:dyDescent="0.25">
      <c r="A23" s="249"/>
      <c r="B23" s="246"/>
      <c r="C23" s="247"/>
      <c r="D23" s="3"/>
      <c r="E23" s="248" t="s">
        <v>27</v>
      </c>
      <c r="F23" s="249"/>
      <c r="G23" s="249"/>
      <c r="H23" s="249"/>
      <c r="I23" s="249"/>
      <c r="J23" s="249"/>
      <c r="K23" s="248" t="s">
        <v>907</v>
      </c>
      <c r="L23" s="248"/>
      <c r="M23" s="249" t="s">
        <v>501</v>
      </c>
      <c r="N23" s="249" t="s">
        <v>542</v>
      </c>
      <c r="O23" s="249"/>
      <c r="P23" s="249"/>
    </row>
    <row r="24" spans="1:16" ht="15" customHeight="1" x14ac:dyDescent="0.25">
      <c r="A24" s="249"/>
      <c r="B24" s="246"/>
      <c r="C24" s="247"/>
      <c r="D24" s="3"/>
      <c r="E24" s="248" t="s">
        <v>87</v>
      </c>
      <c r="F24" s="249"/>
      <c r="G24" s="249"/>
      <c r="H24" s="249"/>
      <c r="I24" s="249"/>
      <c r="J24" s="249"/>
      <c r="K24" s="248" t="s">
        <v>908</v>
      </c>
      <c r="L24" s="248"/>
      <c r="M24" s="249" t="s">
        <v>502</v>
      </c>
      <c r="N24" s="249" t="s">
        <v>543</v>
      </c>
      <c r="O24" s="249"/>
      <c r="P24" s="249"/>
    </row>
    <row r="25" spans="1:16" ht="15" customHeight="1" x14ac:dyDescent="0.25">
      <c r="A25" s="249"/>
      <c r="B25" s="246"/>
      <c r="C25" s="247"/>
      <c r="D25" s="3"/>
      <c r="E25" s="248" t="s">
        <v>44</v>
      </c>
      <c r="F25" s="249"/>
      <c r="G25" s="249"/>
      <c r="H25" s="249"/>
      <c r="I25" s="249"/>
      <c r="J25" s="249"/>
      <c r="K25" s="248" t="s">
        <v>909</v>
      </c>
      <c r="L25" s="248"/>
      <c r="M25" s="249" t="s">
        <v>503</v>
      </c>
      <c r="N25" s="249" t="s">
        <v>544</v>
      </c>
      <c r="O25" s="249"/>
      <c r="P25" s="249"/>
    </row>
    <row r="26" spans="1:16" ht="15" customHeight="1" x14ac:dyDescent="0.25">
      <c r="A26" s="249"/>
      <c r="B26" s="246"/>
      <c r="C26" s="247"/>
      <c r="D26" s="3"/>
      <c r="E26" s="248" t="s">
        <v>88</v>
      </c>
      <c r="F26" s="249"/>
      <c r="G26" s="249"/>
      <c r="H26" s="249"/>
      <c r="I26" s="249"/>
      <c r="J26" s="249"/>
      <c r="K26" s="248" t="s">
        <v>910</v>
      </c>
      <c r="L26" s="248"/>
      <c r="M26" s="249" t="s">
        <v>504</v>
      </c>
      <c r="N26" s="249" t="s">
        <v>545</v>
      </c>
      <c r="O26" s="249"/>
      <c r="P26" s="249"/>
    </row>
    <row r="27" spans="1:16" ht="15" customHeight="1" x14ac:dyDescent="0.25">
      <c r="A27" s="249"/>
      <c r="B27" s="246"/>
      <c r="C27" s="247"/>
      <c r="D27" s="3"/>
      <c r="E27" s="248" t="s">
        <v>31</v>
      </c>
      <c r="F27" s="249"/>
      <c r="G27" s="249"/>
      <c r="H27" s="249"/>
      <c r="I27" s="249"/>
      <c r="J27" s="249"/>
      <c r="K27" s="248" t="s">
        <v>911</v>
      </c>
      <c r="L27" s="248"/>
      <c r="M27" s="249" t="s">
        <v>505</v>
      </c>
      <c r="N27" s="249" t="s">
        <v>546</v>
      </c>
      <c r="O27" s="249"/>
      <c r="P27" s="249"/>
    </row>
    <row r="28" spans="1:16" ht="15" customHeight="1" x14ac:dyDescent="0.25">
      <c r="A28" s="249"/>
      <c r="B28" s="252"/>
      <c r="C28" s="249"/>
      <c r="D28" s="3"/>
      <c r="E28" s="248" t="s">
        <v>16</v>
      </c>
      <c r="F28" s="249"/>
      <c r="G28" s="249"/>
      <c r="H28" s="249"/>
      <c r="I28" s="249"/>
      <c r="J28" s="249"/>
      <c r="K28" s="248" t="s">
        <v>85</v>
      </c>
      <c r="L28" s="249"/>
      <c r="M28" s="249" t="s">
        <v>506</v>
      </c>
      <c r="N28" s="249" t="s">
        <v>547</v>
      </c>
      <c r="O28" s="249"/>
      <c r="P28" s="249"/>
    </row>
    <row r="29" spans="1:16" ht="15" customHeight="1" x14ac:dyDescent="0.25">
      <c r="A29" s="249"/>
      <c r="B29" s="252"/>
      <c r="C29" s="249"/>
      <c r="D29" s="3"/>
      <c r="E29" s="248" t="s">
        <v>22</v>
      </c>
      <c r="F29" s="249"/>
      <c r="G29" s="249"/>
      <c r="H29" s="249"/>
      <c r="I29" s="249"/>
      <c r="J29" s="249"/>
      <c r="K29" s="249"/>
      <c r="L29" s="249"/>
      <c r="M29" s="249" t="s">
        <v>507</v>
      </c>
      <c r="N29" s="249"/>
      <c r="O29" s="249"/>
      <c r="P29" s="249"/>
    </row>
    <row r="30" spans="1:16" ht="15" customHeight="1" x14ac:dyDescent="0.25">
      <c r="A30" s="249"/>
      <c r="B30" s="252"/>
      <c r="C30" s="249"/>
      <c r="D30" s="3"/>
      <c r="E30" s="248" t="s">
        <v>39</v>
      </c>
      <c r="F30" s="249"/>
      <c r="G30" s="249"/>
      <c r="H30" s="249"/>
      <c r="I30" s="249"/>
      <c r="J30" s="249"/>
      <c r="K30" s="249"/>
      <c r="L30" s="249"/>
      <c r="M30" s="249" t="s">
        <v>508</v>
      </c>
      <c r="N30" s="249"/>
      <c r="O30" s="249"/>
      <c r="P30" s="249"/>
    </row>
    <row r="31" spans="1:16" ht="15" customHeight="1" x14ac:dyDescent="0.25">
      <c r="A31" s="249"/>
      <c r="B31" s="252"/>
      <c r="C31" s="249"/>
      <c r="D31" s="3"/>
      <c r="E31" s="248" t="s">
        <v>42</v>
      </c>
      <c r="F31" s="249"/>
      <c r="G31" s="249"/>
      <c r="H31" s="249"/>
      <c r="I31" s="249"/>
      <c r="J31" s="249"/>
      <c r="K31" s="249"/>
      <c r="L31" s="249"/>
      <c r="M31" s="249"/>
      <c r="N31" s="249"/>
      <c r="O31" s="249"/>
      <c r="P31" s="249"/>
    </row>
    <row r="32" spans="1:16" ht="15" customHeight="1" x14ac:dyDescent="0.25">
      <c r="A32" s="249"/>
      <c r="B32" s="252"/>
      <c r="C32" s="249"/>
      <c r="D32" s="3"/>
      <c r="E32" s="248" t="s">
        <v>40</v>
      </c>
      <c r="F32" s="249"/>
      <c r="G32" s="249"/>
      <c r="H32" s="249"/>
      <c r="I32" s="249"/>
      <c r="J32" s="249"/>
      <c r="K32" s="249"/>
      <c r="L32" s="249"/>
      <c r="M32" s="249"/>
      <c r="N32" s="249"/>
      <c r="O32" s="249"/>
      <c r="P32" s="249"/>
    </row>
    <row r="33" spans="1:16" ht="15" customHeight="1" x14ac:dyDescent="0.25">
      <c r="A33" s="249"/>
      <c r="B33" s="252"/>
      <c r="C33" s="249"/>
      <c r="D33" s="3"/>
      <c r="E33" s="248" t="s">
        <v>47</v>
      </c>
      <c r="F33" s="249"/>
      <c r="G33" s="249"/>
      <c r="H33" s="249"/>
      <c r="I33" s="249"/>
      <c r="J33" s="249"/>
      <c r="K33" s="249"/>
      <c r="L33" s="249"/>
      <c r="M33" s="249"/>
      <c r="N33" s="249"/>
      <c r="O33" s="249"/>
      <c r="P33" s="249"/>
    </row>
    <row r="34" spans="1:16" ht="15" customHeight="1" x14ac:dyDescent="0.25">
      <c r="A34" s="249"/>
      <c r="B34" s="252"/>
      <c r="C34" s="249"/>
      <c r="D34" s="3"/>
      <c r="E34" s="248" t="s">
        <v>50</v>
      </c>
      <c r="F34" s="249"/>
      <c r="G34" s="249"/>
      <c r="H34" s="249"/>
      <c r="I34" s="249"/>
      <c r="J34" s="249"/>
      <c r="K34" s="249"/>
      <c r="L34" s="249"/>
      <c r="M34" s="249"/>
      <c r="N34" s="249"/>
      <c r="O34" s="249"/>
      <c r="P34" s="249"/>
    </row>
    <row r="35" spans="1:16" ht="15" customHeight="1" x14ac:dyDescent="0.25">
      <c r="A35" s="249"/>
      <c r="B35" s="252"/>
      <c r="C35" s="249"/>
      <c r="D35" s="3"/>
      <c r="E35" s="248" t="s">
        <v>46</v>
      </c>
      <c r="F35" s="249"/>
      <c r="G35" s="249"/>
      <c r="H35" s="249"/>
      <c r="I35" s="249"/>
      <c r="J35" s="249"/>
      <c r="K35" s="249"/>
      <c r="L35" s="249"/>
      <c r="M35" s="249"/>
      <c r="N35" s="249"/>
      <c r="O35" s="249"/>
      <c r="P35" s="249"/>
    </row>
    <row r="36" spans="1:16" ht="15" customHeight="1" x14ac:dyDescent="0.25">
      <c r="A36" s="249"/>
      <c r="B36" s="252"/>
      <c r="C36" s="249"/>
      <c r="D36" s="3"/>
      <c r="E36" s="248" t="s">
        <v>41</v>
      </c>
      <c r="F36" s="249"/>
      <c r="G36" s="249"/>
      <c r="H36" s="249"/>
      <c r="I36" s="249"/>
      <c r="J36" s="249"/>
      <c r="K36" s="249"/>
      <c r="L36" s="249"/>
      <c r="M36" s="249"/>
      <c r="N36" s="249"/>
      <c r="O36" s="249"/>
      <c r="P36" s="249"/>
    </row>
    <row r="37" spans="1:16" ht="12.5" x14ac:dyDescent="0.25">
      <c r="A37" s="249"/>
      <c r="B37" s="252"/>
      <c r="C37" s="249"/>
      <c r="D37" s="3"/>
      <c r="E37" s="248" t="s">
        <v>17</v>
      </c>
      <c r="F37" s="249"/>
      <c r="G37" s="249"/>
      <c r="H37" s="249"/>
      <c r="I37" s="249"/>
      <c r="J37" s="249"/>
      <c r="K37" s="249"/>
      <c r="L37" s="249"/>
      <c r="M37" s="249"/>
      <c r="N37" s="249"/>
      <c r="O37" s="249"/>
      <c r="P37" s="249"/>
    </row>
    <row r="38" spans="1:16" ht="12.5" x14ac:dyDescent="0.25">
      <c r="A38" s="249"/>
      <c r="B38" s="252"/>
      <c r="C38" s="249"/>
      <c r="D38" s="3"/>
      <c r="E38" s="248" t="s">
        <v>89</v>
      </c>
      <c r="F38" s="249"/>
      <c r="G38" s="249"/>
      <c r="H38" s="249"/>
      <c r="I38" s="249"/>
      <c r="J38" s="249"/>
      <c r="K38" s="249"/>
      <c r="L38" s="249"/>
      <c r="M38" s="249"/>
      <c r="N38" s="249"/>
      <c r="O38" s="249"/>
      <c r="P38" s="249"/>
    </row>
    <row r="39" spans="1:16" ht="12.5" x14ac:dyDescent="0.25">
      <c r="A39" s="249"/>
      <c r="B39" s="252"/>
      <c r="C39" s="249"/>
      <c r="D39" s="3"/>
      <c r="E39" s="248" t="s">
        <v>21</v>
      </c>
      <c r="F39" s="249"/>
      <c r="G39" s="249"/>
      <c r="H39" s="249"/>
      <c r="I39" s="249"/>
      <c r="J39" s="249"/>
      <c r="K39" s="249"/>
      <c r="L39" s="249"/>
      <c r="M39" s="249"/>
      <c r="N39" s="249"/>
      <c r="O39" s="249"/>
      <c r="P39" s="249"/>
    </row>
    <row r="40" spans="1:16" ht="12.5" x14ac:dyDescent="0.25">
      <c r="A40" s="249"/>
      <c r="B40" s="252"/>
      <c r="C40" s="249"/>
      <c r="D40" s="3"/>
      <c r="E40" s="248" t="s">
        <v>29</v>
      </c>
      <c r="F40" s="249"/>
      <c r="G40" s="249"/>
      <c r="H40" s="249"/>
      <c r="I40" s="249"/>
      <c r="J40" s="249"/>
      <c r="K40" s="249"/>
      <c r="L40" s="249"/>
      <c r="M40" s="249"/>
      <c r="N40" s="249"/>
      <c r="O40" s="249"/>
      <c r="P40" s="249"/>
    </row>
    <row r="41" spans="1:16" ht="12.5" x14ac:dyDescent="0.25">
      <c r="A41" s="249"/>
      <c r="B41" s="252"/>
      <c r="C41" s="249"/>
      <c r="D41" s="3"/>
      <c r="E41" s="248" t="s">
        <v>90</v>
      </c>
      <c r="F41" s="249"/>
      <c r="G41" s="249"/>
      <c r="H41" s="249"/>
      <c r="I41" s="249"/>
      <c r="J41" s="249"/>
      <c r="K41" s="249"/>
      <c r="L41" s="249"/>
      <c r="M41" s="249"/>
      <c r="N41" s="249"/>
      <c r="O41" s="249"/>
      <c r="P41" s="249"/>
    </row>
    <row r="42" spans="1:16" ht="12.5" x14ac:dyDescent="0.25">
      <c r="A42" s="249"/>
      <c r="B42" s="252"/>
      <c r="C42" s="249"/>
      <c r="D42" s="3"/>
      <c r="E42" s="248" t="s">
        <v>91</v>
      </c>
      <c r="F42" s="249"/>
      <c r="G42" s="249"/>
      <c r="H42" s="249"/>
      <c r="I42" s="249"/>
      <c r="J42" s="249"/>
      <c r="K42" s="249"/>
      <c r="L42" s="249"/>
      <c r="M42" s="249"/>
      <c r="N42" s="249"/>
      <c r="O42" s="249"/>
      <c r="P42" s="249"/>
    </row>
    <row r="43" spans="1:16" ht="12.5" x14ac:dyDescent="0.25">
      <c r="A43" s="249"/>
      <c r="B43" s="252"/>
      <c r="C43" s="249"/>
      <c r="D43" s="3"/>
      <c r="E43" s="248" t="s">
        <v>38</v>
      </c>
      <c r="F43" s="249"/>
      <c r="G43" s="249"/>
      <c r="H43" s="249"/>
      <c r="I43" s="249"/>
      <c r="J43" s="249"/>
      <c r="K43" s="249"/>
      <c r="L43" s="249"/>
      <c r="M43" s="249"/>
      <c r="N43" s="249"/>
      <c r="O43" s="249"/>
      <c r="P43" s="249"/>
    </row>
    <row r="44" spans="1:16" ht="12.5" x14ac:dyDescent="0.25">
      <c r="A44" s="249"/>
      <c r="B44" s="252"/>
      <c r="C44" s="249"/>
      <c r="D44" s="3"/>
      <c r="E44" s="248" t="s">
        <v>92</v>
      </c>
      <c r="F44" s="249"/>
      <c r="G44" s="249"/>
      <c r="H44" s="249"/>
      <c r="I44" s="249"/>
      <c r="J44" s="249"/>
      <c r="K44" s="249"/>
      <c r="L44" s="249"/>
      <c r="M44" s="249"/>
      <c r="N44" s="249"/>
      <c r="O44" s="249"/>
      <c r="P44" s="249"/>
    </row>
    <row r="45" spans="1:16" ht="12.5" x14ac:dyDescent="0.25">
      <c r="A45" s="249"/>
      <c r="B45" s="252"/>
      <c r="C45" s="249"/>
      <c r="D45" s="3"/>
      <c r="E45" s="248" t="s">
        <v>93</v>
      </c>
      <c r="F45" s="249"/>
      <c r="G45" s="249"/>
      <c r="H45" s="249"/>
      <c r="I45" s="249"/>
      <c r="J45" s="249"/>
      <c r="K45" s="249"/>
      <c r="L45" s="249"/>
      <c r="M45" s="249"/>
      <c r="N45" s="249"/>
      <c r="O45" s="249"/>
      <c r="P45" s="249"/>
    </row>
    <row r="46" spans="1:16" ht="12.5" x14ac:dyDescent="0.25">
      <c r="A46" s="249"/>
      <c r="B46" s="252"/>
      <c r="C46" s="249"/>
      <c r="D46" s="3"/>
      <c r="E46" s="248" t="s">
        <v>94</v>
      </c>
      <c r="F46" s="249"/>
      <c r="G46" s="249"/>
      <c r="H46" s="249"/>
      <c r="I46" s="249"/>
      <c r="J46" s="249"/>
      <c r="K46" s="249"/>
      <c r="L46" s="249"/>
      <c r="M46" s="249"/>
      <c r="N46" s="249"/>
      <c r="O46" s="249"/>
      <c r="P46" s="249"/>
    </row>
    <row r="47" spans="1:16" ht="12.5" x14ac:dyDescent="0.25">
      <c r="A47" s="249"/>
      <c r="B47" s="252"/>
      <c r="C47" s="249"/>
      <c r="D47" s="3"/>
      <c r="E47" s="248" t="s">
        <v>28</v>
      </c>
      <c r="F47" s="249"/>
      <c r="G47" s="249"/>
      <c r="H47" s="249"/>
      <c r="I47" s="249"/>
      <c r="J47" s="249"/>
      <c r="K47" s="249"/>
      <c r="L47" s="249"/>
      <c r="M47" s="249"/>
      <c r="N47" s="249"/>
      <c r="O47" s="249"/>
      <c r="P47" s="249"/>
    </row>
    <row r="48" spans="1:16" ht="12.5" x14ac:dyDescent="0.25">
      <c r="A48" s="249"/>
      <c r="B48" s="252"/>
      <c r="C48" s="249"/>
      <c r="D48" s="3"/>
      <c r="E48" s="248" t="s">
        <v>95</v>
      </c>
      <c r="F48" s="249"/>
      <c r="G48" s="249"/>
      <c r="H48" s="249"/>
      <c r="I48" s="249"/>
      <c r="J48" s="249"/>
      <c r="K48" s="249"/>
      <c r="L48" s="249"/>
      <c r="M48" s="249"/>
      <c r="N48" s="249"/>
      <c r="O48" s="249"/>
      <c r="P48" s="249"/>
    </row>
    <row r="49" spans="1:16" ht="12.5" x14ac:dyDescent="0.25">
      <c r="A49" s="249"/>
      <c r="B49" s="252"/>
      <c r="C49" s="249"/>
      <c r="D49" s="3"/>
      <c r="E49" s="248" t="s">
        <v>14</v>
      </c>
      <c r="F49" s="249"/>
      <c r="G49" s="249"/>
      <c r="H49" s="249"/>
      <c r="I49" s="249"/>
      <c r="J49" s="249"/>
      <c r="K49" s="249"/>
      <c r="L49" s="249"/>
      <c r="M49" s="249"/>
      <c r="N49" s="249"/>
      <c r="O49" s="249"/>
      <c r="P49" s="249"/>
    </row>
    <row r="50" spans="1:16" ht="12.5" x14ac:dyDescent="0.25">
      <c r="A50" s="249"/>
      <c r="B50" s="252"/>
      <c r="C50" s="249"/>
      <c r="D50" s="3"/>
      <c r="E50" s="248" t="s">
        <v>49</v>
      </c>
      <c r="F50" s="249"/>
      <c r="G50" s="249"/>
      <c r="H50" s="249"/>
      <c r="I50" s="249"/>
      <c r="J50" s="249"/>
      <c r="K50" s="249"/>
      <c r="L50" s="249"/>
      <c r="M50" s="249"/>
      <c r="N50" s="249"/>
      <c r="O50" s="249"/>
      <c r="P50" s="249"/>
    </row>
    <row r="51" spans="1:16" ht="12.5" x14ac:dyDescent="0.25">
      <c r="A51" s="249"/>
      <c r="B51" s="252"/>
      <c r="C51" s="249"/>
      <c r="D51" s="3"/>
      <c r="E51" s="248" t="s">
        <v>96</v>
      </c>
      <c r="F51" s="249"/>
      <c r="G51" s="249"/>
      <c r="H51" s="249"/>
      <c r="I51" s="249"/>
      <c r="J51" s="249"/>
      <c r="K51" s="249"/>
      <c r="L51" s="249"/>
      <c r="M51" s="249"/>
      <c r="N51" s="249"/>
      <c r="O51" s="249"/>
      <c r="P51" s="249"/>
    </row>
    <row r="52" spans="1:16" ht="12.5" x14ac:dyDescent="0.25">
      <c r="A52" s="249"/>
      <c r="B52" s="252"/>
      <c r="C52" s="249"/>
      <c r="D52" s="3"/>
      <c r="E52" s="248" t="s">
        <v>23</v>
      </c>
      <c r="F52" s="249"/>
      <c r="G52" s="249"/>
      <c r="H52" s="249"/>
      <c r="I52" s="249"/>
      <c r="J52" s="249"/>
      <c r="K52" s="249"/>
      <c r="L52" s="249"/>
      <c r="M52" s="249"/>
      <c r="N52" s="249"/>
      <c r="O52" s="249"/>
      <c r="P52" s="249"/>
    </row>
    <row r="53" spans="1:16" ht="12.5" x14ac:dyDescent="0.25">
      <c r="A53" s="249"/>
      <c r="B53" s="252"/>
      <c r="C53" s="249"/>
      <c r="D53" s="3"/>
      <c r="E53" s="248" t="s">
        <v>25</v>
      </c>
      <c r="F53" s="249"/>
      <c r="G53" s="249"/>
      <c r="H53" s="249"/>
      <c r="I53" s="249"/>
      <c r="J53" s="249"/>
      <c r="K53" s="249"/>
      <c r="L53" s="249"/>
      <c r="M53" s="249"/>
      <c r="N53" s="249"/>
      <c r="O53" s="249"/>
      <c r="P53" s="249"/>
    </row>
    <row r="54" spans="1:16" ht="12.5" x14ac:dyDescent="0.25">
      <c r="A54" s="249"/>
      <c r="B54" s="252"/>
      <c r="C54" s="249"/>
      <c r="D54" s="3"/>
      <c r="E54" s="248" t="s">
        <v>32</v>
      </c>
      <c r="F54" s="249"/>
      <c r="G54" s="249"/>
      <c r="H54" s="249"/>
      <c r="I54" s="249"/>
      <c r="J54" s="249"/>
      <c r="K54" s="249"/>
      <c r="L54" s="249"/>
      <c r="M54" s="249"/>
      <c r="N54" s="249"/>
      <c r="O54" s="249"/>
      <c r="P54" s="249"/>
    </row>
    <row r="55" spans="1:16" ht="12.5" x14ac:dyDescent="0.25">
      <c r="A55" s="249"/>
      <c r="B55" s="252"/>
      <c r="C55" s="249"/>
      <c r="D55" s="3"/>
      <c r="E55" s="248" t="s">
        <v>97</v>
      </c>
      <c r="F55" s="249"/>
      <c r="G55" s="249"/>
      <c r="H55" s="249"/>
      <c r="I55" s="249"/>
      <c r="J55" s="249"/>
      <c r="K55" s="249"/>
      <c r="L55" s="249"/>
      <c r="M55" s="249"/>
      <c r="N55" s="249"/>
      <c r="O55" s="249"/>
      <c r="P55" s="249"/>
    </row>
    <row r="56" spans="1:16" ht="12.5" x14ac:dyDescent="0.25">
      <c r="A56" s="249"/>
      <c r="B56" s="252"/>
      <c r="C56" s="249"/>
      <c r="D56" s="3"/>
      <c r="E56" s="248" t="s">
        <v>26</v>
      </c>
      <c r="F56" s="249"/>
      <c r="G56" s="249"/>
      <c r="H56" s="249"/>
      <c r="I56" s="249"/>
      <c r="J56" s="249"/>
      <c r="K56" s="249"/>
      <c r="L56" s="249"/>
      <c r="M56" s="249"/>
      <c r="N56" s="249"/>
      <c r="O56" s="249"/>
      <c r="P56" s="249"/>
    </row>
    <row r="57" spans="1:16" ht="12.5" x14ac:dyDescent="0.25">
      <c r="A57" s="249"/>
      <c r="B57" s="252"/>
      <c r="C57" s="249"/>
      <c r="D57" s="3"/>
      <c r="E57" s="248" t="s">
        <v>98</v>
      </c>
      <c r="F57" s="249"/>
      <c r="G57" s="249"/>
      <c r="H57" s="249"/>
      <c r="I57" s="249"/>
      <c r="J57" s="249"/>
      <c r="K57" s="249"/>
      <c r="L57" s="249"/>
      <c r="M57" s="249"/>
      <c r="N57" s="249"/>
      <c r="O57" s="249"/>
      <c r="P57" s="249"/>
    </row>
    <row r="58" spans="1:16" ht="12.5" x14ac:dyDescent="0.25">
      <c r="A58" s="249"/>
      <c r="B58" s="252"/>
      <c r="C58" s="249"/>
      <c r="D58" s="3"/>
      <c r="E58" s="248" t="s">
        <v>35</v>
      </c>
      <c r="F58" s="249"/>
      <c r="G58" s="249"/>
      <c r="H58" s="249"/>
      <c r="I58" s="249"/>
      <c r="J58" s="249"/>
      <c r="K58" s="249"/>
      <c r="L58" s="249"/>
      <c r="M58" s="249"/>
      <c r="N58" s="249"/>
      <c r="O58" s="249"/>
      <c r="P58" s="249"/>
    </row>
    <row r="59" spans="1:16" ht="12.5" x14ac:dyDescent="0.25">
      <c r="A59" s="249"/>
      <c r="B59" s="252"/>
      <c r="C59" s="249"/>
      <c r="D59" s="3"/>
      <c r="E59" s="248" t="s">
        <v>99</v>
      </c>
      <c r="F59" s="249"/>
      <c r="G59" s="249"/>
      <c r="H59" s="249"/>
      <c r="I59" s="249"/>
      <c r="J59" s="249"/>
      <c r="K59" s="249"/>
      <c r="L59" s="249"/>
      <c r="M59" s="249"/>
      <c r="N59" s="249"/>
      <c r="O59" s="249"/>
      <c r="P59" s="249"/>
    </row>
    <row r="60" spans="1:16" ht="12.5" x14ac:dyDescent="0.25">
      <c r="A60" s="249"/>
      <c r="B60" s="252"/>
      <c r="C60" s="249"/>
      <c r="D60" s="3"/>
      <c r="E60" s="248" t="s">
        <v>36</v>
      </c>
      <c r="F60" s="249"/>
      <c r="G60" s="249"/>
      <c r="H60" s="249"/>
      <c r="I60" s="249"/>
      <c r="J60" s="249"/>
      <c r="K60" s="249"/>
      <c r="L60" s="249"/>
      <c r="M60" s="249"/>
      <c r="N60" s="249"/>
      <c r="O60" s="249"/>
      <c r="P60" s="249"/>
    </row>
    <row r="61" spans="1:16" ht="12.5" x14ac:dyDescent="0.25">
      <c r="A61" s="249"/>
      <c r="B61" s="252"/>
      <c r="C61" s="249"/>
      <c r="D61" s="3"/>
      <c r="E61" s="248" t="s">
        <v>100</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3"/>
  <sheetViews>
    <sheetView workbookViewId="0">
      <pane xSplit="1" ySplit="2" topLeftCell="B53" activePane="bottomRight" state="frozen"/>
      <selection pane="topRight" activeCell="B1" sqref="B1"/>
      <selection pane="bottomLeft" activeCell="A3" sqref="A3"/>
      <selection pane="bottomRight" activeCell="B1" sqref="B1"/>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6" ht="51.5" customHeight="1" x14ac:dyDescent="0.3">
      <c r="A1" s="7" t="s">
        <v>349</v>
      </c>
      <c r="B1" s="37" t="s">
        <v>1024</v>
      </c>
      <c r="C1" s="8" t="s">
        <v>1025</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ht="13" x14ac:dyDescent="0.3">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1018</v>
      </c>
      <c r="BX2" s="10" t="s">
        <v>1019</v>
      </c>
    </row>
    <row r="3" spans="1:76" x14ac:dyDescent="0.2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x14ac:dyDescent="0.2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x14ac:dyDescent="0.2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25">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x14ac:dyDescent="0.2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x14ac:dyDescent="0.2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5" x14ac:dyDescent="0.2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x14ac:dyDescent="0.2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x14ac:dyDescent="0.2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x14ac:dyDescent="0.2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x14ac:dyDescent="0.2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x14ac:dyDescent="0.2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x14ac:dyDescent="0.2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x14ac:dyDescent="0.2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x14ac:dyDescent="0.2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x14ac:dyDescent="0.2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x14ac:dyDescent="0.2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x14ac:dyDescent="0.2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x14ac:dyDescent="0.2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x14ac:dyDescent="0.2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x14ac:dyDescent="0.2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x14ac:dyDescent="0.2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5" x14ac:dyDescent="0.2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x14ac:dyDescent="0.2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x14ac:dyDescent="0.2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5" x14ac:dyDescent="0.2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x14ac:dyDescent="0.2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x14ac:dyDescent="0.2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x14ac:dyDescent="0.2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5" x14ac:dyDescent="0.2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x14ac:dyDescent="0.2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x14ac:dyDescent="0.2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x14ac:dyDescent="0.2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x14ac:dyDescent="0.2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x14ac:dyDescent="0.2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x14ac:dyDescent="0.2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x14ac:dyDescent="0.2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x14ac:dyDescent="0.2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x14ac:dyDescent="0.2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x14ac:dyDescent="0.2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x14ac:dyDescent="0.2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x14ac:dyDescent="0.2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x14ac:dyDescent="0.2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x14ac:dyDescent="0.2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x14ac:dyDescent="0.2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x14ac:dyDescent="0.2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5" x14ac:dyDescent="0.2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x14ac:dyDescent="0.2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x14ac:dyDescent="0.2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x14ac:dyDescent="0.2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5" x14ac:dyDescent="0.2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x14ac:dyDescent="0.2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x14ac:dyDescent="0.2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x14ac:dyDescent="0.2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x14ac:dyDescent="0.2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x14ac:dyDescent="0.2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x14ac:dyDescent="0.2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x14ac:dyDescent="0.2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67" t="s">
        <v>390</v>
      </c>
      <c r="BX61" s="267" t="s">
        <v>390</v>
      </c>
    </row>
    <row r="62" spans="1:76" x14ac:dyDescent="0.2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67" t="s">
        <v>390</v>
      </c>
      <c r="BX62" s="267" t="s">
        <v>390</v>
      </c>
    </row>
    <row r="63" spans="1:76" x14ac:dyDescent="0.2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67" t="s">
        <v>390</v>
      </c>
      <c r="BX63" s="267" t="s">
        <v>390</v>
      </c>
    </row>
    <row r="64" spans="1:76" x14ac:dyDescent="0.2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67" t="s">
        <v>390</v>
      </c>
      <c r="BX64" s="267" t="s">
        <v>390</v>
      </c>
    </row>
    <row r="65" spans="1:76" x14ac:dyDescent="0.2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67" t="s">
        <v>390</v>
      </c>
      <c r="BX65" s="267" t="s">
        <v>390</v>
      </c>
    </row>
    <row r="66" spans="1:76" x14ac:dyDescent="0.2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67" t="s">
        <v>390</v>
      </c>
      <c r="BX66" s="267" t="s">
        <v>390</v>
      </c>
    </row>
    <row r="67" spans="1:76" x14ac:dyDescent="0.2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67" t="s">
        <v>390</v>
      </c>
      <c r="BX67" s="267" t="s">
        <v>390</v>
      </c>
    </row>
    <row r="68" spans="1:76" x14ac:dyDescent="0.2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67" t="s">
        <v>390</v>
      </c>
      <c r="BX68" s="267" t="s">
        <v>390</v>
      </c>
    </row>
    <row r="69" spans="1:76" x14ac:dyDescent="0.2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67" t="s">
        <v>390</v>
      </c>
      <c r="BX69" s="267" t="s">
        <v>390</v>
      </c>
    </row>
    <row r="70" spans="1:76" x14ac:dyDescent="0.2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67" t="s">
        <v>390</v>
      </c>
      <c r="BX70" s="267" t="s">
        <v>390</v>
      </c>
    </row>
    <row r="71" spans="1:76" x14ac:dyDescent="0.2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67" t="s">
        <v>390</v>
      </c>
      <c r="BX71" s="267" t="s">
        <v>390</v>
      </c>
    </row>
    <row r="72" spans="1:76" x14ac:dyDescent="0.2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67" t="s">
        <v>390</v>
      </c>
      <c r="BX72" s="267" t="s">
        <v>390</v>
      </c>
    </row>
    <row r="73" spans="1:76" x14ac:dyDescent="0.2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67" t="s">
        <v>390</v>
      </c>
      <c r="BX73" s="267" t="s">
        <v>390</v>
      </c>
    </row>
    <row r="74" spans="1:76" x14ac:dyDescent="0.2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67" t="s">
        <v>390</v>
      </c>
      <c r="BX74" s="267" t="s">
        <v>390</v>
      </c>
    </row>
    <row r="75" spans="1:76" x14ac:dyDescent="0.2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67" t="s">
        <v>390</v>
      </c>
      <c r="BX75" s="267" t="s">
        <v>390</v>
      </c>
    </row>
    <row r="76" spans="1:76" x14ac:dyDescent="0.2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67" t="s">
        <v>390</v>
      </c>
      <c r="BX76" s="267" t="s">
        <v>390</v>
      </c>
    </row>
    <row r="77" spans="1:76" x14ac:dyDescent="0.2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67" t="s">
        <v>390</v>
      </c>
      <c r="BX77" s="267" t="s">
        <v>390</v>
      </c>
    </row>
    <row r="78" spans="1:76" x14ac:dyDescent="0.2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67" t="s">
        <v>390</v>
      </c>
      <c r="BX78" s="267" t="s">
        <v>390</v>
      </c>
    </row>
    <row r="79" spans="1:76" x14ac:dyDescent="0.2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67" t="s">
        <v>390</v>
      </c>
      <c r="BX79" s="267" t="s">
        <v>390</v>
      </c>
    </row>
    <row r="80" spans="1:76" x14ac:dyDescent="0.2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67" t="s">
        <v>390</v>
      </c>
      <c r="BX80" s="267" t="s">
        <v>390</v>
      </c>
    </row>
    <row r="81" spans="1:76" x14ac:dyDescent="0.2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67" t="s">
        <v>390</v>
      </c>
      <c r="BX81" s="267" t="s">
        <v>390</v>
      </c>
    </row>
    <row r="82" spans="1:76" x14ac:dyDescent="0.2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x14ac:dyDescent="0.2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2024-04-09T12:18:23Z</dcterms:modified>
  <cp:category/>
  <cp:contentStatus/>
</cp:coreProperties>
</file>