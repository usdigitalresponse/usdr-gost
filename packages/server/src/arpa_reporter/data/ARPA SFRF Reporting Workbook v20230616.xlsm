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https://d.docs.live.net/b5af53ceec432e9d/Documents/USDR/Desktop/"/>
    </mc:Choice>
  </mc:AlternateContent>
  <xr:revisionPtr revIDLastSave="53" documentId="8_{E71809EF-80AB-409C-BC13-DB00C7626CC3}" xr6:coauthVersionLast="47" xr6:coauthVersionMax="47" xr10:uidLastSave="{FF54762D-0A7F-4FCE-AA04-E3641BD9430D}"/>
  <workbookProtection workbookAlgorithmName="SHA-512" workbookHashValue="utUnruKw7fsOQhyESkXDw2X4spdLE/1c/I69mZNbUVMVy7nQbjBAYScn90hCRdqIVsj573fjysWQ8EMBEMhpJA==" workbookSaltValue="RHEus12mQr5AvPNOnP4Q1Q==" workbookSpinCount="100000" lockStructure="1"/>
  <bookViews>
    <workbookView xWindow="-110" yWindow="-110" windowWidth="38620" windowHeight="2110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B80CF06-3C30-471D-8B94-D1979A62AC5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1BD57E6-31A1-4A58-8787-C60313B62AD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FE1A6CC-C3EB-47C3-B6FB-83C4F34ADFA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4B705DD-BDD2-4668-BD82-53E7612E80B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124E82-CFB6-4356-9B32-5D744C3EE1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2B0E7C9-3634-4AE6-87DA-8F18722726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8A1379A-AAE3-4810-8E3E-673F1D631B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B1C8682-81B0-491A-A1D4-D2BE3DE7DC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07E00DAB-90A2-4873-BF41-62E1A389F0B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00D9CF7-9F23-49D4-A1EE-FFEA4F2F225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21A8484-1ACF-4DF4-BF6D-4A51A8F5618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3F22DB5B-F5AE-4314-8FCA-E3F5E86CFFF1}">
      <text>
        <r>
          <rPr>
            <b/>
            <i/>
            <sz val="9"/>
            <color indexed="81"/>
            <rFont val="Tahoma"/>
            <family val="2"/>
          </rPr>
          <t xml:space="preserve">Conditional
</t>
        </r>
        <r>
          <rPr>
            <b/>
            <sz val="9"/>
            <color indexed="81"/>
            <rFont val="Tahoma"/>
            <family val="2"/>
          </rPr>
          <t>Pick List
Max Length = N/A</t>
        </r>
      </text>
    </comment>
    <comment ref="O12" authorId="1" shapeId="0" xr:uid="{FCD68889-377D-45E3-8EB5-30BE9CC87958}">
      <text>
        <r>
          <rPr>
            <b/>
            <i/>
            <sz val="9"/>
            <color indexed="81"/>
            <rFont val="Tahoma"/>
            <family val="2"/>
          </rPr>
          <t xml:space="preserve">Conditional
</t>
        </r>
        <r>
          <rPr>
            <b/>
            <sz val="9"/>
            <color indexed="81"/>
            <rFont val="Tahoma"/>
            <family val="2"/>
          </rPr>
          <t>String
Max Length = 250</t>
        </r>
      </text>
    </comment>
    <comment ref="P12" authorId="1" shapeId="0" xr:uid="{D22E67A7-6CA2-471B-B448-9AD6934F6E6B}">
      <text>
        <r>
          <rPr>
            <b/>
            <i/>
            <sz val="9"/>
            <color indexed="81"/>
            <rFont val="Tahoma"/>
            <family val="2"/>
          </rPr>
          <t xml:space="preserve">Optional
</t>
        </r>
        <r>
          <rPr>
            <b/>
            <sz val="9"/>
            <color indexed="81"/>
            <rFont val="Tahoma"/>
            <family val="2"/>
          </rPr>
          <t>Pick List
Max Length = N/A</t>
        </r>
      </text>
    </comment>
    <comment ref="Q12" authorId="1" shapeId="0" xr:uid="{4D933A29-2B05-45BA-BC28-97E9D7EF671B}">
      <text>
        <r>
          <rPr>
            <b/>
            <i/>
            <sz val="9"/>
            <color indexed="81"/>
            <rFont val="Tahoma"/>
            <family val="2"/>
          </rPr>
          <t xml:space="preserve">Conditional
</t>
        </r>
        <r>
          <rPr>
            <b/>
            <sz val="9"/>
            <color indexed="81"/>
            <rFont val="Tahoma"/>
            <family val="2"/>
          </rPr>
          <t>String
Max Length = 250</t>
        </r>
      </text>
    </comment>
    <comment ref="R12" authorId="1" shapeId="0" xr:uid="{7A49CD46-3393-4E54-94C0-8873B81E438F}">
      <text>
        <r>
          <rPr>
            <b/>
            <i/>
            <sz val="9"/>
            <color indexed="81"/>
            <rFont val="Tahoma"/>
            <family val="2"/>
          </rPr>
          <t xml:space="preserve">Optional
</t>
        </r>
        <r>
          <rPr>
            <b/>
            <sz val="9"/>
            <color indexed="81"/>
            <rFont val="Tahoma"/>
            <family val="2"/>
          </rPr>
          <t>Pick List
Max Length = N/A</t>
        </r>
      </text>
    </comment>
    <comment ref="S12" authorId="1" shapeId="0" xr:uid="{28FDC665-BAD2-4DCD-BF35-A11BA88C902C}">
      <text>
        <r>
          <rPr>
            <b/>
            <i/>
            <sz val="9"/>
            <color indexed="81"/>
            <rFont val="Tahoma"/>
            <family val="2"/>
          </rPr>
          <t xml:space="preserve">Conditional
</t>
        </r>
        <r>
          <rPr>
            <b/>
            <sz val="9"/>
            <color indexed="81"/>
            <rFont val="Tahoma"/>
            <family val="2"/>
          </rPr>
          <t>String
Max Length = 250</t>
        </r>
      </text>
    </comment>
    <comment ref="T12" authorId="1" shapeId="0" xr:uid="{E1F14053-7CE3-44A1-AB9A-36C4790BF455}">
      <text>
        <r>
          <rPr>
            <b/>
            <i/>
            <sz val="9"/>
            <color indexed="81"/>
            <rFont val="Tahoma"/>
            <family val="2"/>
          </rPr>
          <t xml:space="preserve">Conditional
</t>
        </r>
        <r>
          <rPr>
            <b/>
            <sz val="9"/>
            <color indexed="81"/>
            <rFont val="Tahoma"/>
            <family val="2"/>
          </rPr>
          <t>String
Max Length = 250</t>
        </r>
      </text>
    </comment>
    <comment ref="U12" authorId="1" shapeId="0" xr:uid="{44351A7E-BDCA-4E67-8A51-F1532AC92889}">
      <text>
        <r>
          <rPr>
            <b/>
            <i/>
            <sz val="9"/>
            <color indexed="81"/>
            <rFont val="Tahoma"/>
            <family val="2"/>
          </rPr>
          <t xml:space="preserve">Conditional
</t>
        </r>
        <r>
          <rPr>
            <b/>
            <sz val="9"/>
            <color indexed="81"/>
            <rFont val="Tahoma"/>
            <family val="2"/>
          </rPr>
          <t>String
Max Length = 250</t>
        </r>
      </text>
    </comment>
    <comment ref="V12" authorId="1" shapeId="0" xr:uid="{73B37F23-4258-4220-8236-473746DB4661}">
      <text>
        <r>
          <rPr>
            <b/>
            <i/>
            <sz val="9"/>
            <color indexed="81"/>
            <rFont val="Tahoma"/>
            <family val="2"/>
          </rPr>
          <t xml:space="preserve">Conditional
</t>
        </r>
        <r>
          <rPr>
            <b/>
            <sz val="9"/>
            <color indexed="81"/>
            <rFont val="Tahoma"/>
            <family val="2"/>
          </rPr>
          <t>Currency
Max Length = 12,2</t>
        </r>
      </text>
    </comment>
    <comment ref="W12" authorId="1" shapeId="0" xr:uid="{D0A09062-B7AE-48A9-B27A-7B6AE8E25B49}">
      <text>
        <r>
          <rPr>
            <b/>
            <i/>
            <sz val="9"/>
            <color indexed="81"/>
            <rFont val="Tahoma"/>
            <family val="2"/>
          </rPr>
          <t xml:space="preserve">Conditional
</t>
        </r>
        <r>
          <rPr>
            <b/>
            <sz val="9"/>
            <color indexed="81"/>
            <rFont val="Tahoma"/>
            <family val="2"/>
          </rPr>
          <t>Pick List
Max Length = N/A</t>
        </r>
      </text>
    </comment>
    <comment ref="X12" authorId="1" shapeId="0" xr:uid="{37F20413-E435-4895-8CDF-26B1DCB7B3C3}">
      <text>
        <r>
          <rPr>
            <b/>
            <i/>
            <sz val="9"/>
            <color indexed="81"/>
            <rFont val="Tahoma"/>
            <family val="2"/>
          </rPr>
          <t xml:space="preserve">Conditional
</t>
        </r>
        <r>
          <rPr>
            <b/>
            <sz val="9"/>
            <color indexed="81"/>
            <rFont val="Tahoma"/>
            <family val="2"/>
          </rPr>
          <t>Numeric
Max Length = 9999999999</t>
        </r>
      </text>
    </comment>
    <comment ref="Y12" authorId="1" shapeId="0" xr:uid="{5FA20E08-4215-4C59-9BC4-504AEEB788BF}">
      <text>
        <r>
          <rPr>
            <b/>
            <i/>
            <sz val="9"/>
            <color indexed="81"/>
            <rFont val="Tahoma"/>
            <family val="2"/>
          </rPr>
          <t xml:space="preserve">Conditional
</t>
        </r>
        <r>
          <rPr>
            <b/>
            <sz val="9"/>
            <color indexed="81"/>
            <rFont val="Tahoma"/>
            <family val="2"/>
          </rPr>
          <t>Numeric
Max Length = 9999999999</t>
        </r>
      </text>
    </comment>
    <comment ref="Z12" authorId="1" shapeId="0" xr:uid="{3E6B1A44-D6A6-4BE9-A7C6-0C911407F03A}">
      <text>
        <r>
          <rPr>
            <b/>
            <i/>
            <sz val="9"/>
            <color indexed="81"/>
            <rFont val="Tahoma"/>
            <family val="2"/>
          </rPr>
          <t xml:space="preserve">Required
</t>
        </r>
        <r>
          <rPr>
            <b/>
            <sz val="9"/>
            <color indexed="81"/>
            <rFont val="Tahoma"/>
            <family val="2"/>
          </rPr>
          <t>Pick List
Max Length = N/A</t>
        </r>
      </text>
    </comment>
    <comment ref="AA12" authorId="1" shapeId="0" xr:uid="{8C47C014-BACD-4090-A777-15658F844EE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9D8530E-FE3B-4434-88FC-771BCFF8A5ED}">
      <text>
        <r>
          <rPr>
            <b/>
            <i/>
            <sz val="9"/>
            <color indexed="81"/>
            <rFont val="Tahoma"/>
            <family val="2"/>
          </rPr>
          <t xml:space="preserve">Conditional
</t>
        </r>
        <r>
          <rPr>
            <b/>
            <sz val="9"/>
            <color indexed="81"/>
            <rFont val="Tahoma"/>
            <family val="2"/>
          </rPr>
          <t>Pick List
Max Length = N/A</t>
        </r>
      </text>
    </comment>
    <comment ref="AC12" authorId="1" shapeId="0" xr:uid="{3D7189E8-282E-4780-8ABE-67014858F64D}">
      <text>
        <r>
          <rPr>
            <b/>
            <i/>
            <sz val="9"/>
            <color indexed="81"/>
            <rFont val="Tahoma"/>
            <family val="2"/>
          </rPr>
          <t xml:space="preserve">Conditional
</t>
        </r>
        <r>
          <rPr>
            <b/>
            <sz val="9"/>
            <color indexed="81"/>
            <rFont val="Tahoma"/>
            <family val="2"/>
          </rPr>
          <t>String
Max Length = 255</t>
        </r>
      </text>
    </comment>
    <comment ref="AD12" authorId="1" shapeId="0" xr:uid="{C1849897-BACE-4B79-AAAD-DA5114CC9AB4}">
      <text>
        <r>
          <rPr>
            <b/>
            <i/>
            <sz val="9"/>
            <color indexed="81"/>
            <rFont val="Tahoma"/>
            <family val="2"/>
          </rPr>
          <t xml:space="preserve">Conditional
</t>
        </r>
        <r>
          <rPr>
            <b/>
            <sz val="9"/>
            <color indexed="81"/>
            <rFont val="Tahoma"/>
            <family val="2"/>
          </rPr>
          <t>String
Max Length = 1500</t>
        </r>
      </text>
    </comment>
    <comment ref="AE12" authorId="1" shapeId="0" xr:uid="{17E02432-DE05-4E90-9C7E-7E0566527D17}">
      <text>
        <r>
          <rPr>
            <b/>
            <i/>
            <sz val="9"/>
            <color indexed="81"/>
            <rFont val="Tahoma"/>
            <family val="2"/>
          </rPr>
          <t xml:space="preserve">Required if Budget &gt; $10M
</t>
        </r>
        <r>
          <rPr>
            <b/>
            <sz val="9"/>
            <color indexed="81"/>
            <rFont val="Tahoma"/>
            <family val="2"/>
          </rPr>
          <t>Pick List
Max Length = N/A</t>
        </r>
      </text>
    </comment>
    <comment ref="AJ12" authorId="1" shapeId="0" xr:uid="{5A8DAF6F-1D5B-4229-A8B9-98F48A035216}">
      <text>
        <r>
          <rPr>
            <b/>
            <i/>
            <sz val="9"/>
            <color indexed="81"/>
            <rFont val="Tahoma"/>
            <family val="2"/>
          </rPr>
          <t xml:space="preserve">Required if Budget &gt; $10M
</t>
        </r>
        <r>
          <rPr>
            <b/>
            <sz val="9"/>
            <color indexed="81"/>
            <rFont val="Tahoma"/>
            <family val="2"/>
          </rPr>
          <t>Pick List
Max Length = N/A</t>
        </r>
      </text>
    </comment>
    <comment ref="AP12" authorId="1" shapeId="0" xr:uid="{A4D5502F-4651-4028-B67A-469F4B6F71CB}">
      <text>
        <r>
          <rPr>
            <b/>
            <i/>
            <sz val="9"/>
            <color indexed="81"/>
            <rFont val="Tahoma"/>
            <family val="2"/>
          </rPr>
          <t xml:space="preserve">Required if Budget &gt; $10M
</t>
        </r>
        <r>
          <rPr>
            <b/>
            <sz val="9"/>
            <color indexed="81"/>
            <rFont val="Tahoma"/>
            <family val="2"/>
          </rPr>
          <t>Pick List
Max Length = N/A</t>
        </r>
      </text>
    </comment>
    <comment ref="AQ12" authorId="1" shapeId="0" xr:uid="{361E21B8-3073-417E-A239-C26EF104C618}">
      <text>
        <r>
          <rPr>
            <b/>
            <i/>
            <sz val="9"/>
            <color indexed="81"/>
            <rFont val="Tahoma"/>
            <family val="2"/>
          </rPr>
          <t xml:space="preserve">Required if Budget &gt; $10M
</t>
        </r>
        <r>
          <rPr>
            <b/>
            <sz val="9"/>
            <color indexed="81"/>
            <rFont val="Tahoma"/>
            <family val="2"/>
          </rPr>
          <t>Pick List
Max Length = N/A</t>
        </r>
      </text>
    </comment>
    <comment ref="AS12" authorId="1" shapeId="0" xr:uid="{2CF81278-B689-4438-AEE8-012C6613550C}">
      <text>
        <r>
          <rPr>
            <b/>
            <i/>
            <sz val="9"/>
            <color indexed="81"/>
            <rFont val="Tahoma"/>
            <family val="2"/>
          </rPr>
          <t xml:space="preserve">Conditional
</t>
        </r>
        <r>
          <rPr>
            <b/>
            <sz val="9"/>
            <color indexed="81"/>
            <rFont val="Tahoma"/>
            <family val="2"/>
          </rPr>
          <t>Numeric
Max Length = 9999999999</t>
        </r>
      </text>
    </comment>
    <comment ref="AT12" authorId="1" shapeId="0" xr:uid="{D1FDAFE7-E9B1-4E3A-947F-24B1FB04EBF5}">
      <text>
        <r>
          <rPr>
            <b/>
            <i/>
            <sz val="9"/>
            <color indexed="81"/>
            <rFont val="Tahoma"/>
            <family val="2"/>
          </rPr>
          <t xml:space="preserve">Conditional
</t>
        </r>
        <r>
          <rPr>
            <b/>
            <sz val="9"/>
            <color indexed="81"/>
            <rFont val="Tahoma"/>
            <family val="2"/>
          </rPr>
          <t>Numeric
Max Length = 9999999999</t>
        </r>
      </text>
    </comment>
    <comment ref="AU12" authorId="1" shapeId="0" xr:uid="{47C6E037-2A8E-41EF-AA60-0D9726C87984}">
      <text>
        <r>
          <rPr>
            <b/>
            <i/>
            <sz val="9"/>
            <color indexed="81"/>
            <rFont val="Tahoma"/>
            <family val="2"/>
          </rPr>
          <t xml:space="preserve">Conditional
</t>
        </r>
        <r>
          <rPr>
            <b/>
            <sz val="9"/>
            <color indexed="81"/>
            <rFont val="Tahoma"/>
            <family val="2"/>
          </rPr>
          <t>Numeric
Max Length = 9999999999</t>
        </r>
      </text>
    </comment>
    <comment ref="AV12" authorId="1" shapeId="0" xr:uid="{119A6A6B-DBF1-46A1-AC53-AC18802689CF}">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A4E7D41-7029-40F2-A0E1-44BE13583EF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E76845A0-356B-4C6A-892D-43152F4ABE5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1A538BB-8166-4F31-9347-B9FE4874D78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9B8209E-52F8-49ED-8096-881742554C3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4918AF3-C912-480A-8408-65BCA819091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0956229-52F0-4C3F-9BA0-6F02D7BB7B9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849222C-6CA9-41AF-B5A0-3A3B0031BC1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1407280-326D-489F-8A14-84066FA9FA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6226ACE-7EE4-485C-B6D8-843BA07E28E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F2BDA6D-45F6-48C6-912C-BBDA77CE357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A70429E9-5406-4438-8B95-7A0C37AF5B3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18F5922-9D93-411A-97D9-4F78A83DB36F}">
      <text>
        <r>
          <rPr>
            <b/>
            <i/>
            <sz val="9"/>
            <color indexed="81"/>
            <rFont val="Tahoma"/>
            <family val="2"/>
          </rPr>
          <t xml:space="preserve">Conditional
</t>
        </r>
        <r>
          <rPr>
            <b/>
            <sz val="9"/>
            <color indexed="81"/>
            <rFont val="Tahoma"/>
            <family val="2"/>
          </rPr>
          <t>Pick List
Max Length = N/A</t>
        </r>
      </text>
    </comment>
    <comment ref="O12" authorId="1" shapeId="0" xr:uid="{012F3016-3819-4E11-BA31-621ECF33FB76}">
      <text>
        <r>
          <rPr>
            <b/>
            <i/>
            <sz val="9"/>
            <color indexed="81"/>
            <rFont val="Tahoma"/>
            <family val="2"/>
          </rPr>
          <t xml:space="preserve">Conditional
</t>
        </r>
        <r>
          <rPr>
            <b/>
            <sz val="9"/>
            <color indexed="81"/>
            <rFont val="Tahoma"/>
            <family val="2"/>
          </rPr>
          <t>String
Max Length = 250</t>
        </r>
      </text>
    </comment>
    <comment ref="P12" authorId="1" shapeId="0" xr:uid="{8A1D850E-FFE7-4655-A9AD-5482AF59733B}">
      <text>
        <r>
          <rPr>
            <b/>
            <i/>
            <sz val="9"/>
            <color indexed="81"/>
            <rFont val="Tahoma"/>
            <family val="2"/>
          </rPr>
          <t xml:space="preserve">Optional
</t>
        </r>
        <r>
          <rPr>
            <b/>
            <sz val="9"/>
            <color indexed="81"/>
            <rFont val="Tahoma"/>
            <family val="2"/>
          </rPr>
          <t>Pick List
Max Length = N/A</t>
        </r>
      </text>
    </comment>
    <comment ref="Q12" authorId="1" shapeId="0" xr:uid="{DE4C607B-8161-48D2-B63F-E10255939AB8}">
      <text>
        <r>
          <rPr>
            <b/>
            <i/>
            <sz val="9"/>
            <color indexed="81"/>
            <rFont val="Tahoma"/>
            <family val="2"/>
          </rPr>
          <t xml:space="preserve">Conditional
</t>
        </r>
        <r>
          <rPr>
            <b/>
            <sz val="9"/>
            <color indexed="81"/>
            <rFont val="Tahoma"/>
            <family val="2"/>
          </rPr>
          <t>String
Max Length = 250</t>
        </r>
      </text>
    </comment>
    <comment ref="R12" authorId="1" shapeId="0" xr:uid="{4267E458-F420-44FC-80C1-B6C69311667F}">
      <text>
        <r>
          <rPr>
            <b/>
            <i/>
            <sz val="9"/>
            <color indexed="81"/>
            <rFont val="Tahoma"/>
            <family val="2"/>
          </rPr>
          <t xml:space="preserve">Optional
</t>
        </r>
        <r>
          <rPr>
            <b/>
            <sz val="9"/>
            <color indexed="81"/>
            <rFont val="Tahoma"/>
            <family val="2"/>
          </rPr>
          <t>Pick List
Max Length = N/A</t>
        </r>
      </text>
    </comment>
    <comment ref="S12" authorId="1" shapeId="0" xr:uid="{1A29CF25-F48D-41FD-B862-C40A2E630B3E}">
      <text>
        <r>
          <rPr>
            <b/>
            <i/>
            <sz val="9"/>
            <color indexed="81"/>
            <rFont val="Tahoma"/>
            <family val="2"/>
          </rPr>
          <t xml:space="preserve">Conditional
</t>
        </r>
        <r>
          <rPr>
            <b/>
            <sz val="9"/>
            <color indexed="81"/>
            <rFont val="Tahoma"/>
            <family val="2"/>
          </rPr>
          <t>String
Max Length = 250</t>
        </r>
      </text>
    </comment>
    <comment ref="T12" authorId="1" shapeId="0" xr:uid="{BEEA8DF8-6099-449C-866D-D8D02FACBE00}">
      <text>
        <r>
          <rPr>
            <b/>
            <i/>
            <sz val="9"/>
            <color indexed="81"/>
            <rFont val="Tahoma"/>
            <family val="2"/>
          </rPr>
          <t xml:space="preserve">Conditional
</t>
        </r>
        <r>
          <rPr>
            <b/>
            <sz val="9"/>
            <color indexed="81"/>
            <rFont val="Tahoma"/>
            <family val="2"/>
          </rPr>
          <t>String
Max Length = 250</t>
        </r>
      </text>
    </comment>
    <comment ref="U12" authorId="1" shapeId="0" xr:uid="{B0707EE1-44FA-41A0-9FB0-2D550EC6F123}">
      <text>
        <r>
          <rPr>
            <b/>
            <i/>
            <sz val="9"/>
            <color indexed="81"/>
            <rFont val="Tahoma"/>
            <family val="2"/>
          </rPr>
          <t xml:space="preserve">Conditional
</t>
        </r>
        <r>
          <rPr>
            <b/>
            <sz val="9"/>
            <color indexed="81"/>
            <rFont val="Tahoma"/>
            <family val="2"/>
          </rPr>
          <t>String
Max Length = 250</t>
        </r>
      </text>
    </comment>
    <comment ref="V12" authorId="1" shapeId="0" xr:uid="{133D6692-E2D2-49FC-9884-B8915705FC18}">
      <text>
        <r>
          <rPr>
            <b/>
            <i/>
            <sz val="9"/>
            <color indexed="81"/>
            <rFont val="Tahoma"/>
            <family val="2"/>
          </rPr>
          <t xml:space="preserve">Conditional
</t>
        </r>
        <r>
          <rPr>
            <b/>
            <sz val="9"/>
            <color indexed="81"/>
            <rFont val="Tahoma"/>
            <family val="2"/>
          </rPr>
          <t>Numeric
Max Length = 9999999999</t>
        </r>
      </text>
    </comment>
    <comment ref="W12" authorId="1" shapeId="0" xr:uid="{E133CE2C-2D14-47CA-A2AE-D49E12515844}">
      <text>
        <r>
          <rPr>
            <b/>
            <i/>
            <sz val="9"/>
            <color indexed="81"/>
            <rFont val="Tahoma"/>
            <family val="2"/>
          </rPr>
          <t xml:space="preserve">Conditional
</t>
        </r>
        <r>
          <rPr>
            <b/>
            <sz val="9"/>
            <color indexed="81"/>
            <rFont val="Tahoma"/>
            <family val="2"/>
          </rPr>
          <t>Currency
Max Length = 12,2</t>
        </r>
      </text>
    </comment>
    <comment ref="X12" authorId="1" shapeId="0" xr:uid="{A45FB67B-8F8C-4B93-94E5-745CBCAA97CD}">
      <text>
        <r>
          <rPr>
            <b/>
            <i/>
            <sz val="9"/>
            <color indexed="81"/>
            <rFont val="Tahoma"/>
            <family val="2"/>
          </rPr>
          <t xml:space="preserve">Conditional
</t>
        </r>
        <r>
          <rPr>
            <b/>
            <sz val="9"/>
            <color indexed="81"/>
            <rFont val="Tahoma"/>
            <family val="2"/>
          </rPr>
          <t>Pick List
Max Length = N/A</t>
        </r>
      </text>
    </comment>
    <comment ref="Y12" authorId="1" shapeId="0" xr:uid="{455959AC-9E1C-41D2-B6BE-690D57077433}">
      <text>
        <r>
          <rPr>
            <b/>
            <i/>
            <sz val="9"/>
            <color indexed="81"/>
            <rFont val="Tahoma"/>
            <family val="2"/>
          </rPr>
          <t xml:space="preserve">Conditional
</t>
        </r>
        <r>
          <rPr>
            <b/>
            <sz val="9"/>
            <color indexed="81"/>
            <rFont val="Tahoma"/>
            <family val="2"/>
          </rPr>
          <t>Numeric
Max Length = 9999999999</t>
        </r>
      </text>
    </comment>
    <comment ref="Z12" authorId="1" shapeId="0" xr:uid="{48514395-9752-44A8-A158-575CFFA6AC13}">
      <text>
        <r>
          <rPr>
            <b/>
            <i/>
            <sz val="9"/>
            <color indexed="81"/>
            <rFont val="Tahoma"/>
            <family val="2"/>
          </rPr>
          <t xml:space="preserve">Conditional
</t>
        </r>
        <r>
          <rPr>
            <b/>
            <sz val="9"/>
            <color indexed="81"/>
            <rFont val="Tahoma"/>
            <family val="2"/>
          </rPr>
          <t>String
Max Length = 10</t>
        </r>
      </text>
    </comment>
    <comment ref="AA12" authorId="1" shapeId="0" xr:uid="{93F52F7F-A0FE-4BA9-A593-571D4A61BE13}">
      <text>
        <r>
          <rPr>
            <b/>
            <i/>
            <sz val="9"/>
            <color indexed="81"/>
            <rFont val="Tahoma"/>
            <family val="2"/>
          </rPr>
          <t xml:space="preserve">Conditional
</t>
        </r>
        <r>
          <rPr>
            <b/>
            <sz val="9"/>
            <color indexed="81"/>
            <rFont val="Tahoma"/>
            <family val="2"/>
          </rPr>
          <t>String
Max Length = 750</t>
        </r>
      </text>
    </comment>
    <comment ref="AB12" authorId="1" shapeId="0" xr:uid="{6EE85340-2052-4B13-89E2-019998FB73B8}">
      <text>
        <r>
          <rPr>
            <b/>
            <i/>
            <sz val="9"/>
            <color indexed="81"/>
            <rFont val="Tahoma"/>
            <family val="2"/>
          </rPr>
          <t xml:space="preserve">Conditional
</t>
        </r>
        <r>
          <rPr>
            <b/>
            <sz val="9"/>
            <color indexed="81"/>
            <rFont val="Tahoma"/>
            <family val="2"/>
          </rPr>
          <t>String
Max Length = 250</t>
        </r>
      </text>
    </comment>
    <comment ref="AC12" authorId="1" shapeId="0" xr:uid="{17265E83-80E3-4BB5-A6BD-A6F6C662D857}">
      <text>
        <r>
          <rPr>
            <b/>
            <i/>
            <sz val="9"/>
            <color indexed="81"/>
            <rFont val="Tahoma"/>
            <family val="2"/>
          </rPr>
          <t xml:space="preserve">Required
</t>
        </r>
        <r>
          <rPr>
            <b/>
            <sz val="9"/>
            <color indexed="81"/>
            <rFont val="Tahoma"/>
            <family val="2"/>
          </rPr>
          <t>Pick List
Max Length = N/A</t>
        </r>
      </text>
    </comment>
    <comment ref="AD12" authorId="1" shapeId="0" xr:uid="{B35C49A1-7ADB-4CC7-BD7B-D21E6E7A946F}">
      <text>
        <r>
          <rPr>
            <b/>
            <i/>
            <sz val="9"/>
            <color indexed="81"/>
            <rFont val="Tahoma"/>
            <family val="2"/>
          </rPr>
          <t xml:space="preserve">Conditional
</t>
        </r>
        <r>
          <rPr>
            <b/>
            <sz val="9"/>
            <color indexed="81"/>
            <rFont val="Tahoma"/>
            <family val="2"/>
          </rPr>
          <t>Currency
Max Length = 12,2</t>
        </r>
      </text>
    </comment>
    <comment ref="AE12" authorId="1" shapeId="0" xr:uid="{3E361BFE-DB72-4618-815E-DC78C8E7979B}">
      <text>
        <r>
          <rPr>
            <b/>
            <i/>
            <sz val="9"/>
            <color indexed="81"/>
            <rFont val="Tahoma"/>
            <family val="2"/>
          </rPr>
          <t xml:space="preserve">Conditional
</t>
        </r>
        <r>
          <rPr>
            <b/>
            <sz val="9"/>
            <color indexed="81"/>
            <rFont val="Tahoma"/>
            <family val="2"/>
          </rPr>
          <t>Pick List
Max Length = N/A</t>
        </r>
      </text>
    </comment>
    <comment ref="AF12" authorId="1" shapeId="0" xr:uid="{BCB973C7-139D-45BD-80CE-55A565E09F97}">
      <text>
        <r>
          <rPr>
            <b/>
            <i/>
            <sz val="9"/>
            <color indexed="81"/>
            <rFont val="Tahoma"/>
            <family val="2"/>
          </rPr>
          <t xml:space="preserve">Conditional
</t>
        </r>
        <r>
          <rPr>
            <b/>
            <sz val="9"/>
            <color indexed="81"/>
            <rFont val="Tahoma"/>
            <family val="2"/>
          </rPr>
          <t>String
Max Length = 255</t>
        </r>
      </text>
    </comment>
    <comment ref="AG12" authorId="1" shapeId="0" xr:uid="{2976A2EE-F2C5-4056-A8CE-A5958DA0425A}">
      <text>
        <r>
          <rPr>
            <b/>
            <i/>
            <sz val="9"/>
            <color indexed="81"/>
            <rFont val="Tahoma"/>
            <family val="2"/>
          </rPr>
          <t xml:space="preserve">Conditional
</t>
        </r>
        <r>
          <rPr>
            <b/>
            <sz val="9"/>
            <color indexed="81"/>
            <rFont val="Tahoma"/>
            <family val="2"/>
          </rPr>
          <t>String
Max Length = 1500</t>
        </r>
      </text>
    </comment>
    <comment ref="AH12" authorId="1" shapeId="0" xr:uid="{4E45883A-E0A6-47DB-B38E-E41190F6ADA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130D3D0E-2D1A-4696-9F4F-E5E3EFE62DDD}">
      <text>
        <r>
          <rPr>
            <b/>
            <i/>
            <sz val="9"/>
            <color indexed="81"/>
            <rFont val="Tahoma"/>
            <family val="2"/>
          </rPr>
          <t xml:space="preserve">Required if Budget &gt; $10M
</t>
        </r>
        <r>
          <rPr>
            <b/>
            <sz val="9"/>
            <color indexed="81"/>
            <rFont val="Tahoma"/>
            <family val="2"/>
          </rPr>
          <t>Pick List
Max Length = N/A</t>
        </r>
      </text>
    </comment>
    <comment ref="AS12" authorId="1" shapeId="0" xr:uid="{FE4F3433-6B60-45A2-9025-D8B4957FE362}">
      <text>
        <r>
          <rPr>
            <b/>
            <i/>
            <sz val="9"/>
            <color indexed="81"/>
            <rFont val="Tahoma"/>
            <family val="2"/>
          </rPr>
          <t xml:space="preserve">Required if Budget &gt; $10M
</t>
        </r>
        <r>
          <rPr>
            <b/>
            <sz val="9"/>
            <color indexed="81"/>
            <rFont val="Tahoma"/>
            <family val="2"/>
          </rPr>
          <t>Pick List
Max Length = N/A</t>
        </r>
      </text>
    </comment>
    <comment ref="AT12" authorId="1" shapeId="0" xr:uid="{87E847B0-B59E-461B-8749-A79B60061911}">
      <text>
        <r>
          <rPr>
            <b/>
            <i/>
            <sz val="9"/>
            <color indexed="81"/>
            <rFont val="Tahoma"/>
            <family val="2"/>
          </rPr>
          <t xml:space="preserve">Required if Budget &gt; $10M
</t>
        </r>
        <r>
          <rPr>
            <b/>
            <sz val="9"/>
            <color indexed="81"/>
            <rFont val="Tahoma"/>
            <family val="2"/>
          </rPr>
          <t>Pick List
Max Length = N/A</t>
        </r>
      </text>
    </comment>
    <comment ref="AV12" authorId="1" shapeId="0" xr:uid="{9FC67407-0510-4FDE-BF86-A3281D170C94}">
      <text>
        <r>
          <rPr>
            <b/>
            <i/>
            <sz val="9"/>
            <color indexed="81"/>
            <rFont val="Tahoma"/>
            <family val="2"/>
          </rPr>
          <t xml:space="preserve">Conditional
</t>
        </r>
        <r>
          <rPr>
            <b/>
            <sz val="9"/>
            <color indexed="81"/>
            <rFont val="Tahoma"/>
            <family val="2"/>
          </rPr>
          <t>Numeric
Max Length = 9999999999</t>
        </r>
      </text>
    </comment>
    <comment ref="AW12" authorId="1" shapeId="0" xr:uid="{63ED687D-E646-45F4-948A-4EA25DDA3B9B}">
      <text>
        <r>
          <rPr>
            <b/>
            <i/>
            <sz val="9"/>
            <color indexed="81"/>
            <rFont val="Tahoma"/>
            <family val="2"/>
          </rPr>
          <t xml:space="preserve">Conditional
</t>
        </r>
        <r>
          <rPr>
            <b/>
            <sz val="9"/>
            <color indexed="81"/>
            <rFont val="Tahoma"/>
            <family val="2"/>
          </rPr>
          <t>Numeric
Max Length = 9999999999</t>
        </r>
      </text>
    </comment>
    <comment ref="AX12" authorId="1" shapeId="0" xr:uid="{B280F9FE-A434-4081-94A9-A386BEFEE66F}">
      <text>
        <r>
          <rPr>
            <b/>
            <i/>
            <sz val="9"/>
            <color indexed="81"/>
            <rFont val="Tahoma"/>
            <family val="2"/>
          </rPr>
          <t xml:space="preserve">Conditional
</t>
        </r>
        <r>
          <rPr>
            <b/>
            <sz val="9"/>
            <color indexed="81"/>
            <rFont val="Tahoma"/>
            <family val="2"/>
          </rPr>
          <t>Numeric
Max Length = 9999999999</t>
        </r>
      </text>
    </comment>
    <comment ref="AY12" authorId="1" shapeId="0" xr:uid="{7E794D15-5F73-46DF-BFAA-9986D070025D}">
      <text>
        <r>
          <rPr>
            <b/>
            <i/>
            <sz val="9"/>
            <color indexed="81"/>
            <rFont val="Tahoma"/>
            <family val="2"/>
          </rPr>
          <t xml:space="preserve">Conditional
</t>
        </r>
        <r>
          <rPr>
            <b/>
            <sz val="9"/>
            <color indexed="81"/>
            <rFont val="Tahoma"/>
            <family val="2"/>
          </rPr>
          <t>Numeric
Max Length = 9999999999</t>
        </r>
      </text>
    </comment>
    <comment ref="AZ12" authorId="1" shapeId="0" xr:uid="{6107A50D-F8A9-44C7-8E5C-89A9481D92EA}">
      <text>
        <r>
          <rPr>
            <b/>
            <i/>
            <sz val="9"/>
            <color indexed="81"/>
            <rFont val="Tahoma"/>
            <family val="2"/>
          </rPr>
          <t xml:space="preserve">Conditional
</t>
        </r>
        <r>
          <rPr>
            <b/>
            <sz val="9"/>
            <color indexed="81"/>
            <rFont val="Tahoma"/>
            <family val="2"/>
          </rPr>
          <t>Numeric
Max Length = 9999999999</t>
        </r>
      </text>
    </comment>
    <comment ref="BA12" authorId="1" shapeId="0" xr:uid="{D8368167-4AB4-482F-8BB3-E82499881660}">
      <text>
        <r>
          <rPr>
            <b/>
            <i/>
            <sz val="9"/>
            <color indexed="81"/>
            <rFont val="Tahoma"/>
            <family val="2"/>
          </rPr>
          <t xml:space="preserve">Conditional
</t>
        </r>
        <r>
          <rPr>
            <b/>
            <sz val="9"/>
            <color indexed="81"/>
            <rFont val="Tahoma"/>
            <family val="2"/>
          </rPr>
          <t>Numeric
Max Length = 9999999999</t>
        </r>
      </text>
    </comment>
    <comment ref="BB12" authorId="1" shapeId="0" xr:uid="{262DF984-59B9-4DED-BEA1-A0407D8A7DC2}">
      <text>
        <r>
          <rPr>
            <b/>
            <i/>
            <sz val="9"/>
            <color indexed="81"/>
            <rFont val="Tahoma"/>
            <family val="2"/>
          </rPr>
          <t xml:space="preserve">Conditional
</t>
        </r>
        <r>
          <rPr>
            <b/>
            <sz val="9"/>
            <color indexed="81"/>
            <rFont val="Tahoma"/>
            <family val="2"/>
          </rPr>
          <t>Numeric
Max Length = 9999999999</t>
        </r>
      </text>
    </comment>
    <comment ref="BC12" authorId="1" shapeId="0" xr:uid="{687EC56D-8637-4A1D-9F5D-1AED076F3D0F}">
      <text>
        <r>
          <rPr>
            <b/>
            <i/>
            <sz val="9"/>
            <color indexed="81"/>
            <rFont val="Tahoma"/>
            <family val="2"/>
          </rPr>
          <t xml:space="preserve">Conditional
</t>
        </r>
        <r>
          <rPr>
            <b/>
            <sz val="9"/>
            <color indexed="81"/>
            <rFont val="Tahoma"/>
            <family val="2"/>
          </rPr>
          <t>Numeric
Max Length = 9999999999</t>
        </r>
      </text>
    </comment>
    <comment ref="BD12" authorId="1" shapeId="0" xr:uid="{4108C317-C107-441B-AD1E-B6D4EF7691E8}">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45EE46AC-409C-47D4-B0E6-C64ADFA9034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4392EC27-1911-4422-A730-995096B651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B0E2FD1-639C-47C5-A95B-59349E3E0B5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056AA11-8BF6-4538-83B0-6561959D221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41703645-8E09-4DD4-BED8-1EADA39884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AF7904F-7B8D-4A71-A6B0-800AC70A1F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C5ABC9F-CEBE-408F-A24D-633059DD0B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85DBF7A-F923-4868-A599-7C684E7C16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9EB079CC-AD9F-459D-A001-305AE3B01DA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0AA5898-BCBD-412E-AEB6-AFACA51F9C4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8B6D330-63AA-48DE-9C3E-0C1E9321FED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14F7FD0-ADB5-422B-AD5F-FFF88227B163}">
      <text>
        <r>
          <rPr>
            <b/>
            <i/>
            <sz val="9"/>
            <color indexed="81"/>
            <rFont val="Tahoma"/>
            <family val="2"/>
          </rPr>
          <t xml:space="preserve">Conditional
</t>
        </r>
        <r>
          <rPr>
            <b/>
            <sz val="9"/>
            <color indexed="81"/>
            <rFont val="Tahoma"/>
            <family val="2"/>
          </rPr>
          <t>String
Max Length = 250</t>
        </r>
      </text>
    </comment>
    <comment ref="O12" authorId="1" shapeId="0" xr:uid="{C6E01A56-57DB-432E-8629-E1ADD8704FFF}">
      <text>
        <r>
          <rPr>
            <b/>
            <i/>
            <sz val="9"/>
            <color indexed="81"/>
            <rFont val="Tahoma"/>
            <family val="2"/>
          </rPr>
          <t xml:space="preserve">Conditional
</t>
        </r>
        <r>
          <rPr>
            <b/>
            <sz val="9"/>
            <color indexed="81"/>
            <rFont val="Tahoma"/>
            <family val="2"/>
          </rPr>
          <t>String
Max Length = 250</t>
        </r>
      </text>
    </comment>
    <comment ref="P12" authorId="1" shapeId="0" xr:uid="{C2FE36D9-D43A-44A9-9E5F-DE239700BD39}">
      <text>
        <r>
          <rPr>
            <b/>
            <i/>
            <sz val="9"/>
            <color indexed="81"/>
            <rFont val="Tahoma"/>
            <family val="2"/>
          </rPr>
          <t xml:space="preserve">Conditional
</t>
        </r>
        <r>
          <rPr>
            <b/>
            <sz val="9"/>
            <color indexed="81"/>
            <rFont val="Tahoma"/>
            <family val="2"/>
          </rPr>
          <t>Numeric
Max Length = 9999999999</t>
        </r>
      </text>
    </comment>
    <comment ref="Q12" authorId="1" shapeId="0" xr:uid="{394EDDE2-DDA3-4834-B0D5-37FA9CBAC1E8}">
      <text>
        <r>
          <rPr>
            <b/>
            <i/>
            <sz val="9"/>
            <color indexed="81"/>
            <rFont val="Tahoma"/>
            <family val="2"/>
          </rPr>
          <t xml:space="preserve">Conditional
</t>
        </r>
        <r>
          <rPr>
            <b/>
            <sz val="9"/>
            <color indexed="81"/>
            <rFont val="Tahoma"/>
            <family val="2"/>
          </rPr>
          <t>Numeric
Max Length = 9999999999</t>
        </r>
      </text>
    </comment>
    <comment ref="R12" authorId="1" shapeId="0" xr:uid="{B110CC22-4929-43E7-9941-08C57AE0153B}">
      <text>
        <r>
          <rPr>
            <b/>
            <i/>
            <sz val="9"/>
            <color indexed="81"/>
            <rFont val="Tahoma"/>
            <family val="2"/>
          </rPr>
          <t xml:space="preserve">Required
</t>
        </r>
        <r>
          <rPr>
            <b/>
            <sz val="9"/>
            <color indexed="81"/>
            <rFont val="Tahoma"/>
            <family val="2"/>
          </rPr>
          <t>Pick List
Max Length = N/A</t>
        </r>
      </text>
    </comment>
    <comment ref="S12" authorId="1" shapeId="0" xr:uid="{BBF218CD-1CDE-4473-8ED0-41A1589F4A24}">
      <text>
        <r>
          <rPr>
            <b/>
            <i/>
            <sz val="9"/>
            <color indexed="81"/>
            <rFont val="Tahoma"/>
            <family val="2"/>
          </rPr>
          <t xml:space="preserve">Conditional
</t>
        </r>
        <r>
          <rPr>
            <b/>
            <sz val="9"/>
            <color indexed="81"/>
            <rFont val="Tahoma"/>
            <family val="2"/>
          </rPr>
          <t>Currency
Max Length = 12,2</t>
        </r>
      </text>
    </comment>
    <comment ref="T12" authorId="1" shapeId="0" xr:uid="{C0DA8236-85A6-4510-93FB-802D7B983665}">
      <text>
        <r>
          <rPr>
            <b/>
            <i/>
            <sz val="9"/>
            <color indexed="81"/>
            <rFont val="Tahoma"/>
            <family val="2"/>
          </rPr>
          <t xml:space="preserve">Conditional
</t>
        </r>
        <r>
          <rPr>
            <b/>
            <sz val="9"/>
            <color indexed="81"/>
            <rFont val="Tahoma"/>
            <family val="2"/>
          </rPr>
          <t>Pick List
Max Length = N/A</t>
        </r>
      </text>
    </comment>
    <comment ref="U12" authorId="1" shapeId="0" xr:uid="{A7224E5E-F39E-411C-88EC-3A5FA7F94847}">
      <text>
        <r>
          <rPr>
            <b/>
            <i/>
            <sz val="9"/>
            <color indexed="81"/>
            <rFont val="Tahoma"/>
            <family val="2"/>
          </rPr>
          <t xml:space="preserve">Conditional
</t>
        </r>
        <r>
          <rPr>
            <b/>
            <sz val="9"/>
            <color indexed="81"/>
            <rFont val="Tahoma"/>
            <family val="2"/>
          </rPr>
          <t>String
Max Length = 255</t>
        </r>
      </text>
    </comment>
    <comment ref="V12" authorId="1" shapeId="0" xr:uid="{D4D9E5DA-C1BB-4C00-BA27-944FFC41DAC9}">
      <text>
        <r>
          <rPr>
            <b/>
            <i/>
            <sz val="9"/>
            <color indexed="81"/>
            <rFont val="Tahoma"/>
            <family val="2"/>
          </rPr>
          <t xml:space="preserve">Conditional
</t>
        </r>
        <r>
          <rPr>
            <b/>
            <sz val="9"/>
            <color indexed="81"/>
            <rFont val="Tahoma"/>
            <family val="2"/>
          </rPr>
          <t>String
Max Length = 1500</t>
        </r>
      </text>
    </comment>
    <comment ref="W12" authorId="1" shapeId="0" xr:uid="{89141E38-290B-45C3-BECB-F36A7A3B64A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89CA43D1-BB77-4DF3-A935-A9DDEFC82D8F}">
      <text>
        <r>
          <rPr>
            <b/>
            <i/>
            <sz val="9"/>
            <color indexed="81"/>
            <rFont val="Tahoma"/>
            <family val="2"/>
          </rPr>
          <t xml:space="preserve">Required if Budget &gt; $10M
</t>
        </r>
        <r>
          <rPr>
            <b/>
            <sz val="9"/>
            <color indexed="81"/>
            <rFont val="Tahoma"/>
            <family val="2"/>
          </rPr>
          <t>Pick List
Max Length = N/A</t>
        </r>
      </text>
    </comment>
    <comment ref="AH12" authorId="1" shapeId="0" xr:uid="{1E37AB6F-9C8F-4DA6-996E-3FBB57782242}">
      <text>
        <r>
          <rPr>
            <b/>
            <i/>
            <sz val="9"/>
            <color indexed="81"/>
            <rFont val="Tahoma"/>
            <family val="2"/>
          </rPr>
          <t xml:space="preserve">Required if Budget &gt; $10M
</t>
        </r>
        <r>
          <rPr>
            <b/>
            <sz val="9"/>
            <color indexed="81"/>
            <rFont val="Tahoma"/>
            <family val="2"/>
          </rPr>
          <t>Pick List
Max Length = N/A</t>
        </r>
      </text>
    </comment>
    <comment ref="AI12" authorId="1" shapeId="0" xr:uid="{F267ADDE-0DC4-4304-AA8B-00B618E82767}">
      <text>
        <r>
          <rPr>
            <b/>
            <i/>
            <sz val="9"/>
            <color indexed="81"/>
            <rFont val="Tahoma"/>
            <family val="2"/>
          </rPr>
          <t xml:space="preserve">Required if Budget &gt; $10M
</t>
        </r>
        <r>
          <rPr>
            <b/>
            <sz val="9"/>
            <color indexed="81"/>
            <rFont val="Tahoma"/>
            <family val="2"/>
          </rPr>
          <t>Pick List
Max Length = N/A</t>
        </r>
      </text>
    </comment>
    <comment ref="AK12" authorId="1" shapeId="0" xr:uid="{A0ADFE40-1AC2-453C-9FB8-F71079E0A65A}">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362D1D77-0EDD-471F-B6C2-A19D984E43F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EAB75F9-58EB-4D47-B82C-E334ADFC382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2A95A7-4AEC-4EBB-94C9-7C7C6873036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236EF7A-C08C-4B2D-808C-124DDAE4950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4533288-9841-41D3-BD64-B4AB84438B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0668B2F-EC71-40F4-B60D-7E03ACA028C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08E3C39-3829-4974-83DA-F9041108BA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F912921-40B2-46C4-974C-679D1C1D74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4FC72AE-22D1-42E5-808F-2346C2929F2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F4D0BD1-B486-485E-9FFD-3631147EC2A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7F79D2F-B3CA-4A32-8B7E-FAA0F8161C0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CEDE0BE-6391-4AD1-8C30-EA464CE06934}">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2CE3300C-EE33-42BE-B66B-B2A92BCC842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CCD05633-2F48-491E-A186-51E428515D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5A10EEFF-F93A-4705-BF54-D85A4D960D9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79DB8633-0F87-4C21-93D5-EA97282B82C4}">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B264ED2-8BCD-4F4B-A6DD-F8907988240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9157727-D957-4AA4-B387-261D7FB6255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7DA039D-57B2-4E2D-AD7C-4C6CC8312E2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10909A8-7175-4AB8-BDD5-FED03146248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795F28A-3F33-4AD1-A168-660E0736568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69EC149-6AF2-44CC-94B7-7A0A41DB4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FF9FD9D-5C09-4E8D-8BEB-CEC4792759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8D22274-823F-4AB4-A5B1-698E15677E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30A2D1D-2291-4ED2-9597-953ADA0AC4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56E79A3-72AF-4C05-B009-7C3DF6D76BD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DF018EC-DBB9-4788-BFD9-B9C1928920C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41E9957-F286-41BB-ABE6-83291C5F64E5}">
      <text>
        <r>
          <rPr>
            <b/>
            <i/>
            <sz val="9"/>
            <color indexed="81"/>
            <rFont val="Tahoma"/>
            <family val="2"/>
          </rPr>
          <t xml:space="preserve">Conditional
</t>
        </r>
        <r>
          <rPr>
            <b/>
            <sz val="9"/>
            <color indexed="81"/>
            <rFont val="Tahoma"/>
            <family val="2"/>
          </rPr>
          <t>Date
mm/dd/yyyy</t>
        </r>
      </text>
    </comment>
    <comment ref="O12" authorId="1" shapeId="0" xr:uid="{FD8DF65F-2EAC-41F5-919E-68026BE00E15}">
      <text>
        <r>
          <rPr>
            <b/>
            <i/>
            <sz val="9"/>
            <color indexed="81"/>
            <rFont val="Tahoma"/>
            <family val="2"/>
          </rPr>
          <t xml:space="preserve">Conditional
</t>
        </r>
        <r>
          <rPr>
            <b/>
            <sz val="9"/>
            <color indexed="81"/>
            <rFont val="Tahoma"/>
            <family val="2"/>
          </rPr>
          <t>Date
mm/dd/yyyy</t>
        </r>
      </text>
    </comment>
    <comment ref="P12" authorId="1" shapeId="0" xr:uid="{DE8350D6-038A-436C-B28E-2637BD671232}">
      <text>
        <r>
          <rPr>
            <b/>
            <i/>
            <sz val="9"/>
            <color indexed="81"/>
            <rFont val="Tahoma"/>
            <family val="2"/>
          </rPr>
          <t xml:space="preserve">Conditional
</t>
        </r>
        <r>
          <rPr>
            <b/>
            <sz val="9"/>
            <color indexed="81"/>
            <rFont val="Tahoma"/>
            <family val="2"/>
          </rPr>
          <t>Pick List
Max Length = N/A</t>
        </r>
      </text>
    </comment>
    <comment ref="Q12" authorId="1" shapeId="0" xr:uid="{1EBE4495-1561-42B3-81A8-996DA7F6F91E}">
      <text>
        <r>
          <rPr>
            <b/>
            <i/>
            <sz val="9"/>
            <color indexed="81"/>
            <rFont val="Tahoma"/>
            <family val="2"/>
          </rPr>
          <t xml:space="preserve">Conditional
</t>
        </r>
        <r>
          <rPr>
            <b/>
            <sz val="9"/>
            <color indexed="81"/>
            <rFont val="Tahoma"/>
            <family val="2"/>
          </rPr>
          <t>String
Max Length = 255</t>
        </r>
      </text>
    </comment>
    <comment ref="R12" authorId="1" shapeId="0" xr:uid="{0EA7A2C2-3540-4536-80B1-B5E3C51990FB}">
      <text>
        <r>
          <rPr>
            <b/>
            <i/>
            <sz val="9"/>
            <color indexed="81"/>
            <rFont val="Tahoma"/>
            <family val="2"/>
          </rPr>
          <t xml:space="preserve">Required if Budget &gt; $10M
</t>
        </r>
        <r>
          <rPr>
            <b/>
            <sz val="9"/>
            <color indexed="81"/>
            <rFont val="Tahoma"/>
            <family val="2"/>
          </rPr>
          <t>Pick List
Max Length = N/A</t>
        </r>
      </text>
    </comment>
    <comment ref="V12" authorId="1" shapeId="0" xr:uid="{81792470-6CD9-4DB3-B83E-51A76A008C6A}">
      <text>
        <r>
          <rPr>
            <b/>
            <i/>
            <sz val="9"/>
            <color indexed="81"/>
            <rFont val="Tahoma"/>
            <family val="2"/>
          </rPr>
          <t xml:space="preserve">Required if DB is No
</t>
        </r>
        <r>
          <rPr>
            <b/>
            <sz val="9"/>
            <color indexed="81"/>
            <rFont val="Tahoma"/>
            <family val="2"/>
          </rPr>
          <t>Pick List
Max Length = N/A</t>
        </r>
      </text>
    </comment>
    <comment ref="W12" authorId="1" shapeId="0" xr:uid="{D1ABF9D3-0B8E-4F0A-B57D-BDAE98D5C392}">
      <text>
        <r>
          <rPr>
            <b/>
            <i/>
            <sz val="9"/>
            <color indexed="81"/>
            <rFont val="Tahoma"/>
            <family val="2"/>
          </rPr>
          <t xml:space="preserve">Required if Budget &gt; $10M
</t>
        </r>
        <r>
          <rPr>
            <b/>
            <sz val="9"/>
            <color indexed="81"/>
            <rFont val="Tahoma"/>
            <family val="2"/>
          </rPr>
          <t>Pick List
Max Length = N/A</t>
        </r>
      </text>
    </comment>
    <comment ref="AA12" authorId="1" shapeId="0" xr:uid="{5AB0A17D-9AB4-4750-97D9-5DE34B93E113}">
      <text>
        <r>
          <rPr>
            <b/>
            <i/>
            <sz val="9"/>
            <color indexed="81"/>
            <rFont val="Tahoma"/>
            <family val="2"/>
          </rPr>
          <t xml:space="preserve">Required if PLA is No
</t>
        </r>
        <r>
          <rPr>
            <b/>
            <sz val="9"/>
            <color indexed="81"/>
            <rFont val="Tahoma"/>
            <family val="2"/>
          </rPr>
          <t>Pick List
Max Length = N/A</t>
        </r>
      </text>
    </comment>
    <comment ref="AB12" authorId="1" shapeId="0" xr:uid="{53385147-2296-41D0-BD3C-4948C9851EC9}">
      <text>
        <r>
          <rPr>
            <b/>
            <i/>
            <sz val="9"/>
            <color indexed="81"/>
            <rFont val="Tahoma"/>
            <family val="2"/>
          </rPr>
          <t xml:space="preserve">Required if PLA is No
</t>
        </r>
        <r>
          <rPr>
            <b/>
            <sz val="9"/>
            <color indexed="81"/>
            <rFont val="Tahoma"/>
            <family val="2"/>
          </rPr>
          <t>Pick List
Max Length = N/A</t>
        </r>
      </text>
    </comment>
    <comment ref="AC12" authorId="1" shapeId="0" xr:uid="{A9ED4854-3372-40B6-BC06-FAE80235D768}">
      <text>
        <r>
          <rPr>
            <b/>
            <i/>
            <sz val="9"/>
            <color indexed="81"/>
            <rFont val="Tahoma"/>
            <family val="2"/>
          </rPr>
          <t xml:space="preserve">Required if Budget &gt; $10M
</t>
        </r>
        <r>
          <rPr>
            <b/>
            <sz val="9"/>
            <color indexed="81"/>
            <rFont val="Tahoma"/>
            <family val="2"/>
          </rPr>
          <t>Pick List
Max Length = N/A</t>
        </r>
      </text>
    </comment>
    <comment ref="AD12" authorId="1" shapeId="0" xr:uid="{173A35A7-6DB9-4EFA-9EF1-1E276C5FA0EB}">
      <text>
        <r>
          <rPr>
            <b/>
            <i/>
            <sz val="9"/>
            <color indexed="81"/>
            <rFont val="Tahoma"/>
            <family val="2"/>
          </rPr>
          <t xml:space="preserve">Required if Budget &gt; $10M
</t>
        </r>
        <r>
          <rPr>
            <b/>
            <sz val="9"/>
            <color indexed="81"/>
            <rFont val="Tahoma"/>
            <family val="2"/>
          </rPr>
          <t>Pick List
Max Length = N/A</t>
        </r>
      </text>
    </comment>
    <comment ref="AF12" authorId="1" shapeId="0" xr:uid="{D0D9330D-C0F2-43DC-AEA3-99B49E45ECAC}">
      <text>
        <r>
          <rPr>
            <b/>
            <i/>
            <sz val="9"/>
            <color indexed="81"/>
            <rFont val="Tahoma"/>
            <family val="2"/>
          </rPr>
          <t xml:space="preserve">Conditional
</t>
        </r>
        <r>
          <rPr>
            <b/>
            <sz val="9"/>
            <color indexed="81"/>
            <rFont val="Tahoma"/>
            <family val="2"/>
          </rPr>
          <t>String
Max Length = 50</t>
        </r>
      </text>
    </comment>
    <comment ref="AG12" authorId="1" shapeId="0" xr:uid="{D83D62C4-7116-453B-AEC3-45509F54779E}">
      <text>
        <r>
          <rPr>
            <b/>
            <i/>
            <sz val="9"/>
            <color indexed="81"/>
            <rFont val="Tahoma"/>
            <family val="2"/>
          </rPr>
          <t xml:space="preserve">Conditional
</t>
        </r>
        <r>
          <rPr>
            <b/>
            <sz val="9"/>
            <color indexed="81"/>
            <rFont val="Tahoma"/>
            <family val="2"/>
          </rPr>
          <t>String
Max Length = 50</t>
        </r>
      </text>
    </comment>
    <comment ref="AH12" authorId="1" shapeId="0" xr:uid="{44337EE4-C566-4B47-BDA0-80CC5BF4E0D3}">
      <text>
        <r>
          <rPr>
            <b/>
            <i/>
            <sz val="9"/>
            <color indexed="81"/>
            <rFont val="Tahoma"/>
            <family val="2"/>
          </rPr>
          <t xml:space="preserve">Required
</t>
        </r>
        <r>
          <rPr>
            <b/>
            <sz val="9"/>
            <color indexed="81"/>
            <rFont val="Tahoma"/>
            <family val="2"/>
          </rPr>
          <t>Pick List
Max Length = N/A</t>
        </r>
      </text>
    </comment>
    <comment ref="AI12" authorId="1" shapeId="0" xr:uid="{0AABC85A-5C4C-4C6E-B8B8-423E5EB77297}">
      <text>
        <r>
          <rPr>
            <b/>
            <i/>
            <sz val="9"/>
            <color indexed="81"/>
            <rFont val="Tahoma"/>
            <family val="2"/>
          </rPr>
          <t xml:space="preserve">Conditional
</t>
        </r>
        <r>
          <rPr>
            <b/>
            <sz val="9"/>
            <color indexed="81"/>
            <rFont val="Tahoma"/>
            <family val="2"/>
          </rPr>
          <t>String
Max Length = 1500</t>
        </r>
      </text>
    </comment>
    <comment ref="AJ12" authorId="1" shapeId="0" xr:uid="{B6467CDC-514E-47CA-8344-C24BA51C8458}">
      <text>
        <r>
          <rPr>
            <b/>
            <i/>
            <sz val="9"/>
            <color indexed="81"/>
            <rFont val="Tahoma"/>
            <family val="2"/>
          </rPr>
          <t xml:space="preserve">Conditional
</t>
        </r>
        <r>
          <rPr>
            <b/>
            <sz val="9"/>
            <color indexed="81"/>
            <rFont val="Tahoma"/>
            <family val="2"/>
          </rPr>
          <t>Pick List
Max Length = N/A</t>
        </r>
      </text>
    </comment>
    <comment ref="AK12" authorId="1" shapeId="0" xr:uid="{ACF6C036-8191-435B-8847-4A0B61A975F4}">
      <text>
        <r>
          <rPr>
            <b/>
            <i/>
            <sz val="9"/>
            <color indexed="81"/>
            <rFont val="Tahoma"/>
            <family val="2"/>
          </rPr>
          <t xml:space="preserve">Conditional
</t>
        </r>
        <r>
          <rPr>
            <b/>
            <sz val="9"/>
            <color indexed="81"/>
            <rFont val="Tahoma"/>
            <family val="2"/>
          </rPr>
          <t>Currency
Max Length = 12,2</t>
        </r>
      </text>
    </comment>
    <comment ref="AL12" authorId="1" shapeId="0" xr:uid="{77EEF9D4-C2D5-4678-8770-FD9B88359DF9}">
      <text>
        <r>
          <rPr>
            <b/>
            <i/>
            <sz val="9"/>
            <color indexed="81"/>
            <rFont val="Tahoma"/>
            <family val="2"/>
          </rPr>
          <t xml:space="preserve">Conditional
</t>
        </r>
        <r>
          <rPr>
            <b/>
            <sz val="9"/>
            <color indexed="81"/>
            <rFont val="Tahoma"/>
            <family val="2"/>
          </rPr>
          <t>Currency
Max Length = 12,2</t>
        </r>
      </text>
    </comment>
    <comment ref="AM12" authorId="1" shapeId="0" xr:uid="{770F967D-9ECB-4C62-AD60-1F626D230C3B}">
      <text>
        <r>
          <rPr>
            <b/>
            <i/>
            <sz val="9"/>
            <color indexed="81"/>
            <rFont val="Tahoma"/>
            <family val="2"/>
          </rPr>
          <t xml:space="preserve">Conditional
</t>
        </r>
        <r>
          <rPr>
            <b/>
            <sz val="9"/>
            <color indexed="81"/>
            <rFont val="Tahoma"/>
            <family val="2"/>
          </rPr>
          <t>Pick List
Max Length = N/A</t>
        </r>
      </text>
    </comment>
    <comment ref="AN12" authorId="1" shapeId="0" xr:uid="{E26D98AF-DC07-4C7A-A4B4-C4EF2CE98DD4}">
      <text>
        <r>
          <rPr>
            <b/>
            <i/>
            <sz val="9"/>
            <color indexed="81"/>
            <rFont val="Tahoma"/>
            <family val="2"/>
          </rPr>
          <t xml:space="preserve">Required
</t>
        </r>
        <r>
          <rPr>
            <b/>
            <sz val="9"/>
            <color indexed="81"/>
            <rFont val="Tahoma"/>
            <family val="2"/>
          </rPr>
          <t>Pick List
Max Length = N/A</t>
        </r>
      </text>
    </comment>
    <comment ref="AO12" authorId="1" shapeId="0" xr:uid="{55EBE773-45DA-43C1-8D07-F15E24CD47DE}">
      <text>
        <r>
          <rPr>
            <b/>
            <i/>
            <sz val="9"/>
            <color indexed="81"/>
            <rFont val="Tahoma"/>
            <family val="2"/>
          </rPr>
          <t xml:space="preserve">Conditional
</t>
        </r>
        <r>
          <rPr>
            <b/>
            <sz val="9"/>
            <color indexed="81"/>
            <rFont val="Tahoma"/>
            <family val="2"/>
          </rPr>
          <t>String
Max Length = 250</t>
        </r>
      </text>
    </comment>
    <comment ref="AP12" authorId="1" shapeId="0" xr:uid="{19FBC103-A8F9-4BF9-B880-1C24C25CA309}">
      <text>
        <r>
          <rPr>
            <b/>
            <i/>
            <sz val="9"/>
            <color indexed="81"/>
            <rFont val="Tahoma"/>
            <family val="2"/>
          </rPr>
          <t xml:space="preserve">Conditional
</t>
        </r>
        <r>
          <rPr>
            <b/>
            <sz val="9"/>
            <color indexed="81"/>
            <rFont val="Tahoma"/>
            <family val="2"/>
          </rPr>
          <t>Pick List
Max Length = N/A</t>
        </r>
      </text>
    </comment>
    <comment ref="AQ12" authorId="1" shapeId="0" xr:uid="{8A6140F5-7D3F-4240-827A-882E0D36D080}">
      <text>
        <r>
          <rPr>
            <b/>
            <i/>
            <sz val="9"/>
            <color indexed="81"/>
            <rFont val="Tahoma"/>
            <family val="2"/>
          </rPr>
          <t xml:space="preserve">Conditional
</t>
        </r>
        <r>
          <rPr>
            <b/>
            <sz val="9"/>
            <color indexed="81"/>
            <rFont val="Tahoma"/>
            <family val="2"/>
          </rPr>
          <t>String
Max Length = 250</t>
        </r>
      </text>
    </comment>
    <comment ref="AR12" authorId="1" shapeId="0" xr:uid="{E84B21B3-8C80-4147-831B-E97DA07097F4}">
      <text>
        <r>
          <rPr>
            <b/>
            <i/>
            <sz val="9"/>
            <color indexed="81"/>
            <rFont val="Tahoma"/>
            <family val="2"/>
          </rPr>
          <t xml:space="preserve">Required
</t>
        </r>
        <r>
          <rPr>
            <b/>
            <sz val="9"/>
            <color indexed="81"/>
            <rFont val="Tahoma"/>
            <family val="2"/>
          </rPr>
          <t>Numeric
Max Length = 9999999999</t>
        </r>
      </text>
    </comment>
    <comment ref="AS12" authorId="1" shapeId="0" xr:uid="{AEE704BB-D295-4D50-AF50-C0AE52BE9792}">
      <text>
        <r>
          <rPr>
            <b/>
            <i/>
            <sz val="9"/>
            <color indexed="81"/>
            <rFont val="Tahoma"/>
            <family val="2"/>
          </rPr>
          <t xml:space="preserve">Conditional
</t>
        </r>
        <r>
          <rPr>
            <b/>
            <sz val="9"/>
            <color indexed="81"/>
            <rFont val="Tahoma"/>
            <family val="2"/>
          </rPr>
          <t>Numeric
Max Length = 9999999999</t>
        </r>
      </text>
    </comment>
    <comment ref="AT12" authorId="1" shapeId="0" xr:uid="{2366B255-D93D-4BFE-BBC9-7F32ED0E534E}">
      <text>
        <r>
          <rPr>
            <b/>
            <i/>
            <sz val="9"/>
            <color indexed="81"/>
            <rFont val="Tahoma"/>
            <family val="2"/>
          </rPr>
          <t xml:space="preserve">Required
</t>
        </r>
        <r>
          <rPr>
            <b/>
            <sz val="9"/>
            <color indexed="81"/>
            <rFont val="Tahoma"/>
            <family val="2"/>
          </rPr>
          <t>Numeric
Max Length = 9999999999</t>
        </r>
      </text>
    </comment>
    <comment ref="AU12" authorId="1" shapeId="0" xr:uid="{880BA3B6-8E64-47C4-904A-FEC414F09ABE}">
      <text>
        <r>
          <rPr>
            <b/>
            <i/>
            <sz val="9"/>
            <color indexed="81"/>
            <rFont val="Tahoma"/>
            <family val="2"/>
          </rPr>
          <t xml:space="preserve">Conditional
</t>
        </r>
        <r>
          <rPr>
            <b/>
            <sz val="9"/>
            <color indexed="81"/>
            <rFont val="Tahoma"/>
            <family val="2"/>
          </rPr>
          <t>Numeric
Max Length = 9999999999</t>
        </r>
      </text>
    </comment>
    <comment ref="AV12" authorId="1" shapeId="0" xr:uid="{1625287D-19ED-4798-8440-10D2B51C618F}">
      <text>
        <r>
          <rPr>
            <b/>
            <i/>
            <sz val="9"/>
            <color indexed="81"/>
            <rFont val="Tahoma"/>
            <family val="2"/>
          </rPr>
          <t xml:space="preserve">Required
</t>
        </r>
        <r>
          <rPr>
            <b/>
            <sz val="9"/>
            <color indexed="81"/>
            <rFont val="Tahoma"/>
            <family val="2"/>
          </rPr>
          <t>Numeric
Max Length = 9999999999</t>
        </r>
      </text>
    </comment>
    <comment ref="AW12" authorId="1" shapeId="0" xr:uid="{D9010CF1-152D-48EF-BDAD-12F9C98F9087}">
      <text>
        <r>
          <rPr>
            <b/>
            <i/>
            <sz val="9"/>
            <color indexed="81"/>
            <rFont val="Tahoma"/>
            <family val="2"/>
          </rPr>
          <t xml:space="preserve">Required
</t>
        </r>
        <r>
          <rPr>
            <b/>
            <sz val="9"/>
            <color indexed="81"/>
            <rFont val="Tahoma"/>
            <family val="2"/>
          </rPr>
          <t>Numeric
Max Length = 9999999999</t>
        </r>
      </text>
    </comment>
    <comment ref="AX12" authorId="1" shapeId="0" xr:uid="{FAC17F5F-B14D-489E-9C8B-30C717AEEDF6}">
      <text>
        <r>
          <rPr>
            <b/>
            <i/>
            <sz val="9"/>
            <color indexed="81"/>
            <rFont val="Tahoma"/>
            <family val="2"/>
          </rPr>
          <t xml:space="preserve">Conditional
</t>
        </r>
        <r>
          <rPr>
            <b/>
            <sz val="9"/>
            <color indexed="81"/>
            <rFont val="Tahoma"/>
            <family val="2"/>
          </rPr>
          <t>Numeric
Max Length = 9999999999</t>
        </r>
      </text>
    </comment>
    <comment ref="AY12" authorId="1" shapeId="0" xr:uid="{F8C22E07-F48A-4FA2-B6EF-516C36BE9406}">
      <text>
        <r>
          <rPr>
            <b/>
            <i/>
            <sz val="9"/>
            <color indexed="81"/>
            <rFont val="Tahoma"/>
            <family val="2"/>
          </rPr>
          <t xml:space="preserve">Conditional
</t>
        </r>
        <r>
          <rPr>
            <b/>
            <sz val="9"/>
            <color indexed="81"/>
            <rFont val="Tahoma"/>
            <family val="2"/>
          </rPr>
          <t>Numeric
Max Length = 9999999999</t>
        </r>
      </text>
    </comment>
    <comment ref="AZ12" authorId="1" shapeId="0" xr:uid="{88AF5CB0-D0A5-40E8-9D5A-8EA9CDE6052D}">
      <text>
        <r>
          <rPr>
            <b/>
            <i/>
            <sz val="9"/>
            <color indexed="81"/>
            <rFont val="Tahoma"/>
            <family val="2"/>
          </rPr>
          <t xml:space="preserve">Required
</t>
        </r>
        <r>
          <rPr>
            <b/>
            <sz val="9"/>
            <color indexed="81"/>
            <rFont val="Tahoma"/>
            <family val="2"/>
          </rPr>
          <t>Numeric
Max Length = 9999999999</t>
        </r>
      </text>
    </comment>
    <comment ref="BA12" authorId="1" shapeId="0" xr:uid="{63F9A672-03A4-45E7-B7AC-F23515734880}">
      <text>
        <r>
          <rPr>
            <b/>
            <i/>
            <sz val="9"/>
            <color indexed="81"/>
            <rFont val="Tahoma"/>
            <family val="2"/>
          </rPr>
          <t xml:space="preserve">Conditional
</t>
        </r>
        <r>
          <rPr>
            <b/>
            <sz val="9"/>
            <color indexed="81"/>
            <rFont val="Tahoma"/>
            <family val="2"/>
          </rPr>
          <t>Numeric
Max Length = 9999999999</t>
        </r>
      </text>
    </comment>
    <comment ref="BB12" authorId="1" shapeId="0" xr:uid="{BE01A111-93F6-4137-BAC7-8CC0E0EB596B}">
      <text>
        <r>
          <rPr>
            <b/>
            <i/>
            <sz val="9"/>
            <color indexed="81"/>
            <rFont val="Tahoma"/>
            <family val="2"/>
          </rPr>
          <t xml:space="preserve">Required
</t>
        </r>
        <r>
          <rPr>
            <b/>
            <sz val="9"/>
            <color indexed="81"/>
            <rFont val="Tahoma"/>
            <family val="2"/>
          </rPr>
          <t>Numeric
Max Length = 9999999999</t>
        </r>
      </text>
    </comment>
    <comment ref="BC12" authorId="1" shapeId="0" xr:uid="{1259A60F-5650-4738-AE3F-04B474B6FC64}">
      <text>
        <r>
          <rPr>
            <b/>
            <i/>
            <sz val="9"/>
            <color indexed="81"/>
            <rFont val="Tahoma"/>
            <family val="2"/>
          </rPr>
          <t xml:space="preserve">Conditional
</t>
        </r>
        <r>
          <rPr>
            <b/>
            <sz val="9"/>
            <color indexed="81"/>
            <rFont val="Tahoma"/>
            <family val="2"/>
          </rPr>
          <t>Numeric
Max Length = 9999999999</t>
        </r>
      </text>
    </comment>
    <comment ref="BD12" authorId="1" shapeId="0" xr:uid="{816105EC-EBE3-4892-8C1B-AD31796FDBEA}">
      <text>
        <r>
          <rPr>
            <b/>
            <i/>
            <sz val="9"/>
            <color indexed="81"/>
            <rFont val="Tahoma"/>
            <family val="2"/>
          </rPr>
          <t xml:space="preserve">Required
</t>
        </r>
        <r>
          <rPr>
            <b/>
            <sz val="9"/>
            <color indexed="81"/>
            <rFont val="Tahoma"/>
            <family val="2"/>
          </rPr>
          <t>Numeric
Max Length = 9999999999</t>
        </r>
      </text>
    </comment>
    <comment ref="BE12" authorId="1" shapeId="0" xr:uid="{B6306745-8958-4DEF-B7F4-2FB71461C2E9}">
      <text>
        <r>
          <rPr>
            <b/>
            <i/>
            <sz val="9"/>
            <color indexed="81"/>
            <rFont val="Tahoma"/>
            <family val="2"/>
          </rPr>
          <t xml:space="preserve">Conditional
</t>
        </r>
        <r>
          <rPr>
            <b/>
            <sz val="9"/>
            <color indexed="81"/>
            <rFont val="Tahoma"/>
            <family val="2"/>
          </rPr>
          <t>Numeric
Max Length = 9999999999</t>
        </r>
      </text>
    </comment>
    <comment ref="BF12" authorId="1" shapeId="0" xr:uid="{3777579F-CE30-4C6D-AC76-B10B9142A03A}">
      <text>
        <r>
          <rPr>
            <b/>
            <i/>
            <sz val="9"/>
            <color indexed="81"/>
            <rFont val="Tahoma"/>
            <family val="2"/>
          </rPr>
          <t xml:space="preserve">Required
</t>
        </r>
        <r>
          <rPr>
            <b/>
            <sz val="9"/>
            <color indexed="81"/>
            <rFont val="Tahoma"/>
            <family val="2"/>
          </rPr>
          <t>Numeric
Max Length = 9999999999</t>
        </r>
      </text>
    </comment>
    <comment ref="BG12" authorId="1" shapeId="0" xr:uid="{43D09CDB-9089-47F2-956C-787AACED8FB0}">
      <text>
        <r>
          <rPr>
            <b/>
            <i/>
            <sz val="9"/>
            <color indexed="81"/>
            <rFont val="Tahoma"/>
            <family val="2"/>
          </rPr>
          <t xml:space="preserve">Conditional
</t>
        </r>
        <r>
          <rPr>
            <b/>
            <sz val="9"/>
            <color indexed="81"/>
            <rFont val="Tahoma"/>
            <family val="2"/>
          </rPr>
          <t>Numeric
Max Length = 9999999999</t>
        </r>
      </text>
    </comment>
    <comment ref="BH12" authorId="1" shapeId="0" xr:uid="{44777F75-3093-4F84-B1A9-695F9AD7E9FD}">
      <text>
        <r>
          <rPr>
            <b/>
            <i/>
            <sz val="9"/>
            <color indexed="81"/>
            <rFont val="Tahoma"/>
            <family val="2"/>
          </rPr>
          <t xml:space="preserve">Required
</t>
        </r>
        <r>
          <rPr>
            <b/>
            <sz val="9"/>
            <color indexed="81"/>
            <rFont val="Tahoma"/>
            <family val="2"/>
          </rPr>
          <t>Numeric
Max Length = 9999999999</t>
        </r>
      </text>
    </comment>
    <comment ref="BI12" authorId="1" shapeId="0" xr:uid="{612927B9-5776-464B-ABA5-314A2AEF50C3}">
      <text>
        <r>
          <rPr>
            <b/>
            <i/>
            <sz val="9"/>
            <color indexed="81"/>
            <rFont val="Tahoma"/>
            <family val="2"/>
          </rPr>
          <t xml:space="preserve">Conditional
</t>
        </r>
        <r>
          <rPr>
            <b/>
            <sz val="9"/>
            <color indexed="81"/>
            <rFont val="Tahoma"/>
            <family val="2"/>
          </rPr>
          <t>Numeric
Max Length = 9999999999</t>
        </r>
      </text>
    </comment>
    <comment ref="BJ12" authorId="1" shapeId="0" xr:uid="{9B6E9BB6-6365-4363-B71B-1DC7A37D1B7A}">
      <text>
        <r>
          <rPr>
            <b/>
            <i/>
            <sz val="9"/>
            <color indexed="81"/>
            <rFont val="Tahoma"/>
            <family val="2"/>
          </rPr>
          <t xml:space="preserve">Required
</t>
        </r>
        <r>
          <rPr>
            <b/>
            <sz val="9"/>
            <color indexed="81"/>
            <rFont val="Tahoma"/>
            <family val="2"/>
          </rPr>
          <t>Numeric
Max Length = 9999999999</t>
        </r>
      </text>
    </comment>
    <comment ref="BK12" authorId="1" shapeId="0" xr:uid="{174C03F2-95DF-4D3C-BB32-DD311FC42D0E}">
      <text>
        <r>
          <rPr>
            <b/>
            <i/>
            <sz val="9"/>
            <color indexed="81"/>
            <rFont val="Tahoma"/>
            <family val="2"/>
          </rPr>
          <t xml:space="preserve">Conditional
</t>
        </r>
        <r>
          <rPr>
            <b/>
            <sz val="9"/>
            <color indexed="81"/>
            <rFont val="Tahoma"/>
            <family val="2"/>
          </rPr>
          <t>Numeric
Max Length = 9999999999</t>
        </r>
      </text>
    </comment>
    <comment ref="BL12" authorId="1" shapeId="0" xr:uid="{6E590E88-9347-4832-94D4-F147CFEB3BF0}">
      <text>
        <r>
          <rPr>
            <b/>
            <i/>
            <sz val="9"/>
            <color indexed="81"/>
            <rFont val="Tahoma"/>
            <family val="2"/>
          </rPr>
          <t xml:space="preserve">Conditional
</t>
        </r>
        <r>
          <rPr>
            <b/>
            <sz val="9"/>
            <color indexed="81"/>
            <rFont val="Tahoma"/>
            <family val="2"/>
          </rPr>
          <t>String
Max Length = 250</t>
        </r>
      </text>
    </comment>
    <comment ref="BM12" authorId="1" shapeId="0" xr:uid="{9757C9F7-5F6C-4BEC-BABC-8F93DB4C3693}">
      <text>
        <r>
          <rPr>
            <b/>
            <i/>
            <sz val="9"/>
            <color indexed="81"/>
            <rFont val="Tahoma"/>
            <family val="2"/>
          </rPr>
          <t xml:space="preserve">Conditional
</t>
        </r>
        <r>
          <rPr>
            <b/>
            <sz val="9"/>
            <color indexed="81"/>
            <rFont val="Tahoma"/>
            <family val="2"/>
          </rPr>
          <t>String
Max Length = 250</t>
        </r>
      </text>
    </comment>
    <comment ref="BN12" authorId="1" shapeId="0" xr:uid="{B84BA7FE-279F-48A4-89BD-94506D457791}">
      <text>
        <r>
          <rPr>
            <b/>
            <i/>
            <sz val="9"/>
            <color indexed="81"/>
            <rFont val="Tahoma"/>
            <family val="2"/>
          </rPr>
          <t xml:space="preserve">Conditional
</t>
        </r>
        <r>
          <rPr>
            <b/>
            <sz val="9"/>
            <color indexed="81"/>
            <rFont val="Tahoma"/>
            <family val="2"/>
          </rPr>
          <t>Pick List
Max Length = N/A</t>
        </r>
      </text>
    </comment>
    <comment ref="BO12" authorId="1" shapeId="0" xr:uid="{097F4B75-511F-4DCC-8D3A-E72938D1A324}">
      <text>
        <r>
          <rPr>
            <b/>
            <i/>
            <sz val="9"/>
            <color indexed="81"/>
            <rFont val="Tahoma"/>
            <family val="2"/>
          </rPr>
          <t xml:space="preserve">Conditional
</t>
        </r>
        <r>
          <rPr>
            <b/>
            <sz val="9"/>
            <color indexed="81"/>
            <rFont val="Tahoma"/>
            <family val="2"/>
          </rPr>
          <t>String
Max Length = 255</t>
        </r>
      </text>
    </comment>
    <comment ref="BP12" authorId="1" shapeId="0" xr:uid="{7FAC5162-BD26-4C51-922D-E0B7B249B57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805752A2-0F58-423C-9D17-570D0177E466}">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4E47F1DE-DAF9-4F58-BC53-68BB9BE45B6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Unique ID for the Fabric 
location.</t>
        </r>
      </text>
    </comment>
    <comment ref="BS12" authorId="1" shapeId="0" xr:uid="{50E8DFA7-2607-44D7-B2D3-757E6B576C22}">
      <text>
        <r>
          <rPr>
            <b/>
            <i/>
            <sz val="9"/>
            <color indexed="81"/>
            <rFont val="Tahoma"/>
            <family val="2"/>
          </rPr>
          <t xml:space="preserve">Required
</t>
        </r>
        <r>
          <rPr>
            <b/>
            <sz val="9"/>
            <color indexed="81"/>
            <rFont val="Tahoma"/>
            <family val="2"/>
          </rPr>
          <t>Numeric
Max Length = 999999</t>
        </r>
        <r>
          <rPr>
            <sz val="9"/>
            <color indexed="81"/>
            <rFont val="Tahoma"/>
            <family val="2"/>
          </rPr>
          <t xml:space="preserve">
The unique 6 digit identifier assigned by the FCC.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F90CA8D-977C-4B28-834E-76A4018BE2A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F74D3723-B393-4088-A991-F9F310A2197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64213E5-05BA-4DA4-94C8-DEEB5568606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EC688AC-4B32-49D1-8F06-E7409A1646A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A9E5D4CC-A42D-4A42-B212-09FD1F1359F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AB02655-F9F0-4268-8BE6-64ACB4B387F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B1C6D04-6030-4F7A-8C82-245939AD0D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538B3AC-3FF8-4D6A-A74A-68FD4B4BEA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951AA1D-B3C4-46BA-BF80-FD39F36D23DC}">
      <text>
        <r>
          <rPr>
            <b/>
            <i/>
            <sz val="9"/>
            <color indexed="81"/>
            <rFont val="Tahoma"/>
            <family val="2"/>
          </rPr>
          <t xml:space="preserve">Conditional
</t>
        </r>
        <r>
          <rPr>
            <b/>
            <sz val="9"/>
            <color indexed="81"/>
            <rFont val="Tahoma"/>
            <family val="2"/>
          </rPr>
          <t>Pick List
Max Length = N/A</t>
        </r>
      </text>
    </comment>
    <comment ref="L12" authorId="1" shapeId="0" xr:uid="{8AB25214-047F-4796-8577-4581F666D85A}">
      <text>
        <r>
          <rPr>
            <b/>
            <i/>
            <sz val="9"/>
            <color indexed="81"/>
            <rFont val="Tahoma"/>
            <family val="2"/>
          </rPr>
          <t xml:space="preserve">Conditional
</t>
        </r>
        <r>
          <rPr>
            <b/>
            <sz val="9"/>
            <color indexed="81"/>
            <rFont val="Tahoma"/>
            <family val="2"/>
          </rPr>
          <t>Currency
Max Length = 12,2</t>
        </r>
      </text>
    </comment>
    <comment ref="M12" authorId="1" shapeId="0" xr:uid="{DC0FB2F6-5656-40BF-A0B0-AB41CB6596DC}">
      <text>
        <r>
          <rPr>
            <b/>
            <i/>
            <sz val="9"/>
            <color indexed="81"/>
            <rFont val="Tahoma"/>
            <family val="2"/>
          </rPr>
          <t xml:space="preserve">Conditional
</t>
        </r>
        <r>
          <rPr>
            <b/>
            <sz val="9"/>
            <color indexed="81"/>
            <rFont val="Tahoma"/>
            <family val="2"/>
          </rPr>
          <t>Pick List
Max Length = N/A</t>
        </r>
      </text>
    </comment>
    <comment ref="N12" authorId="1" shapeId="0" xr:uid="{56AEEF6E-486D-4A7C-9410-1EDAC07CD95E}">
      <text>
        <r>
          <rPr>
            <b/>
            <i/>
            <sz val="9"/>
            <color indexed="81"/>
            <rFont val="Tahoma"/>
            <family val="2"/>
          </rPr>
          <t xml:space="preserve">Conditional
</t>
        </r>
        <r>
          <rPr>
            <b/>
            <sz val="9"/>
            <color indexed="81"/>
            <rFont val="Tahoma"/>
            <family val="2"/>
          </rPr>
          <t>String
Max Length = 255</t>
        </r>
      </text>
    </comment>
    <comment ref="O12" authorId="1" shapeId="0" xr:uid="{08FC70F7-ACDC-4DD2-9377-536B177E611F}">
      <text>
        <r>
          <rPr>
            <b/>
            <i/>
            <sz val="9"/>
            <color indexed="81"/>
            <rFont val="Tahoma"/>
            <family val="2"/>
          </rPr>
          <t xml:space="preserve">Conditional
</t>
        </r>
        <r>
          <rPr>
            <b/>
            <sz val="9"/>
            <color indexed="81"/>
            <rFont val="Tahoma"/>
            <family val="2"/>
          </rPr>
          <t>String
Max Length = 1500</t>
        </r>
      </text>
    </comment>
    <comment ref="P12" authorId="1" shapeId="0" xr:uid="{C9308D2A-D043-4F59-8597-74EECB59941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4D062BE8-A9E4-44CF-B682-3362794BE38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BAEB2F66-4B0E-4E21-B96B-D71AB2651C4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3F10AE33-832A-48B4-A578-73754332DE90}">
      <text>
        <r>
          <rPr>
            <b/>
            <i/>
            <sz val="9"/>
            <color indexed="81"/>
            <rFont val="Tahoma"/>
            <family val="2"/>
          </rPr>
          <t xml:space="preserve">Conditional
</t>
        </r>
        <r>
          <rPr>
            <b/>
            <sz val="9"/>
            <color indexed="81"/>
            <rFont val="Tahoma"/>
            <family val="2"/>
          </rPr>
          <t>Pick List
Max Length = N/A</t>
        </r>
      </text>
    </comment>
    <comment ref="T12" authorId="1" shapeId="0" xr:uid="{C9303708-BA14-4709-A478-49FE5F37019A}">
      <text>
        <r>
          <rPr>
            <b/>
            <i/>
            <sz val="9"/>
            <color indexed="81"/>
            <rFont val="Tahoma"/>
            <family val="2"/>
          </rPr>
          <t xml:space="preserve">Conditional
</t>
        </r>
        <r>
          <rPr>
            <b/>
            <sz val="9"/>
            <color indexed="81"/>
            <rFont val="Tahoma"/>
            <family val="2"/>
          </rPr>
          <t>String
Max Length = 250</t>
        </r>
      </text>
    </comment>
    <comment ref="U12" authorId="1" shapeId="0" xr:uid="{1839A6A7-77DE-494C-82B3-369B0CAE961A}">
      <text>
        <r>
          <rPr>
            <b/>
            <i/>
            <sz val="9"/>
            <color indexed="81"/>
            <rFont val="Tahoma"/>
            <family val="2"/>
          </rPr>
          <t xml:space="preserve">Optional
</t>
        </r>
        <r>
          <rPr>
            <b/>
            <sz val="9"/>
            <color indexed="81"/>
            <rFont val="Tahoma"/>
            <family val="2"/>
          </rPr>
          <t>Pick List
Max Length = N/A</t>
        </r>
      </text>
    </comment>
    <comment ref="V12" authorId="1" shapeId="0" xr:uid="{9D96A7E4-EA7A-4084-AC1C-AA7100661D99}">
      <text>
        <r>
          <rPr>
            <b/>
            <i/>
            <sz val="9"/>
            <color indexed="81"/>
            <rFont val="Tahoma"/>
            <family val="2"/>
          </rPr>
          <t xml:space="preserve">Conditional
</t>
        </r>
        <r>
          <rPr>
            <b/>
            <sz val="9"/>
            <color indexed="81"/>
            <rFont val="Tahoma"/>
            <family val="2"/>
          </rPr>
          <t>String
Max Length = 250</t>
        </r>
      </text>
    </comment>
    <comment ref="W12" authorId="1" shapeId="0" xr:uid="{1A09B2BE-F6F2-4F4C-9D20-6FF1C8BC49B3}">
      <text>
        <r>
          <rPr>
            <b/>
            <i/>
            <sz val="9"/>
            <color indexed="81"/>
            <rFont val="Tahoma"/>
            <family val="2"/>
          </rPr>
          <t xml:space="preserve">Optional
</t>
        </r>
        <r>
          <rPr>
            <b/>
            <sz val="9"/>
            <color indexed="81"/>
            <rFont val="Tahoma"/>
            <family val="2"/>
          </rPr>
          <t>Pick List
Max Length = N/A</t>
        </r>
      </text>
    </comment>
    <comment ref="X12" authorId="1" shapeId="0" xr:uid="{3A2CB06F-CCE6-464F-BCAC-31C63E1C061C}">
      <text>
        <r>
          <rPr>
            <b/>
            <i/>
            <sz val="9"/>
            <color indexed="81"/>
            <rFont val="Tahoma"/>
            <family val="2"/>
          </rPr>
          <t xml:space="preserve">Conditional
</t>
        </r>
        <r>
          <rPr>
            <b/>
            <sz val="9"/>
            <color indexed="81"/>
            <rFont val="Tahoma"/>
            <family val="2"/>
          </rPr>
          <t>String
Max Length = 250</t>
        </r>
      </text>
    </comment>
    <comment ref="Y12" authorId="1" shapeId="0" xr:uid="{EB803E1B-32FF-413C-9C53-9E6AED2CEC81}">
      <text>
        <r>
          <rPr>
            <b/>
            <i/>
            <sz val="9"/>
            <color indexed="81"/>
            <rFont val="Tahoma"/>
            <family val="2"/>
          </rPr>
          <t xml:space="preserve">Conditional
</t>
        </r>
        <r>
          <rPr>
            <b/>
            <sz val="9"/>
            <color indexed="81"/>
            <rFont val="Tahoma"/>
            <family val="2"/>
          </rPr>
          <t>String
Max Length = 250</t>
        </r>
      </text>
    </comment>
    <comment ref="Z12" authorId="1" shapeId="0" xr:uid="{530F3304-3956-4FF9-AECB-9A04755FEA46}">
      <text>
        <r>
          <rPr>
            <b/>
            <i/>
            <sz val="9"/>
            <color indexed="81"/>
            <rFont val="Tahoma"/>
            <family val="2"/>
          </rPr>
          <t xml:space="preserve">Conditional
</t>
        </r>
        <r>
          <rPr>
            <b/>
            <sz val="9"/>
            <color indexed="81"/>
            <rFont val="Tahoma"/>
            <family val="2"/>
          </rPr>
          <t>String
Max Length = 250</t>
        </r>
      </text>
    </comment>
    <comment ref="AA12" authorId="1" shapeId="0" xr:uid="{90886C88-D515-4FAB-84D7-3548087109DB}">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B1A45B3-481B-4DDD-BFFC-2596662B09D1}">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659030D0-3B1B-48EA-9F2C-C0CF5E94909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8C4F7513-4A74-45A8-AF21-E7F6FAD8B163}">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01D4B916-3F45-49D6-9C6B-E907EA6DE669}">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B9428694-A372-4B6F-80FE-EC21CD2E48C2}">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2F5A1D50-43C9-4C02-9616-F8C21A62D1B1}">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722163F0-A90D-4843-9BF4-8DBA68750E2D}">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D4BDDBB5-D942-4E56-80DE-DFFDCB2B711A}">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0D2A6F79-A9D7-4424-A260-FC2051D7F33D}">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99B4E644-2AD6-461C-8E5B-9A862A8D8B57}">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C07F2A72-6291-4D4C-82FB-871321A71D9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69110FC0-8BD8-4D97-97E5-EF0E8C6BE0B4}">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A3DD0472-9583-4729-977A-9A5B32FB91B0}">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66C60C55-ACFB-434A-A387-A75684133FC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98368F09-306B-4585-B284-69E7EB5B169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B14C4815-4359-42E2-AFDD-FA68B7E8836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BEBBD634-4B97-4135-B497-22FA6614AFE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07DC282-CC6A-4AED-8972-A75F7F1BE9B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CE2DFE1E-5EA4-42A0-B5F8-7EB549CB71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4EBD07D8-C729-4AA0-9B92-0939C23D517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95D87851-4701-45C1-A708-E21807D6702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F03D9440-72F3-4DD7-9D11-37FF1BC28DD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0B363D51-654D-4423-AB85-D5718CCE2C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355F551-B36F-4076-B603-EBD3E00B77F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215363AB-87F3-4942-9F94-E5EC362E21C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200B49C-A93B-4CDE-8A66-D17CA90636A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1535C8E3-5F02-4F5F-B8D6-CD66A527474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069BC72-A143-476C-8C68-25CFE0C385ED}">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5D41B7A7-B31C-4A72-B028-0B1EA6CC68ED}">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590CFB9D-1BE5-477D-8990-C6A6CB3F432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A796B613-E374-417D-A344-CADE24FDB58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776C149E-28AD-40E8-8ED9-CA4038A91EA2}">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D9DDB467-7D88-4155-8CB0-2AC2FE41D4D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656C37F5-6820-44F6-8455-240A521FC8C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DD8D3599-6156-49D6-A4D1-29131F7C238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C37FCB97-25EB-4643-B8FF-A9CA74C7201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1D5B0187-5DC1-4E99-9E29-E9CD5C82F3B4}">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350521D7-34A1-4C05-9063-7863D9BC656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42AE7168-C636-4FD6-9586-98357BF2BD0C}">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D20D0306-8C8C-4D11-B8A7-CB62EF81AAB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0FADEB7-65AC-43AA-8A01-D6A7B58B4193}">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A1363E40-1496-4694-8814-EE5EECB0EB4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70410F74-42F3-439F-B0FF-52185E0BC9A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B876D76D-344A-413E-B0B7-64CFB0BE210D}">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A684D56C-8296-409A-8100-D9EE4BB0ED91}">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B3C09D73-D3F8-4A6A-9275-90B341C57FA1}">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026FA94-F609-4DA0-B89A-5F5DBF67F930}">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FD969E83-1443-4BEE-B8AD-8FBF4F52C00C}">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AEF7E59A-E7A1-4D96-A6D9-AE380CA1D780}">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A360F21F-92E8-49A7-B16C-D47644AE9DCF}">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A6A5C3F-1F06-4610-9BEF-3CC90604B7AD}">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E7481E12-7789-41B3-A323-976F7D6BC119}">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07D6109-4299-480F-B645-AA26B95A1625}">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F88E2322-25AF-4E1A-B119-1B4B89B9A7C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6506A6DB-5CAB-4193-BF80-4AE5766CC178}">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9A6C3AAE-6823-43B7-86C4-4583F703158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19B95BFF-37BF-4D05-A650-2EDD138C586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9DBCE08-F804-43DD-8388-308C4BB57FD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5DC915A3-FEC2-46E0-8C16-A76F2614EC2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E1C2CA2C-DE4B-4764-82A6-07C4BFB53B4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EE49A873-1FA0-40E1-B540-B09516C626B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<sst xmlns="http://schemas.openxmlformats.org/spreadsheetml/2006/main" count="6378" uniqueCount="1010">
  <si>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</si>
  <si>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</si>
  <si>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</si>
  <si>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</si>
  <si>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</si>
  <si>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</si>
  <si>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</si>
  <si>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</si>
  <si>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</si>
  <si>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</si>
  <si>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</si>
  <si>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</si>
  <si>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</si>
  <si>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</si>
  <si>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</si>
  <si>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</si>
  <si>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</si>
  <si>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</si>
  <si>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</si>
  <si>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</si>
  <si>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</si>
  <si>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</si>
  <si>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</si>
  <si>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</si>
  <si>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</si>
  <si>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</si>
  <si>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</si>
  <si>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</si>
  <si>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</si>
  <si>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</si>
  <si>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</si>
  <si>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</si>
  <si>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</si>
  <si>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</si>
  <si>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</si>
  <si>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</si>
  <si>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</si>
  <si>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</si>
  <si>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</si>
  <si>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</si>
  <si>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</si>
  <si>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</si>
  <si>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</si>
  <si>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</si>
  <si>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</si>
  <si>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</si>
  <si>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</si>
  <si>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</si>
  <si>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</si>
  <si>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</si>
  <si>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</si>
  <si>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</si>
  <si>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</si>
  <si>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</si>
  <si>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</si>
  <si>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</si>
  <si>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</si>
  <si>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</si>
  <si>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</si>
  <si>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</si>
  <si>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</si>
  <si>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</si>
  <si>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</si>
  <si>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</si>
  <si>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</si>
  <si>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</si>
  <si>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</si>
  <si>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</si>
  <si>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</si>
  <si>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</si>
  <si>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</si>
  <si>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</si>
  <si>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</si>
  <si>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</si>
  <si>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</si>
  <si>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</si>
  <si>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</si>
  <si>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</si>
  <si>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</si>
  <si>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</si>
  <si>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</si>
  <si>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</si>
  <si>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</si>
  <si>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</si>
  <si>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</si>
  <si>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</si>
  <si>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</si>
  <si>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</si>
  <si>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</si>
  <si>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</si>
  <si>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</si>
  <si>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</si>
  <si>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</si>
  <si>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</si>
  <si>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</si>
  <si>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</si>
  <si>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</si>
  <si>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</si>
  <si>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</si>
  <si>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</si>
  <si>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</si>
  <si>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</si>
  <si>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</si>
  <si>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</si>
  <si>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</si>
  <si>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</si>
  <si>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</si>
  <si>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</si>
  <si>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</si>
  <si>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</si>
  <si>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</si>
  <si>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</si>
  <si>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</si>
  <si>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</si>
  <si>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</si>
  <si>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</si>
  <si>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</si>
  <si>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</si>
  <si>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</si>
  <si>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</si>
  <si>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</si>
  <si>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</si>
  <si>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</si>
  <si>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</si>
  <si>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</si>
  <si>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</si>
  <si>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</si>
  <si>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</si>
  <si>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</si>
  <si>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</si>
  <si>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</si>
  <si>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</si>
  <si>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</si>
  <si>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</si>
  <si>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</si>
  <si>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</si>
  <si>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</si>
  <si>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</si>
  <si>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</si>
  <si>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</si>
  <si>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</si>
  <si>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</si>
  <si>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</si>
  <si>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</si>
  <si>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</si>
  <si>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</si>
  <si>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</si>
  <si>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</si>
  <si>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</si>
  <si>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</si>
  <si>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</si>
  <si>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</si>
  <si>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</si>
  <si>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</si>
  <si>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</si>
  <si>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</si>
  <si>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</si>
  <si>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</si>
  <si>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</si>
  <si>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</si>
  <si>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</si>
  <si>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</si>
  <si>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</si>
  <si>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</si>
  <si>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</si>
  <si>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</si>
  <si>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</si>
  <si>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</si>
  <si>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</si>
  <si>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</si>
  <si>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</si>
  <si>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</si>
  <si>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</si>
  <si>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</si>
  <si>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</si>
  <si>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</si>
  <si>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</si>
  <si>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</si>
  <si>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</si>
  <si>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</si>
  <si>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</si>
  <si>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</si>
  <si>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</si>
  <si>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</si>
  <si>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</si>
  <si>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</si>
  <si>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</si>
  <si>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</si>
  <si>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</si>
  <si>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</si>
  <si>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</si>
  <si>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</si>
  <si>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</si>
  <si>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</si>
  <si>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</si>
  <si>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</si>
  <si>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</si>
  <si>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</si>
  <si>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</si>
  <si>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</si>
  <si>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</si>
  <si>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</si>
  <si>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</si>
  <si>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</si>
  <si>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</si>
  <si>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</si>
  <si>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</si>
  <si>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</si>
  <si>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</si>
  <si>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</si>
  <si>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</si>
  <si>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</si>
  <si>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</si>
  <si>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</si>
  <si>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</si>
  <si>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</si>
  <si>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</si>
  <si>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</si>
  <si>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</si>
  <si>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</si>
  <si>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</si>
  <si>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</si>
  <si>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</si>
  <si>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</si>
  <si>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</si>
  <si>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</si>
  <si>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</si>
  <si>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</si>
  <si>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</si>
  <si>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</si>
  <si>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</si>
  <si>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</si>
  <si>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</si>
  <si>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</si>
  <si>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</si>
  <si>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</si>
  <si>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</si>
  <si>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</si>
  <si>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</si>
  <si>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</si>
  <si>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</si>
  <si>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</si>
  <si>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</si>
  <si>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</si>
  <si>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</si>
  <si>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</si>
  <si>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</si>
  <si>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</si>
  <si>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</si>
  <si>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</si>
  <si>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</si>
  <si>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</si>
  <si>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</si>
  <si>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</si>
  <si>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</si>
  <si>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</si>
  <si>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</si>
  <si>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</si>
  <si>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</si>
  <si>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</si>
  <si>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</si>
  <si>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</si>
  <si>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</si>
  <si>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</si>
  <si>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</si>
  <si>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</si>
  <si>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</si>
  <si>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</si>
  <si>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</si>
  <si>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</si>
  <si>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</si>
  <si>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</si>
  <si>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</si>
  <si>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</si>
  <si>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</si>
  <si>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</si>
  <si>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</si>
  <si>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</si>
  <si>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</si>
  <si>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</si>
  <si>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</si>
  <si>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</si>
  <si>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</si>
  <si>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</si>
  <si>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</si>
  <si>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</si>
  <si>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</si>
  <si>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</si>
  <si>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</si>
  <si>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</si>
  <si>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</si>
  <si>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</si>
  <si>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</si>
  <si>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</si>
  <si>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</si>
  <si>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</si>
  <si>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</si>
  <si>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</si>
  <si>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</si>
  <si>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</si>
  <si>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</si>
  <si>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</si>
  <si>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</si>
  <si>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</si>
  <si>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</si>
  <si>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</si>
  <si>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</si>
  <si>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</si>
  <si>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</si>
  <si>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</si>
  <si>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</si>
  <si>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</si>
  <si>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</si>
  <si>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</si>
  <si>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</si>
  <si>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</si>
  <si>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</si>
  <si>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</si>
  <si>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</si>
  <si>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</si>
  <si>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</si>
  <si>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</si>
  <si>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</si>
  <si>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</si>
  <si>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</si>
  <si>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</si>
  <si>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</si>
  <si>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</si>
  <si>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</si>
  <si>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</si>
  <si>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</si>
  <si>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</si>
  <si>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</si>
  <si>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</si>
  <si>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</si>
  <si>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</si>
  <si>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</si>
  <si>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</si>
  <si>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</si>
  <si>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</si>
  <si>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</si>
  <si>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</si>
  <si>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</si>
  <si>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</si>
  <si>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</si>
  <si>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</si>
  <si>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</si>
  <si>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</si>
  <si>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</si>
  <si>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</si>
  <si>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</si>
  <si>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</si>
  <si>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</si>
  <si>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</si>
  <si>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</si>
  <si>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</si>
  <si>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</si>
  <si>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</si>
  <si>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</si>
  <si>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</si>
  <si>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</si>
  <si>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</si>
  <si>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</si>
  <si>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</si>
  <si>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</si>
  <si>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</si>
  <si>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</si>
  <si>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</si>
  <si>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</si>
  <si>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</si>
  <si>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</si>
  <si>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</si>
  <si>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</si>
  <si>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</si>
  <si>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</si>
  <si>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</si>
  <si>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</si>
  <si>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</si>
  <si>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</si>
  <si>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</si>
  <si>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</si>
  <si>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</si>
  <si>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</si>
  <si>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</si>
  <si>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</si>
  <si>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</si>
  <si>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</si>
  <si>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</si>
  <si>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</si>
  <si>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</si>
  <si>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</si>
  <si>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</si>
  <si>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</si>
  <si>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</si>
  <si>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</si>
  <si>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</si>
  <si>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</si>
  <si>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</si>
  <si>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</si>
  <si>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</si>
  <si>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</si>
  <si>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</si>
  <si>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</si>
  <si>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</si>
  <si>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</si>
  <si>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</si>
  <si>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</si>
  <si>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</si>
  <si>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</si>
  <si>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</si>
  <si>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</si>
  <si>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</si>
  <si>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</si>
  <si>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</si>
  <si>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</si>
  <si>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</si>
  <si>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</si>
  <si>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</si>
  <si>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</si>
  <si>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</si>
  <si>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</si>
  <si>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</si>
  <si>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</si>
  <si>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</si>
  <si>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</si>
  <si>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</si>
  <si>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</si>
  <si>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</si>
  <si>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</si>
  <si>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</si>
  <si>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</si>
  <si>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</si>
  <si>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</si>
  <si>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</si>
  <si>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</si>
  <si>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</si>
  <si>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</si>
  <si>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</si>
  <si>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</si>
  <si>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</si>
  <si>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</si>
  <si>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</si>
  <si>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</si>
  <si>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</si>
  <si>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</si>
  <si>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</si>
  <si>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</si>
  <si>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</si>
  <si>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</si>
  <si>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</si>
  <si>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</si>
  <si>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</si>
  <si>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</si>
  <si>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</si>
  <si>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</si>
  <si>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</si>
  <si>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</si>
  <si>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</si>
  <si>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</si>
  <si>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</si>
  <si>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</si>
  <si>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</si>
  <si>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</si>
  <si>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</si>
  <si>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</si>
  <si>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</si>
  <si>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</si>
  <si>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</si>
  <si>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</si>
  <si>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</si>
  <si>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</si>
  <si>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</si>
  <si>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</si>
  <si>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</si>
  <si>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</si>
  <si>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</si>
  <si>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</si>
  <si>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</si>
  <si>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</si>
  <si>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</si>
  <si>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</si>
  <si>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</si>
  <si>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</si>
  <si>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</si>
  <si>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</si>
  <si>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</si>
  <si>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</si>
  <si>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</si>
  <si>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</si>
  <si>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</si>
  <si>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</si>
  <si>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</si>
  <si>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</si>
  <si>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</si>
  <si>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</si>
  <si>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</si>
  <si>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</si>
  <si>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</si>
  <si>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</si>
  <si>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</si>
  <si>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</si>
  <si>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</si>
  <si>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</si>
  <si>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</si>
  <si>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</si>
  <si>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</si>
  <si>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</si>
  <si>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</si>
  <si>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</si>
  <si>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</si>
  <si>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</si>
  <si>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</si>
  <si>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</si>
  <si>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</si>
  <si>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</si>
  <si>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</si>
  <si>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</si>
  <si>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</si>
  <si>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</si>
  <si>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</si>
  <si>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</si>
  <si>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</si>
  <si>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</si>
  <si>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</si>
  <si>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</si>
  <si>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</si>
  <si>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</si>
  <si>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</si>
  <si>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</si>
  <si>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</si>
  <si>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</si>
  <si>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</si>
  <si>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</si>
  <si>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</si>
  <si>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</si>
  <si>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</si>
  <si>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</si>
  <si>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</si>
  <si>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</si>
  <si>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</si>
  <si>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</si>
  <si>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</si>
  <si>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</si>
  <si>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</si>
  <si>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</si>
  <si>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</si>
  <si>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</si>
  <si>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</si>
  <si>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</si>
  <si>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</si>
  <si>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</si>
  <si>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</si>
  <si>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</si>
  <si>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</si>
  <si>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</si>
  <si>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</si>
  <si>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</si>
  <si>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</si>
  <si>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</si>
  <si>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</si>
  <si>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</si>
  <si>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</si>
  <si>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</si>
  <si>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</si>
  <si>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</si>
  <si>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</si>
  <si>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</si>
  <si>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</si>
  <si>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</si>
  <si>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</si>
  <si>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</si>
  <si>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</si>
  <si>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</si>
  <si>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</si>
  <si>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</si>
  <si>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</si>
  <si>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</si>
  <si>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</si>
  <si>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</si>
  <si>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</si>
  <si>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</si>
  <si>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</si>
  <si>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</si>
  <si>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</si>
  <si>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</si>
  <si>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</si>
  <si>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</si>
  <si>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</si>
  <si>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</si>
  <si>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</si>
  <si>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</si>
  <si>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</si>
  <si>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</si>
  <si>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</si>
  <si>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</si>
  <si>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</si>
  <si>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</si>
  <si>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</si>
  <si>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</si>
  <si>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</si>
  <si>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</si>
  <si>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</si>
  <si>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</si>
  <si>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</si>
  <si>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</si>
  <si>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</si>
  <si>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</si>
  <si>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</si>
  <si>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</si>
  <si>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</si>
  <si>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</si>
  <si>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</si>
  <si>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</si>
  <si>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</si>
  <si>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</si>
  <si>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</si>
  <si>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</si>
  <si>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</si>
  <si>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</si>
  <si>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</si>
  <si>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</si>
  <si>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</si>
  <si>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</si>
  <si>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</si>
  <si>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</si>
  <si>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</si>
  <si>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</si>
  <si>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</si>
  <si>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</si>
  <si>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</si>
  <si>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</si>
  <si>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</si>
  <si>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</si>
  <si>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</si>
  <si>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</si>
  <si>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</si>
  <si>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</si>
  <si>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</si>
  <si>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</si>
  <si>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</si>
  <si>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</si>
  <si>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</si>
  <si>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</si>
  <si>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</si>
  <si>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</si>
  <si>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</si>
  <si>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</si>
  <si>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</si>
  <si>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</si>
  <si>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</si>
  <si>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</si>
  <si>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</si>
  <si>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</si>
  <si>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</si>
  <si>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</si>
  <si>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</si>
  <si>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</si>
  <si>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</si>
  <si>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</si>
  <si>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</si>
  <si>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</si>
  <si>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</si>
  <si>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</si>
  <si>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</si>
  <si>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</si>
  <si>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</si>
  <si>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</si>
  <si>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</si>
  <si>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</si>
  <si>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</si>
  <si>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</si>
  <si>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</si>
  <si>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</si>
  <si>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</si>
  <si>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</si>
  <si>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</si>
  <si>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</si>
  <si>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</si>
  <si>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</si>
  <si>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</si>
  <si>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</si>
  <si>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</si>
  <si>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</si>
  <si>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</si>
  <si>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</si>
  <si>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</si>
  <si>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</si>
  <si>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</si>
  <si>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</si>
  <si>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</si>
  <si>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</si>
  <si>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</si>
  <si>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</si>
  <si>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</si>
  <si>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</si>
  <si>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</si>
  <si>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</si>
  <si>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</si>
  <si>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</si>
  <si>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</si>
  <si>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</si>
  <si>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</si>
  <si>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</si>
  <si>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</si>
  <si>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</si>
  <si>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</si>
  <si>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</si>
  <si>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</si>
  <si>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</si>
  <si>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</si>
  <si>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</si>
  <si>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</si>
  <si>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</si>
  <si>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</si>
  <si>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</si>
  <si>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</si>
  <si>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</si>
  <si>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</si>
  <si>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</si>
  <si>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</si>
  <si>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</si>
  <si>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</si>
  <si>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</si>
  <si>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</si>
  <si>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</si>
  <si>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</si>
  <si>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</si>
  <si>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</si>
  <si>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</si>
  <si>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</si>
  <si>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</si>
  <si>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</si>
  <si>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</si>
  <si>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</si>
  <si>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</si>
  <si>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</si>
  <si>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</si>
  <si>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</si>
  <si>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</si>
  <si>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</si>
  <si>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</si>
  <si>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</si>
  <si>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</si>
  <si>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</si>
  <si>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</si>
  <si>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</si>
  <si>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</si>
  <si>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</si>
  <si>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</si>
  <si>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</si>
  <si>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</si>
  <si>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</si>
  <si>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</si>
  <si>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</si>
  <si>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</si>
  <si>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</si>
  <si>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</si>
  <si>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</si>
  <si>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</si>
  <si>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</si>
  <si>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</si>
  <si>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</si>
  <si>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</si>
  <si>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</si>
  <si>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</si>
  <si>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</si>
  <si>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</si>
  <si>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</si>
  <si>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</si>
  <si>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</si>
  <si>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</si>
  <si>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</si>
  <si>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</si>
  <si>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</si>
  <si>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</si>
  <si>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</si>
  <si>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</si>
  <si>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</si>
  <si>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</si>
  <si>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</si>
  <si>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</si>
  <si>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</si>
  <si>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</si>
  <si>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</si>
  <si>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</si>
  <si>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</si>
  <si>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</si>
  <si>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</si>
  <si>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</si>
  <si>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</si>
  <si>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</si>
  <si>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</si>
  <si>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</si>
  <si>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</si>
  <si>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</si>
  <si>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</si>
  <si>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</si>
  <si>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</si>
  <si>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</si>
  <si>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</si>
  <si>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</si>
  <si>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</si>
  <si>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</si>
  <si>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</si>
  <si>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</si>
  <si>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</si>
  <si>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</si>
  <si>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</si>
  <si>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</si>
  <si>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</si>
  <si>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</si>
  <si>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</si>
  <si>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</si>
  <si>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</si>
  <si>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</si>
  <si>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</si>
  <si>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</si>
  <si>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</si>
  <si>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</si>
  <si>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</si>
  <si>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</si>
  <si>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</si>
  <si>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</si>
  <si>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</si>
  <si>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</si>
  <si>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</si>
  <si>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</si>
  <si>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</si>
  <si>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</si>
  <si>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</si>
  <si>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</si>
  <si>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</si>
  <si>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</si>
  <si>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</si>
  <si>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</si>
  <si>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</si>
  <si>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</si>
  <si>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</si>
  <si>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</si>
  <si>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</si>
  <si>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</si>
  <si>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</si>
  <si>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</si>
  <si>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</si>
  <si>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</si>
  <si>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</si>
  <si>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</si>
  <si>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</si>
  <si>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</si>
  <si>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</si>
  <si>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</si>
  <si>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</si>
  <si>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</si>
  <si>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</si>
  <si>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</si>
  <si>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</si>
  <si>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</si>
  <si>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</si>
  <si>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</si>
  <si>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</si>
  <si>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</si>
  <si>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</si>
  <si>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</si>
  <si>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</si>
  <si>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</si>
  <si>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</si>
  <si>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</si>
  <si>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</si>
  <si>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</si>
  <si>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</si>
  <si>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</si>
  <si>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</si>
  <si>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</si>
  <si>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</si>
  <si>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</si>
  <si>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</si>
  <si>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</si>
  <si>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</si>
  <si>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</si>
  <si>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</si>
  <si>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</si>
  <si>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</si>
  <si>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</si>
  <si>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</si>
  <si>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</si>
  <si>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</si>
  <si>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</si>
  <si>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</si>
  <si>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</si>
  <si>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</si>
  <si>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</si>
  <si>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</si>
  <si>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</si>
  <si>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</si>
  <si>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</si>
  <si>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</si>
  <si>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</si>
  <si>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</si>
  <si>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</si>
  <si>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</si>
  <si>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</si>
  <si>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</si>
  <si>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</si>
  <si>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</si>
  <si>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</si>
  <si>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</si>
  <si>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</si>
  <si>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</si>
  <si>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</si>
  <si>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</si>
  <si>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</si>
  <si>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</si>
  <si>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</si>
  <si>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</si>
  <si>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</si>
  <si>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</si>
  <si>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</si>
  <si>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</si>
  <si>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</si>
  <si>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</si>
  <si>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</si>
  <si>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</si>
  <si>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</si>
  <si>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</si>
  <si>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</si>
  <si>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</si>
  <si>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</si>
  <si>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</si>
  <si>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</si>
  <si>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</si>
  <si>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</si>
  <si>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</si>
  <si>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</si>
  <si>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</si>
  <si>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</si>
  <si>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</si>
  <si>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</si>
  <si>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</si>
  <si>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</si>
  <si>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</si>
  <si>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</si>
  <si>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</si>
  <si>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</si>
  <si>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</si>
  <si>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</si>
  <si>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</si>
  <si>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</si>
  <si>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</si>
  <si>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</si>
  <si>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</si>
  <si>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</si>
  <si>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</si>
  <si>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</si>
  <si>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</si>
  <si>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</si>
  <si>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</si>
  <si>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</si>
  <si>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</si>
  <si>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</si>
  <si>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</si>
  <si>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</si>
  <si>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</si>
  <si>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</si>
  <si>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</si>
  <si>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</si>
  <si>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</si>
  <si>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</si>
  <si>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</si>
  <si>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</si>
  <si>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</si>
  <si>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</si>
  <si>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</si>
  <si>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</si>
  <si>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</si>
  <si>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</si>
  <si>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</si>
  <si>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</si>
  <si>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</si>
  <si>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</si>
  <si>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</si>
  <si>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</si>
  <si>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</si>
  <si>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</si>
  <si>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</si>
  <si>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</si>
  <si>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</si>
  <si>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</si>
  <si>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</si>
  <si>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</si>
  <si>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Name of the project. HI JILL.</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</si>
  <si>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</si>
  <si>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</si>
  <si>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</si>
  <si>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</si>
  <si>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</si>
  <si>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</si>
  <si>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</si>
  <si>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</si>
  <si>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</si>
  <si>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</si>
  <si>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</si>
  <si>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</si>
  <si>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</si>
  <si>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</si>
  <si>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</si>
  <si>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</si>
  <si>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</si>
  <si>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</si>
  <si>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Protect</t>
  </si>
  <si>
    <t>v:20230616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</si>
</sst>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7">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0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pw4Pyd2nR1qOFZms0InlNwRyX9005ZUYwwKlKdz78Si2jK3U6HsV1+VL8HlQSyN2c5kGTRHK/B4VOsi7C5gG+w==" saltValue="H1si0XrcpEQiQq2oueNXkA==" spinCount="100000" sheet="1" objects="1" scenarios="1" formatRows="0"/>
  <dataConsolidate/>
  <conditionalFormatting sqref="B2:C2">
    <cfRule type="containsBlanks" dxfId="10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C2" sqref="C2"/>
    </sheetView>
  </sheetViews>
  <sheetFormatPr defaultColWidth="14.453125" defaultRowHeight="15" customHeight="1" x14ac:dyDescent="0.25"/>
  <cols>
    <col min="1" max="1" width="20" style="120" customWidth="1"/>
    <col min="2" max="2" width="47.7265625" style="121" customWidth="1"/>
    <col min="3" max="3" width="54.7265625" style="121" customWidth="1"/>
    <col min="4" max="16384" width="14.453125" style="117"/>
  </cols>
  <sheetData>
    <row r="1" spans="1:3" s="115" customFormat="1" ht="12.5" x14ac:dyDescent="0.25">
      <c r="A1" s="266" t="s">
        <v>279</v>
      </c>
      <c r="B1" s="1" t="s">
        <v>296</v>
      </c>
      <c r="C1" s="1" t="s">
        <v>102</v>
      </c>
    </row>
    <row r="2" spans="1:3" s="116" customFormat="1" ht="41.15" customHeight="1" x14ac:dyDescent="0.3">
      <c r="A2" s="191" t="s">
        <v>991</v>
      </c>
      <c r="B2" s="15" t="s">
        <v>993</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V8fAzcMVQ7n/l6x+ZeN9lBbk3q1NpjPggTp9JoTWBZg1Bad2BNYks2DTpNPtejGpk5SYdpxAj86ipdEcwNGsLA==" saltValue="uYCZ+kGjap2AT0dBXa1ZbA==" spinCount="100000" sheet="1" objects="1" scenarios="1" formatRows="0"/>
  <dataConsolidate/>
  <conditionalFormatting sqref="C2">
    <cfRule type="containsBlanks" dxfId="10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O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19.72656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69" width="8.7265625" style="129" customWidth="1"/>
    <col min="70" max="16384" width="8.7265625" style="129"/>
  </cols>
  <sheetData>
    <row r="1" spans="1:48" s="127" customFormat="1" ht="27" hidden="1" customHeight="1" x14ac:dyDescent="0.25">
      <c r="A1" s="62" t="s">
        <v>345</v>
      </c>
      <c r="B1" s="64" t="s">
        <v>455</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67" t="s">
        <v>401</v>
      </c>
      <c r="W1" s="67" t="s">
        <v>401</v>
      </c>
      <c r="X1" s="67" t="s">
        <v>394</v>
      </c>
      <c r="Y1" s="67" t="s">
        <v>294</v>
      </c>
      <c r="Z1" s="106" t="s">
        <v>153</v>
      </c>
      <c r="AA1" s="67" t="s">
        <v>153</v>
      </c>
      <c r="AB1" s="67" t="s">
        <v>153</v>
      </c>
      <c r="AC1" s="67" t="s">
        <v>153</v>
      </c>
      <c r="AD1" s="67" t="s">
        <v>153</v>
      </c>
      <c r="AE1" s="67" t="s">
        <v>153</v>
      </c>
      <c r="AF1" s="67" t="s">
        <v>153</v>
      </c>
      <c r="AG1" s="67" t="s">
        <v>153</v>
      </c>
      <c r="AH1" s="67" t="s">
        <v>153</v>
      </c>
      <c r="AI1" s="67" t="s">
        <v>153</v>
      </c>
      <c r="AJ1" s="67" t="s">
        <v>153</v>
      </c>
      <c r="AK1" s="67" t="s">
        <v>153</v>
      </c>
      <c r="AL1" s="67" t="s">
        <v>153</v>
      </c>
      <c r="AM1" s="67" t="s">
        <v>153</v>
      </c>
      <c r="AN1" s="67" t="s">
        <v>153</v>
      </c>
      <c r="AO1" s="67" t="s">
        <v>153</v>
      </c>
      <c r="AP1" s="67" t="s">
        <v>153</v>
      </c>
      <c r="AQ1" s="67" t="s">
        <v>153</v>
      </c>
      <c r="AR1" s="67" t="s">
        <v>153</v>
      </c>
      <c r="AS1" s="67">
        <v>1.1100000000000001</v>
      </c>
      <c r="AT1" s="67">
        <v>1.1100000000000001</v>
      </c>
      <c r="AU1" s="67">
        <v>1.1100000000000001</v>
      </c>
      <c r="AV1" s="67" t="s">
        <v>826</v>
      </c>
    </row>
    <row r="2" spans="1:48" s="127" customFormat="1" ht="27" hidden="1" customHeight="1" x14ac:dyDescent="0.25">
      <c r="A2" s="62" t="s">
        <v>346</v>
      </c>
      <c r="B2" s="65"/>
      <c r="C2" s="67" t="s">
        <v>592</v>
      </c>
      <c r="D2" s="67" t="s">
        <v>592</v>
      </c>
      <c r="E2" s="67" t="s">
        <v>592</v>
      </c>
      <c r="F2" s="67" t="s">
        <v>592</v>
      </c>
      <c r="G2" s="67" t="s">
        <v>592</v>
      </c>
      <c r="H2" s="67" t="s">
        <v>592</v>
      </c>
      <c r="I2" s="67" t="s">
        <v>592</v>
      </c>
      <c r="J2" s="67" t="s">
        <v>592</v>
      </c>
      <c r="K2" s="67" t="s">
        <v>592</v>
      </c>
      <c r="L2" s="67" t="s">
        <v>592</v>
      </c>
      <c r="M2" s="67" t="s">
        <v>592</v>
      </c>
      <c r="N2" s="67" t="s">
        <v>592</v>
      </c>
      <c r="O2" s="67" t="s">
        <v>592</v>
      </c>
      <c r="P2" s="67" t="s">
        <v>592</v>
      </c>
      <c r="Q2" s="67" t="s">
        <v>592</v>
      </c>
      <c r="R2" s="67" t="s">
        <v>592</v>
      </c>
      <c r="S2" s="67" t="s">
        <v>592</v>
      </c>
      <c r="T2" s="67" t="s">
        <v>592</v>
      </c>
      <c r="U2" s="67" t="s">
        <v>592</v>
      </c>
      <c r="V2" s="67" t="s">
        <v>786</v>
      </c>
      <c r="W2" s="67" t="s">
        <v>786</v>
      </c>
      <c r="X2" s="106" t="s">
        <v>550</v>
      </c>
      <c r="Y2" s="106" t="s">
        <v>456</v>
      </c>
      <c r="Z2" s="67" t="s">
        <v>592</v>
      </c>
      <c r="AA2" s="67" t="s">
        <v>592</v>
      </c>
      <c r="AB2" s="67" t="s">
        <v>592</v>
      </c>
      <c r="AC2" s="67" t="s">
        <v>592</v>
      </c>
      <c r="AD2" s="67" t="s">
        <v>592</v>
      </c>
      <c r="AE2" s="67"/>
      <c r="AF2" s="67"/>
      <c r="AG2" s="67"/>
      <c r="AH2" s="67"/>
      <c r="AI2" s="67"/>
      <c r="AJ2" s="67"/>
      <c r="AK2" s="67"/>
      <c r="AL2" s="67"/>
      <c r="AM2" s="67"/>
      <c r="AN2" s="67"/>
      <c r="AO2" s="67"/>
      <c r="AP2" s="67"/>
      <c r="AQ2" s="67"/>
      <c r="AR2" s="67"/>
      <c r="AS2" s="67" t="s">
        <v>565</v>
      </c>
      <c r="AT2" s="67" t="s">
        <v>565</v>
      </c>
      <c r="AU2" s="67" t="s">
        <v>565</v>
      </c>
      <c r="AV2" s="67" t="s">
        <v>565</v>
      </c>
    </row>
    <row r="3" spans="1:48" s="127" customFormat="1"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74" t="s">
        <v>761</v>
      </c>
      <c r="W3" s="74" t="s">
        <v>762</v>
      </c>
      <c r="X3" s="106" t="s">
        <v>551</v>
      </c>
      <c r="Y3" s="106" t="s">
        <v>554</v>
      </c>
      <c r="Z3" s="68" t="s">
        <v>115</v>
      </c>
      <c r="AA3" s="105" t="s">
        <v>116</v>
      </c>
      <c r="AB3" s="105" t="s">
        <v>518</v>
      </c>
      <c r="AC3" s="105" t="s">
        <v>519</v>
      </c>
      <c r="AD3" s="105" t="s">
        <v>520</v>
      </c>
      <c r="AE3" s="74" t="s">
        <v>807</v>
      </c>
      <c r="AF3" s="74" t="s">
        <v>808</v>
      </c>
      <c r="AG3" s="74" t="s">
        <v>809</v>
      </c>
      <c r="AH3" s="74" t="s">
        <v>810</v>
      </c>
      <c r="AI3" s="74" t="s">
        <v>811</v>
      </c>
      <c r="AJ3" s="74" t="s">
        <v>812</v>
      </c>
      <c r="AK3" s="74" t="s">
        <v>813</v>
      </c>
      <c r="AL3" s="74" t="s">
        <v>814</v>
      </c>
      <c r="AM3" s="74" t="s">
        <v>815</v>
      </c>
      <c r="AN3" s="74" t="s">
        <v>816</v>
      </c>
      <c r="AO3" s="74" t="s">
        <v>817</v>
      </c>
      <c r="AP3" s="74" t="s">
        <v>818</v>
      </c>
      <c r="AQ3" s="74" t="s">
        <v>819</v>
      </c>
      <c r="AR3" s="74" t="s">
        <v>820</v>
      </c>
      <c r="AS3" s="74" t="s">
        <v>806</v>
      </c>
      <c r="AT3" s="74" t="s">
        <v>835</v>
      </c>
      <c r="AU3" s="74" t="s">
        <v>805</v>
      </c>
      <c r="AV3" s="74" t="s">
        <v>827</v>
      </c>
    </row>
    <row r="4" spans="1:48" s="127" customFormat="1"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68" t="s">
        <v>120</v>
      </c>
      <c r="AA4" s="105" t="s">
        <v>468</v>
      </c>
      <c r="AB4" s="105" t="s">
        <v>468</v>
      </c>
      <c r="AC4" s="105" t="s">
        <v>468</v>
      </c>
      <c r="AD4" s="105" t="s">
        <v>468</v>
      </c>
      <c r="AE4" s="96" t="s">
        <v>705</v>
      </c>
      <c r="AF4" s="109" t="s">
        <v>254</v>
      </c>
      <c r="AG4" s="109" t="s">
        <v>254</v>
      </c>
      <c r="AH4" s="109" t="s">
        <v>254</v>
      </c>
      <c r="AI4" s="109" t="s">
        <v>254</v>
      </c>
      <c r="AJ4" s="96" t="s">
        <v>705</v>
      </c>
      <c r="AK4" s="109" t="s">
        <v>258</v>
      </c>
      <c r="AL4" s="109" t="s">
        <v>258</v>
      </c>
      <c r="AM4" s="109" t="s">
        <v>258</v>
      </c>
      <c r="AN4" s="109" t="s">
        <v>258</v>
      </c>
      <c r="AO4" s="109" t="s">
        <v>258</v>
      </c>
      <c r="AP4" s="96" t="s">
        <v>705</v>
      </c>
      <c r="AQ4" s="96" t="s">
        <v>705</v>
      </c>
      <c r="AR4" s="96" t="s">
        <v>705</v>
      </c>
      <c r="AS4" s="105" t="s">
        <v>468</v>
      </c>
      <c r="AT4" s="105" t="s">
        <v>468</v>
      </c>
      <c r="AU4" s="105" t="s">
        <v>468</v>
      </c>
      <c r="AV4" s="96" t="s">
        <v>468</v>
      </c>
    </row>
    <row r="5" spans="1:48" s="127" customFormat="1" ht="41" hidden="1" customHeight="1" x14ac:dyDescent="0.25">
      <c r="A5" s="62" t="s">
        <v>347</v>
      </c>
      <c r="B5" s="110"/>
      <c r="C5" s="106" t="s">
        <v>131</v>
      </c>
      <c r="D5" s="68" t="s">
        <v>143</v>
      </c>
      <c r="E5" s="68"/>
      <c r="F5" s="68" t="s">
        <v>457</v>
      </c>
      <c r="G5" s="68" t="s">
        <v>464</v>
      </c>
      <c r="H5" s="68" t="s">
        <v>465</v>
      </c>
      <c r="I5" s="68" t="s">
        <v>466</v>
      </c>
      <c r="J5" s="68" t="s">
        <v>467</v>
      </c>
      <c r="K5" s="68" t="s">
        <v>132</v>
      </c>
      <c r="L5" s="106" t="s">
        <v>151</v>
      </c>
      <c r="M5" s="106" t="s">
        <v>152</v>
      </c>
      <c r="N5" s="106" t="s">
        <v>480</v>
      </c>
      <c r="O5" s="106" t="s">
        <v>481</v>
      </c>
      <c r="P5" s="106" t="s">
        <v>480</v>
      </c>
      <c r="Q5" s="106" t="s">
        <v>481</v>
      </c>
      <c r="R5" s="106" t="s">
        <v>480</v>
      </c>
      <c r="S5" s="106" t="s">
        <v>481</v>
      </c>
      <c r="T5" s="106" t="s">
        <v>516</v>
      </c>
      <c r="U5" s="106" t="s">
        <v>517</v>
      </c>
      <c r="V5" s="67" t="s">
        <v>763</v>
      </c>
      <c r="W5" s="67" t="s">
        <v>764</v>
      </c>
      <c r="X5" s="106" t="s">
        <v>553</v>
      </c>
      <c r="Y5" s="106" t="s">
        <v>556</v>
      </c>
      <c r="Z5" s="68" t="s">
        <v>469</v>
      </c>
      <c r="AA5" s="106" t="s">
        <v>150</v>
      </c>
      <c r="AB5" s="67" t="s">
        <v>524</v>
      </c>
      <c r="AC5" s="67" t="s">
        <v>525</v>
      </c>
      <c r="AD5" s="67" t="s">
        <v>654</v>
      </c>
      <c r="AE5" s="74"/>
      <c r="AF5" s="105" t="s">
        <v>256</v>
      </c>
      <c r="AG5" s="105" t="s">
        <v>257</v>
      </c>
      <c r="AH5" s="105" t="s">
        <v>255</v>
      </c>
      <c r="AI5" s="105" t="s">
        <v>103</v>
      </c>
      <c r="AJ5" s="74"/>
      <c r="AK5" s="105" t="s">
        <v>259</v>
      </c>
      <c r="AL5" s="67" t="s">
        <v>260</v>
      </c>
      <c r="AM5" s="67" t="s">
        <v>261</v>
      </c>
      <c r="AN5" s="67" t="s">
        <v>104</v>
      </c>
      <c r="AO5" s="67" t="s">
        <v>105</v>
      </c>
      <c r="AP5" s="67"/>
      <c r="AQ5" s="67"/>
      <c r="AR5" s="67"/>
      <c r="AS5" s="67" t="s">
        <v>766</v>
      </c>
      <c r="AT5" s="67" t="s">
        <v>767</v>
      </c>
      <c r="AU5" s="67" t="s">
        <v>768</v>
      </c>
      <c r="AV5" s="67" t="s">
        <v>828</v>
      </c>
    </row>
    <row r="6" spans="1:48" s="127" customFormat="1" ht="27" hidden="1" customHeight="1" x14ac:dyDescent="0.25">
      <c r="A6" s="62" t="s">
        <v>137</v>
      </c>
      <c r="B6" s="64"/>
      <c r="C6" s="67" t="s">
        <v>106</v>
      </c>
      <c r="D6" s="67" t="s">
        <v>106</v>
      </c>
      <c r="E6" s="67" t="s">
        <v>291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74" t="s">
        <v>106</v>
      </c>
      <c r="W6" s="74" t="s">
        <v>765</v>
      </c>
      <c r="X6" s="106" t="s">
        <v>106</v>
      </c>
      <c r="Y6" s="106" t="s">
        <v>106</v>
      </c>
      <c r="Z6" s="106" t="s">
        <v>149</v>
      </c>
      <c r="AA6" s="67" t="s">
        <v>106</v>
      </c>
      <c r="AB6" s="106" t="s">
        <v>549</v>
      </c>
      <c r="AC6" s="67" t="s">
        <v>106</v>
      </c>
      <c r="AD6" s="67" t="s">
        <v>106</v>
      </c>
      <c r="AE6" s="67" t="s">
        <v>149</v>
      </c>
      <c r="AF6" s="74" t="s">
        <v>154</v>
      </c>
      <c r="AG6" s="74" t="s">
        <v>154</v>
      </c>
      <c r="AH6" s="74" t="s">
        <v>154</v>
      </c>
      <c r="AI6" s="74" t="s">
        <v>154</v>
      </c>
      <c r="AJ6" s="67" t="s">
        <v>149</v>
      </c>
      <c r="AK6" s="74" t="s">
        <v>154</v>
      </c>
      <c r="AL6" s="74" t="s">
        <v>154</v>
      </c>
      <c r="AM6" s="74" t="s">
        <v>154</v>
      </c>
      <c r="AN6" s="74" t="s">
        <v>154</v>
      </c>
      <c r="AO6" s="74" t="s">
        <v>154</v>
      </c>
      <c r="AP6" s="67" t="s">
        <v>149</v>
      </c>
      <c r="AQ6" s="67" t="s">
        <v>149</v>
      </c>
      <c r="AR6" s="74" t="s">
        <v>154</v>
      </c>
      <c r="AS6" s="74" t="s">
        <v>106</v>
      </c>
      <c r="AT6" s="74" t="s">
        <v>106</v>
      </c>
      <c r="AU6" s="74" t="s">
        <v>106</v>
      </c>
      <c r="AV6" s="74" t="s">
        <v>106</v>
      </c>
    </row>
    <row r="7" spans="1:48" s="127" customFormat="1"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74" t="s">
        <v>144</v>
      </c>
      <c r="W7" s="74" t="s">
        <v>142</v>
      </c>
      <c r="X7" s="106" t="s">
        <v>156</v>
      </c>
      <c r="Y7" s="106" t="s">
        <v>156</v>
      </c>
      <c r="Z7" s="106" t="s">
        <v>142</v>
      </c>
      <c r="AA7" s="67" t="s">
        <v>144</v>
      </c>
      <c r="AB7" s="106" t="s">
        <v>142</v>
      </c>
      <c r="AC7" s="67" t="s">
        <v>140</v>
      </c>
      <c r="AD7" s="67" t="s">
        <v>140</v>
      </c>
      <c r="AE7" s="67" t="s">
        <v>142</v>
      </c>
      <c r="AF7" s="74" t="s">
        <v>154</v>
      </c>
      <c r="AG7" s="74" t="s">
        <v>154</v>
      </c>
      <c r="AH7" s="74" t="s">
        <v>154</v>
      </c>
      <c r="AI7" s="74" t="s">
        <v>154</v>
      </c>
      <c r="AJ7" s="67" t="s">
        <v>142</v>
      </c>
      <c r="AK7" s="74" t="s">
        <v>154</v>
      </c>
      <c r="AL7" s="74" t="s">
        <v>154</v>
      </c>
      <c r="AM7" s="74" t="s">
        <v>154</v>
      </c>
      <c r="AN7" s="74" t="s">
        <v>154</v>
      </c>
      <c r="AO7" s="74" t="s">
        <v>154</v>
      </c>
      <c r="AP7" s="67" t="s">
        <v>142</v>
      </c>
      <c r="AQ7" s="67" t="s">
        <v>142</v>
      </c>
      <c r="AR7" s="74" t="s">
        <v>154</v>
      </c>
      <c r="AS7" s="74" t="s">
        <v>156</v>
      </c>
      <c r="AT7" s="74" t="s">
        <v>156</v>
      </c>
      <c r="AU7" s="74" t="s">
        <v>156</v>
      </c>
      <c r="AV7" s="74" t="s">
        <v>140</v>
      </c>
    </row>
    <row r="8" spans="1:48" s="127" customFormat="1"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74" t="s">
        <v>145</v>
      </c>
      <c r="W8" s="74" t="s">
        <v>106</v>
      </c>
      <c r="X8" s="106">
        <v>9999999999</v>
      </c>
      <c r="Y8" s="106">
        <v>9999999999</v>
      </c>
      <c r="Z8" s="106" t="s">
        <v>106</v>
      </c>
      <c r="AA8" s="67" t="s">
        <v>145</v>
      </c>
      <c r="AB8" s="106" t="s">
        <v>106</v>
      </c>
      <c r="AC8" s="67">
        <v>255</v>
      </c>
      <c r="AD8" s="67">
        <v>1500</v>
      </c>
      <c r="AE8" s="67" t="s">
        <v>106</v>
      </c>
      <c r="AF8" s="74" t="s">
        <v>154</v>
      </c>
      <c r="AG8" s="74" t="s">
        <v>154</v>
      </c>
      <c r="AH8" s="74" t="s">
        <v>154</v>
      </c>
      <c r="AI8" s="74" t="s">
        <v>154</v>
      </c>
      <c r="AJ8" s="67" t="s">
        <v>106</v>
      </c>
      <c r="AK8" s="74" t="s">
        <v>154</v>
      </c>
      <c r="AL8" s="74" t="s">
        <v>154</v>
      </c>
      <c r="AM8" s="74" t="s">
        <v>154</v>
      </c>
      <c r="AN8" s="74" t="s">
        <v>154</v>
      </c>
      <c r="AO8" s="74" t="s">
        <v>154</v>
      </c>
      <c r="AP8" s="67" t="s">
        <v>106</v>
      </c>
      <c r="AQ8" s="67" t="s">
        <v>106</v>
      </c>
      <c r="AR8" s="74" t="s">
        <v>154</v>
      </c>
      <c r="AS8" s="106">
        <v>9999999999</v>
      </c>
      <c r="AT8" s="106">
        <v>9999999999</v>
      </c>
      <c r="AU8" s="106">
        <v>9999999999</v>
      </c>
      <c r="AV8" s="74">
        <v>255</v>
      </c>
    </row>
    <row r="9" spans="1:48" s="127" customFormat="1" ht="27" hidden="1" customHeight="1" x14ac:dyDescent="0.25">
      <c r="A9" s="62" t="s">
        <v>348</v>
      </c>
      <c r="B9" s="108"/>
      <c r="C9" s="105"/>
      <c r="D9" s="105"/>
      <c r="E9" s="105"/>
      <c r="F9" s="105"/>
      <c r="G9" s="105"/>
      <c r="H9" s="67"/>
      <c r="I9" s="67" t="s">
        <v>560</v>
      </c>
      <c r="J9" s="67" t="s">
        <v>560</v>
      </c>
      <c r="K9" s="105"/>
      <c r="L9" s="105"/>
      <c r="M9" s="105"/>
      <c r="N9" s="67"/>
      <c r="O9" s="67"/>
      <c r="P9" s="67"/>
      <c r="Q9" s="67"/>
      <c r="R9" s="67"/>
      <c r="S9" s="67"/>
      <c r="T9" s="67"/>
      <c r="U9" s="67"/>
      <c r="V9" s="96"/>
      <c r="W9" s="96"/>
      <c r="X9" s="67"/>
      <c r="Y9" s="67"/>
      <c r="Z9" s="68"/>
      <c r="AA9" s="105" t="s">
        <v>652</v>
      </c>
      <c r="AB9" s="105" t="s">
        <v>652</v>
      </c>
      <c r="AC9" s="105" t="s">
        <v>653</v>
      </c>
      <c r="AD9" s="105" t="s">
        <v>655</v>
      </c>
      <c r="AE9" s="96" t="s">
        <v>686</v>
      </c>
      <c r="AF9" s="96" t="s">
        <v>657</v>
      </c>
      <c r="AG9" s="96" t="s">
        <v>657</v>
      </c>
      <c r="AH9" s="96" t="s">
        <v>657</v>
      </c>
      <c r="AI9" s="96" t="s">
        <v>657</v>
      </c>
      <c r="AJ9" s="96" t="s">
        <v>686</v>
      </c>
      <c r="AK9" s="96" t="s">
        <v>658</v>
      </c>
      <c r="AL9" s="96" t="s">
        <v>658</v>
      </c>
      <c r="AM9" s="96" t="s">
        <v>658</v>
      </c>
      <c r="AN9" s="96" t="s">
        <v>658</v>
      </c>
      <c r="AO9" s="96" t="s">
        <v>658</v>
      </c>
      <c r="AP9" s="96" t="s">
        <v>686</v>
      </c>
      <c r="AQ9" s="96" t="s">
        <v>686</v>
      </c>
      <c r="AR9" s="96" t="s">
        <v>659</v>
      </c>
      <c r="AS9" s="96"/>
      <c r="AT9" s="96"/>
      <c r="AU9" s="96"/>
      <c r="AV9" s="96" t="s">
        <v>829</v>
      </c>
    </row>
    <row r="10" spans="1:48" s="127" customFormat="1" ht="35.15" hidden="1" customHeight="1" x14ac:dyDescent="0.2">
      <c r="A10" s="38" t="s">
        <v>704</v>
      </c>
      <c r="B10" s="39"/>
      <c r="C10" s="39" t="s">
        <v>707</v>
      </c>
      <c r="D10" s="39" t="s">
        <v>708</v>
      </c>
      <c r="E10" s="39" t="s">
        <v>709</v>
      </c>
      <c r="F10" s="39" t="s">
        <v>710</v>
      </c>
      <c r="G10" s="39" t="s">
        <v>711</v>
      </c>
      <c r="H10" s="40" t="s">
        <v>785</v>
      </c>
      <c r="I10" s="40" t="s">
        <v>757</v>
      </c>
      <c r="J10" s="40" t="s">
        <v>784</v>
      </c>
      <c r="K10" s="39" t="s">
        <v>712</v>
      </c>
      <c r="L10" s="39" t="s">
        <v>713</v>
      </c>
      <c r="M10" s="39" t="s">
        <v>714</v>
      </c>
      <c r="N10" s="40"/>
      <c r="O10" s="40"/>
      <c r="P10" s="40"/>
      <c r="Q10" s="40"/>
      <c r="R10" s="40"/>
      <c r="S10" s="40"/>
      <c r="T10" s="40"/>
      <c r="U10" s="40"/>
      <c r="V10" s="40"/>
      <c r="W10" s="40"/>
      <c r="X10" s="40"/>
      <c r="Y10" s="40"/>
      <c r="Z10" s="41"/>
      <c r="AA10" s="39" t="s">
        <v>954</v>
      </c>
      <c r="AB10" s="39"/>
      <c r="AC10" s="39"/>
      <c r="AD10" s="39"/>
      <c r="AE10" s="42"/>
      <c r="AF10" s="42"/>
      <c r="AG10" s="42"/>
      <c r="AH10" s="42"/>
      <c r="AI10" s="42"/>
      <c r="AJ10" s="42"/>
      <c r="AK10" s="42"/>
      <c r="AL10" s="42"/>
      <c r="AM10" s="42"/>
      <c r="AN10" s="42"/>
      <c r="AO10" s="42"/>
      <c r="AP10" s="42"/>
      <c r="AQ10" s="42"/>
      <c r="AR10" s="42"/>
      <c r="AS10" s="42"/>
      <c r="AT10" s="42"/>
      <c r="AU10" s="42"/>
      <c r="AV10" s="42"/>
    </row>
    <row r="11" spans="1:48"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row>
    <row r="12" spans="1:48" s="180" customFormat="1" ht="130" x14ac:dyDescent="0.3">
      <c r="A12" s="178" t="s">
        <v>135</v>
      </c>
      <c r="B12" s="179"/>
      <c r="C12" s="184" t="s">
        <v>6</v>
      </c>
      <c r="D12" s="184" t="s">
        <v>123</v>
      </c>
      <c r="E12" s="184" t="s">
        <v>124</v>
      </c>
      <c r="F12" s="184" t="s">
        <v>125</v>
      </c>
      <c r="G12" s="184" t="s">
        <v>460</v>
      </c>
      <c r="H12" s="184" t="s">
        <v>461</v>
      </c>
      <c r="I12" s="184" t="s">
        <v>462</v>
      </c>
      <c r="J12" s="184" t="s">
        <v>463</v>
      </c>
      <c r="K12" s="184" t="s">
        <v>128</v>
      </c>
      <c r="L12" s="259" t="s">
        <v>129</v>
      </c>
      <c r="M12" s="259" t="s">
        <v>130</v>
      </c>
      <c r="N12" s="184" t="s">
        <v>627</v>
      </c>
      <c r="O12" s="184" t="s">
        <v>476</v>
      </c>
      <c r="P12" s="259" t="s">
        <v>477</v>
      </c>
      <c r="Q12" s="184" t="s">
        <v>478</v>
      </c>
      <c r="R12" s="259" t="s">
        <v>477</v>
      </c>
      <c r="S12" s="184" t="s">
        <v>479</v>
      </c>
      <c r="T12" s="184" t="s">
        <v>514</v>
      </c>
      <c r="U12" s="184" t="s">
        <v>515</v>
      </c>
      <c r="V12" s="184" t="s">
        <v>593</v>
      </c>
      <c r="W12" s="184" t="s">
        <v>594</v>
      </c>
      <c r="X12" s="184" t="s">
        <v>552</v>
      </c>
      <c r="Y12" s="184" t="s">
        <v>555</v>
      </c>
      <c r="Z12" s="184" t="s">
        <v>126</v>
      </c>
      <c r="AA12" s="184" t="s">
        <v>127</v>
      </c>
      <c r="AB12" s="184" t="s">
        <v>521</v>
      </c>
      <c r="AC12" s="184" t="s">
        <v>522</v>
      </c>
      <c r="AD12" s="184" t="s">
        <v>523</v>
      </c>
      <c r="AE12" s="184" t="s">
        <v>331</v>
      </c>
      <c r="AF12" s="184" t="s">
        <v>333</v>
      </c>
      <c r="AG12" s="184" t="s">
        <v>332</v>
      </c>
      <c r="AH12" s="184" t="s">
        <v>336</v>
      </c>
      <c r="AI12" s="184" t="s">
        <v>334</v>
      </c>
      <c r="AJ12" s="184" t="s">
        <v>335</v>
      </c>
      <c r="AK12" s="184" t="s">
        <v>337</v>
      </c>
      <c r="AL12" s="184" t="s">
        <v>338</v>
      </c>
      <c r="AM12" s="184" t="s">
        <v>339</v>
      </c>
      <c r="AN12" s="184" t="s">
        <v>340</v>
      </c>
      <c r="AO12" s="184" t="s">
        <v>341</v>
      </c>
      <c r="AP12" s="184" t="s">
        <v>342</v>
      </c>
      <c r="AQ12" s="184" t="s">
        <v>344</v>
      </c>
      <c r="AR12" s="184" t="s">
        <v>343</v>
      </c>
      <c r="AS12" s="184" t="s">
        <v>766</v>
      </c>
      <c r="AT12" s="184" t="s">
        <v>767</v>
      </c>
      <c r="AU12" s="184" t="s">
        <v>768</v>
      </c>
      <c r="AV12" s="184" t="s">
        <v>828</v>
      </c>
    </row>
    <row r="13" spans="1:48" ht="12.5" customHeight="1" x14ac:dyDescent="0.25">
      <c r="A13" s="192" t="s">
        <v>136</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row>
    <row r="14" spans="1:48"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row>
    <row r="15" spans="1:48"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row>
    <row r="16" spans="1:48"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row>
    <row r="17" spans="1:48"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row>
    <row r="18" spans="1:48"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row>
    <row r="19" spans="1:48"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row>
    <row r="20" spans="1:48"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row>
    <row r="21" spans="1:48"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row>
    <row r="22" spans="1:48"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row>
    <row r="23" spans="1:48"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row>
    <row r="24" spans="1:48"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row>
    <row r="25" spans="1:48"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row>
    <row r="26" spans="1:48"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row>
    <row r="27" spans="1:48"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row>
    <row r="28" spans="1:48"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row>
    <row r="29" spans="1:48"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row>
    <row r="30" spans="1:48"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row>
    <row r="31" spans="1:48"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row>
    <row r="32" spans="1:48"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row>
    <row r="33" spans="1:48"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row>
    <row r="34" spans="1:48"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row>
    <row r="35" spans="1:48"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row>
    <row r="36" spans="1:48"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row>
    <row r="37" spans="1:48"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row>
    <row r="38" spans="1:48"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row>
    <row r="39" spans="1:48"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row>
    <row r="40" spans="1:48"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row>
    <row r="41" spans="1:48"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row>
    <row r="42" spans="1:48"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row>
    <row r="43" spans="1:48"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row>
    <row r="44" spans="1:48"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row>
    <row r="45" spans="1:48"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row>
    <row r="46" spans="1:48"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row>
    <row r="47" spans="1:48"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row>
    <row r="48" spans="1:48"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row>
    <row r="49" spans="1:48"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row>
    <row r="50" spans="1:48"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row>
    <row r="51" spans="1:48"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row>
    <row r="52" spans="1:48"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row>
    <row r="53" spans="1:48"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row>
    <row r="54" spans="1:48"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row>
    <row r="55" spans="1:48"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row>
    <row r="56" spans="1:48"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row>
    <row r="57" spans="1:48"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row>
    <row r="58" spans="1:48"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row>
    <row r="59" spans="1:48"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row>
    <row r="60" spans="1:48"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row>
    <row r="61" spans="1:48"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row>
    <row r="62" spans="1:48"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row>
    <row r="63" spans="1:48"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row>
    <row r="64" spans="1:48"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row>
    <row r="65" spans="1:48"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row>
    <row r="66" spans="1:48"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row>
    <row r="67" spans="1:48"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row>
    <row r="68" spans="1:48"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row>
    <row r="69" spans="1:48"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row>
    <row r="70" spans="1:48"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row>
    <row r="71" spans="1:48"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row>
    <row r="72" spans="1:48"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row>
    <row r="73" spans="1:48"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row>
    <row r="74" spans="1:48"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row>
    <row r="75" spans="1:48"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row>
    <row r="76" spans="1:48"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row>
    <row r="77" spans="1:48"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row>
    <row r="78" spans="1:48"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row>
    <row r="79" spans="1:48"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row>
    <row r="80" spans="1:48"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row>
    <row r="81" spans="1:48"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row>
    <row r="82" spans="1:48"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row>
    <row r="83" spans="1:48"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row>
    <row r="84" spans="1:48"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row>
    <row r="85" spans="1:48"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row>
    <row r="86" spans="1:48"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row>
    <row r="87" spans="1:48"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row>
    <row r="88" spans="1:48"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row>
    <row r="89" spans="1:48"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row>
    <row r="90" spans="1:48"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row>
    <row r="91" spans="1:48"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row>
    <row r="92" spans="1:48"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row>
    <row r="93" spans="1:48"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row>
    <row r="94" spans="1:48"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row>
    <row r="95" spans="1:48"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row>
    <row r="96" spans="1:48"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row>
    <row r="97" spans="1:48"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row>
    <row r="98" spans="1:48"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row>
    <row r="99" spans="1:48"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row>
    <row r="100" spans="1:48"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row>
    <row r="101" spans="1:48"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row>
    <row r="102" spans="1:48"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row>
    <row r="103" spans="1:48"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row>
    <row r="104" spans="1:48"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row>
    <row r="105" spans="1:48"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row>
    <row r="106" spans="1:48"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row>
    <row r="107" spans="1:48"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row>
    <row r="108" spans="1:48"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row>
    <row r="109" spans="1:48"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row>
    <row r="110" spans="1:48"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row>
    <row r="111" spans="1:48"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row>
    <row r="112" spans="1:48"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row>
    <row r="113" spans="1:48"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row>
    <row r="114" spans="1:48"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row>
    <row r="115" spans="1:48"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row>
    <row r="116" spans="1:48"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row>
    <row r="117" spans="1:48"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row>
    <row r="118" spans="1:48"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row>
    <row r="119" spans="1:48"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row>
    <row r="120" spans="1:48"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row>
    <row r="121" spans="1:48"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row>
    <row r="122" spans="1:48"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row>
    <row r="123" spans="1:48"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row>
    <row r="124" spans="1:48"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row>
    <row r="125" spans="1:48"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row>
    <row r="126" spans="1:48"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row>
    <row r="127" spans="1:48"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row>
    <row r="128" spans="1:48"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row>
    <row r="129" spans="1:48"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row>
    <row r="130" spans="1:48"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row>
    <row r="131" spans="1:48"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row>
    <row r="132" spans="1:48"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row>
    <row r="133" spans="1:48"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row>
    <row r="134" spans="1:48"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row>
    <row r="135" spans="1:48"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row>
    <row r="136" spans="1:48"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row>
    <row r="137" spans="1:48"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row>
    <row r="138" spans="1:48"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row>
    <row r="139" spans="1:48"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row>
    <row r="140" spans="1:48"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row>
    <row r="141" spans="1:48"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row>
    <row r="142" spans="1:48"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row>
    <row r="143" spans="1:48"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row>
    <row r="144" spans="1:48"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row>
    <row r="145" spans="1:48"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row>
    <row r="146" spans="1:48"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row>
    <row r="147" spans="1:48"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row>
    <row r="148" spans="1:48"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row>
    <row r="149" spans="1:48"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row>
    <row r="150" spans="1:48"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row>
    <row r="151" spans="1:48"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row>
    <row r="152" spans="1:48"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row>
    <row r="153" spans="1:48"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row>
    <row r="154" spans="1:48"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row>
    <row r="155" spans="1:48"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row>
    <row r="156" spans="1:48"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row>
    <row r="157" spans="1:48"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row>
    <row r="158" spans="1:48"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row>
    <row r="159" spans="1:48"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row>
    <row r="160" spans="1:48"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row>
    <row r="161" spans="1:48"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row>
    <row r="162" spans="1:48"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row>
    <row r="163" spans="1:48"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row>
    <row r="164" spans="1:48"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row>
    <row r="165" spans="1:48"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row>
    <row r="166" spans="1:48"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row>
    <row r="167" spans="1:48"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row>
    <row r="168" spans="1:48"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row>
    <row r="169" spans="1:48"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row>
    <row r="170" spans="1:48"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row>
    <row r="171" spans="1:48"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row>
    <row r="172" spans="1:48"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row>
    <row r="173" spans="1:48"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row>
    <row r="174" spans="1:48"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row>
    <row r="175" spans="1:48"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row>
    <row r="176" spans="1:48"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row>
    <row r="177" spans="1:48"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row>
    <row r="178" spans="1:48"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row>
    <row r="179" spans="1:48"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row>
    <row r="180" spans="1:48"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row>
    <row r="181" spans="1:48"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row>
    <row r="182" spans="1:48"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row>
    <row r="183" spans="1:48"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row>
    <row r="184" spans="1:48"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row>
    <row r="185" spans="1:48"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row>
    <row r="186" spans="1:48"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row>
    <row r="187" spans="1:48"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row>
    <row r="188" spans="1:48"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row>
    <row r="189" spans="1:48"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row>
    <row r="190" spans="1:48"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row>
    <row r="191" spans="1:48"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row>
    <row r="192" spans="1:48"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row>
    <row r="193" spans="1:48"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row>
    <row r="194" spans="1:48"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row>
    <row r="195" spans="1:48"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row>
    <row r="196" spans="1:48"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row>
    <row r="197" spans="1:48"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row>
    <row r="198" spans="1:48"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row>
    <row r="199" spans="1:48"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row>
    <row r="200" spans="1:48"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row>
    <row r="201" spans="1:48"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TjD4FZdBejZPKvDG70/j6TJFMLw+5KPR89awICDfW5tsq2wEhllm5tJVSmiazBEYG2mtwlld33K85gutetf5/g==" saltValue="BT527YC1Yr3OqkgCapKkuQ==" spinCount="100000" sheet="1" objects="1" scenarios="1" formatCells="0" formatRows="0"/>
  <dataConsolidate/>
  <phoneticPr fontId="10" type="noConversion"/>
  <conditionalFormatting sqref="AC13:AC201">
    <cfRule type="expression" priority="21">
      <formula>LEFT($AB13,5)="Other"</formula>
    </cfRule>
  </conditionalFormatting>
  <conditionalFormatting sqref="AR13:AR200">
    <cfRule type="expression" dxfId="102" priority="5">
      <formula>OR($AA13&lt;10000000,$AQ13="No")</formula>
    </cfRule>
    <cfRule type="expression" priority="6">
      <formula>AND($AA13&gt;=10000000,$AQ13="Yes")</formula>
    </cfRule>
  </conditionalFormatting>
  <conditionalFormatting sqref="AP13:AQ200">
    <cfRule type="expression" dxfId="101" priority="7">
      <formula>$AA13&lt;10000000</formula>
    </cfRule>
    <cfRule type="expression" priority="8">
      <formula>$AA13&gt;=10000000</formula>
    </cfRule>
  </conditionalFormatting>
  <conditionalFormatting sqref="AK13:AO200">
    <cfRule type="expression" dxfId="100" priority="9">
      <formula>OR($AA13&lt;10000000,$AJ13="Yes")</formula>
    </cfRule>
    <cfRule type="expression" dxfId="99" priority="10">
      <formula>AND($AA13&gt;=10000000,$AJ13="No")</formula>
    </cfRule>
  </conditionalFormatting>
  <conditionalFormatting sqref="AJ13:AJ200">
    <cfRule type="expression" dxfId="98" priority="11">
      <formula>$AA13&lt;10000000</formula>
    </cfRule>
    <cfRule type="expression" dxfId="97" priority="12">
      <formula>$AA13&gt;=10000000</formula>
    </cfRule>
  </conditionalFormatting>
  <conditionalFormatting sqref="AF13:AI200">
    <cfRule type="expression" priority="13">
      <formula>AND($AE13="No",$AA13&gt;=10000000)</formula>
    </cfRule>
    <cfRule type="expression" dxfId="96" priority="14">
      <formula>OR($AE13="Yes",$AA13&lt;10000000)</formula>
    </cfRule>
  </conditionalFormatting>
  <conditionalFormatting sqref="AE13:AE200">
    <cfRule type="expression" dxfId="95" priority="16">
      <formula>$AA13&lt;10000000</formula>
    </cfRule>
    <cfRule type="expression" priority="17">
      <formula>$AA13&gt;=10000000</formula>
    </cfRule>
  </conditionalFormatting>
  <conditionalFormatting sqref="AD13:AD200">
    <cfRule type="expression" dxfId="94" priority="18" stopIfTrue="1">
      <formula>AND($AA13&gt;=1000000,LEFT($AB13,5)="Other")</formula>
    </cfRule>
    <cfRule type="expression" dxfId="93" priority="19">
      <formula>$AA13&lt;10000000</formula>
    </cfRule>
    <cfRule type="expression" priority="20">
      <formula>$AA13&gt;=10000000</formula>
    </cfRule>
  </conditionalFormatting>
  <conditionalFormatting sqref="AC13:AC200">
    <cfRule type="expression" dxfId="92" priority="22">
      <formula>LEFT($AB13,5)&lt;&gt;"Other"</formula>
    </cfRule>
  </conditionalFormatting>
  <conditionalFormatting sqref="AA13:AB200">
    <cfRule type="expression" priority="23">
      <formula>$Z13="Yes"</formula>
    </cfRule>
    <cfRule type="expression" dxfId="91" priority="24">
      <formula>$Z13&lt;&gt;"Yes"</formula>
    </cfRule>
  </conditionalFormatting>
  <conditionalFormatting sqref="O13:O200">
    <cfRule type="expression" dxfId="90" priority="25">
      <formula>RIGHT($N13,7)="specify"</formula>
    </cfRule>
    <cfRule type="expression" dxfId="89" priority="26">
      <formula>RIGHT($N13,7)&lt;&gt;"specify"</formula>
    </cfRule>
  </conditionalFormatting>
  <conditionalFormatting sqref="Q13:Q200">
    <cfRule type="expression" dxfId="88" priority="27">
      <formula>RIGHT($P13,7)="specify"</formula>
    </cfRule>
    <cfRule type="expression" dxfId="87" priority="28">
      <formula>RIGHT($P13,7)&lt;&gt;"specify"</formula>
    </cfRule>
  </conditionalFormatting>
  <conditionalFormatting sqref="S13:S200">
    <cfRule type="expression" dxfId="86" priority="29">
      <formula>RIGHT($R13,7)="specify"</formula>
    </cfRule>
    <cfRule type="expression" dxfId="85" priority="30">
      <formula>RIGHT($R13,7)&lt;&gt;"specify"</formula>
    </cfRule>
  </conditionalFormatting>
  <conditionalFormatting sqref="AV13:AV200">
    <cfRule type="expression" priority="3">
      <formula>$E13="Cancelled"</formula>
    </cfRule>
    <cfRule type="expression" dxfId="84" priority="4">
      <formula>$E13&lt;&gt;"Cancelled"</formula>
    </cfRule>
  </conditionalFormatting>
  <conditionalFormatting sqref="N13:Y200 AS13:AU200">
    <cfRule type="expression" priority="1">
      <formula>$E13&lt;&gt;"Not Started"</formula>
    </cfRule>
    <cfRule type="expression" dxfId="8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L201 M201 J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787A4575-1173-42D2-B25A-25EF3120CEB6}">
      <formula1>80</formula1>
    </dataValidation>
    <dataValidation type="textLength" operator="lessThanOrEqual" allowBlank="1" showInputMessage="1" showErrorMessage="1" errorTitle="Max Length Exceed" error="Value cannot exceed 20 characters." sqref="D13:D200" xr:uid="{D455AF3F-3865-427E-A799-A92C1C144CDD}">
      <formula1>20</formula1>
    </dataValidation>
    <dataValidation type="decimal" operator="lessThanOrEqual" allowBlank="1" showInputMessage="1" showErrorMessage="1" errorTitle="Maximum Exceeded" error="Value cannot exceed 999,999,999,999.99" sqref="F13:F200" xr:uid="{76F0BE17-B23E-4E5A-8249-4DB34A5C0C27}">
      <formula1>999999999999.99</formula1>
    </dataValidation>
    <dataValidation type="decimal" operator="lessThanOrEqual" allowBlank="1" showInputMessage="1" showErrorMessage="1" errorTitle="Maximum Exceeded" error="Value cannot exceed 999,999,999,999.99" sqref="G13:G200" xr:uid="{CCC26A6E-97A5-4EA5-ACBD-4028FB182F16}">
      <formula1>999999999999.99</formula1>
    </dataValidation>
    <dataValidation type="decimal" operator="lessThanOrEqual" allowBlank="1" showInputMessage="1" showErrorMessage="1" errorTitle="Maximum Exceeded" error="Value cannot exceed 999,999,999,999.99" sqref="H13:H200" xr:uid="{8058C76F-DC85-4F99-8FFE-07182FCBADA2}">
      <formula1>999999999999.99</formula1>
    </dataValidation>
    <dataValidation type="decimal" operator="lessThanOrEqual" allowBlank="1" showInputMessage="1" showErrorMessage="1" errorTitle="Maximum Exceeded" error="Value cannot exceed 999,999,999,999.99" sqref="I13:I200" xr:uid="{E69BDC07-3D0F-473E-9E69-6CE6F7D319F8}">
      <formula1>999999999999.99</formula1>
    </dataValidation>
    <dataValidation type="decimal" operator="lessThanOrEqual" allowBlank="1" showInputMessage="1" showErrorMessage="1" errorTitle="Maximum Exceeded" error="Value cannot exceed 999,999,999,999.99" sqref="J13:J200" xr:uid="{9EBC1F2B-2970-4785-8062-E360FB0F897B}">
      <formula1>999999999999.99</formula1>
    </dataValidation>
    <dataValidation type="textLength" operator="lessThanOrEqual" allowBlank="1" showInputMessage="1" showErrorMessage="1" errorTitle="Max Length Exceed" error="Value cannot exceed 1500 characters." sqref="K13:K200" xr:uid="{77E4FFA1-E5EB-4810-9B65-FD9C51BA7997}">
      <formula1>1500</formula1>
    </dataValidation>
    <dataValidation type="decimal" operator="lessThanOrEqual" allowBlank="1" showInputMessage="1" showErrorMessage="1" errorTitle="Maximum Exceeded" error="Value cannot exceed 999,999,999,999.99" sqref="L13:L200" xr:uid="{0A5D4D8E-A075-4761-A2F4-4D98F51070E4}">
      <formula1>999999999999.99</formula1>
    </dataValidation>
    <dataValidation type="decimal" operator="lessThanOrEqual" allowBlank="1" showInputMessage="1" showErrorMessage="1" errorTitle="Maximum Exceeded" error="Value cannot exceed 999,999,999,999.99" sqref="M13:M200" xr:uid="{C66337DB-B165-43A0-88AE-0FC28EE3F72A}">
      <formula1>999999999999.99</formula1>
    </dataValidation>
    <dataValidation type="textLength" operator="lessThanOrEqual" allowBlank="1" showInputMessage="1" showErrorMessage="1" errorTitle="Max Length Exceed" error="Value cannot exceed 250 characters." sqref="O13:O200" xr:uid="{E9136D8B-C6EB-464A-89CD-4EDC6324C523}">
      <formula1>250</formula1>
    </dataValidation>
    <dataValidation type="textLength" operator="lessThanOrEqual" allowBlank="1" showInputMessage="1" showErrorMessage="1" errorTitle="Max Length Exceed" error="Value cannot exceed 250 characters." sqref="Q13:Q200" xr:uid="{313461DF-369C-43E3-9426-1159B2D07047}">
      <formula1>250</formula1>
    </dataValidation>
    <dataValidation type="textLength" operator="lessThanOrEqual" allowBlank="1" showInputMessage="1" showErrorMessage="1" errorTitle="Max Length Exceed" error="Value cannot exceed 250 characters." sqref="S13:S200" xr:uid="{8FDADF22-604D-4DF7-A13B-0049A41F1B5A}">
      <formula1>250</formula1>
    </dataValidation>
    <dataValidation type="textLength" operator="lessThanOrEqual" allowBlank="1" showInputMessage="1" showErrorMessage="1" errorTitle="Max Length Exceed" error="Value cannot exceed 250 characters." sqref="T13:T200" xr:uid="{F28045B0-EDA6-4034-89ED-A41F7A02A809}">
      <formula1>250</formula1>
    </dataValidation>
    <dataValidation type="textLength" operator="lessThanOrEqual" allowBlank="1" showInputMessage="1" showErrorMessage="1" errorTitle="Max Length Exceed" error="Value cannot exceed 250 characters." sqref="U13:U200" xr:uid="{B63BF053-EB10-43B3-8D44-3776854EA5B1}">
      <formula1>250</formula1>
    </dataValidation>
    <dataValidation type="decimal" operator="lessThanOrEqual" allowBlank="1" showInputMessage="1" showErrorMessage="1" errorTitle="Maximum Exceeded" error="Value cannot exceed 999,999,999,999.99" sqref="V13:V200" xr:uid="{A9376A68-0A35-413B-AD9C-59F30E1DD27A}">
      <formula1>999999999999.99</formula1>
    </dataValidation>
    <dataValidation type="whole" operator="lessThanOrEqual" allowBlank="1" showInputMessage="1" showErrorMessage="1" errorTitle="Max Length Exceed" error="Value cannot exceed 10 digits." sqref="X13:X200" xr:uid="{5B3C9A05-3E83-4AD6-9F94-955459653D0D}">
      <formula1>9999999999</formula1>
    </dataValidation>
    <dataValidation type="whole" operator="lessThanOrEqual" allowBlank="1" showInputMessage="1" showErrorMessage="1" errorTitle="Max Length Exceed" error="Value cannot exceed 10 digits." sqref="Y13:Y200" xr:uid="{3655125F-C2EF-4B6A-81D6-6B8286550EE7}">
      <formula1>9999999999</formula1>
    </dataValidation>
    <dataValidation type="decimal" operator="lessThanOrEqual" allowBlank="1" showInputMessage="1" showErrorMessage="1" errorTitle="Maximum Exceeded" error="Value cannot exceed 999,999,999,999.99" sqref="AA13:AA200" xr:uid="{A5373D5B-6AC8-4459-8198-D192B40A87E9}">
      <formula1>999999999999.99</formula1>
    </dataValidation>
    <dataValidation type="textLength" operator="lessThanOrEqual" allowBlank="1" showInputMessage="1" showErrorMessage="1" errorTitle="Max Length Exceed" error="Value cannot exceed 255 characters." sqref="AC13:AC200" xr:uid="{E3A256DB-CD42-4D5E-9F63-273018DF2774}">
      <formula1>255</formula1>
    </dataValidation>
    <dataValidation type="textLength" operator="lessThanOrEqual" allowBlank="1" showInputMessage="1" showErrorMessage="1" errorTitle="Max Length Exceed" error="Value cannot exceed 1500 characters." sqref="AD13:AD200" xr:uid="{8DC5AAEF-87EB-45BB-9C69-170E75E3C87B}">
      <formula1>1500</formula1>
    </dataValidation>
    <dataValidation type="whole" operator="lessThanOrEqual" allowBlank="1" showInputMessage="1" showErrorMessage="1" errorTitle="Max Length Exceed" error="Value cannot exceed 10 digits." sqref="AS13:AS200" xr:uid="{5B272C7C-856C-40DD-B607-337CEF5BB2AC}">
      <formula1>9999999999</formula1>
    </dataValidation>
    <dataValidation type="whole" operator="lessThanOrEqual" allowBlank="1" showInputMessage="1" showErrorMessage="1" errorTitle="Max Length Exceed" error="Value cannot exceed 10 digits." sqref="AT13:AT200" xr:uid="{AA0007BF-44FF-4750-A647-0D5254557DAC}">
      <formula1>9999999999</formula1>
    </dataValidation>
    <dataValidation type="whole" operator="lessThanOrEqual" allowBlank="1" showInputMessage="1" showErrorMessage="1" errorTitle="Max Length Exceed" error="Value cannot exceed 10 digits." sqref="AU13:AU200" xr:uid="{DC5FB498-43F3-446A-BB47-E816E183A7CD}">
      <formula1>9999999999</formula1>
    </dataValidation>
    <dataValidation type="textLength" operator="lessThanOrEqual" allowBlank="1" showInputMessage="1" showErrorMessage="1" errorTitle="Max Length Exceed" error="Value cannot exceed 255 characters." sqref="AV13:AV200" xr:uid="{30910C8A-9F50-49E0-A569-124C8514F52A}">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19.7265625" style="137" customWidth="1"/>
    <col min="5" max="5" width="19.453125" style="137" customWidth="1"/>
    <col min="6" max="6" width="16.1796875" style="137" customWidth="1"/>
    <col min="7" max="7" width="15.26953125" style="137" customWidth="1"/>
    <col min="8" max="10" width="14.26953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69" width="8.7265625" style="137" customWidth="1"/>
    <col min="70" max="16384" width="8.7265625" style="137"/>
  </cols>
  <sheetData>
    <row r="1" spans="1:56" s="136" customFormat="1" ht="27" hidden="1" customHeight="1" x14ac:dyDescent="0.25">
      <c r="A1" s="62" t="s">
        <v>345</v>
      </c>
      <c r="B1" s="64" t="s">
        <v>455</v>
      </c>
      <c r="C1" s="67" t="s">
        <v>157</v>
      </c>
      <c r="D1" s="67" t="s">
        <v>157</v>
      </c>
      <c r="E1" s="67" t="s">
        <v>157</v>
      </c>
      <c r="F1" s="67" t="s">
        <v>157</v>
      </c>
      <c r="G1" s="67" t="s">
        <v>157</v>
      </c>
      <c r="H1" s="67" t="s">
        <v>157</v>
      </c>
      <c r="I1" s="67" t="s">
        <v>157</v>
      </c>
      <c r="J1" s="67" t="s">
        <v>157</v>
      </c>
      <c r="K1" s="67" t="s">
        <v>157</v>
      </c>
      <c r="L1" s="67" t="s">
        <v>157</v>
      </c>
      <c r="M1" s="67" t="s">
        <v>157</v>
      </c>
      <c r="N1" s="67" t="s">
        <v>157</v>
      </c>
      <c r="O1" s="67" t="s">
        <v>157</v>
      </c>
      <c r="P1" s="67" t="s">
        <v>157</v>
      </c>
      <c r="Q1" s="67" t="s">
        <v>157</v>
      </c>
      <c r="R1" s="67" t="s">
        <v>157</v>
      </c>
      <c r="S1" s="67" t="s">
        <v>157</v>
      </c>
      <c r="T1" s="67" t="s">
        <v>157</v>
      </c>
      <c r="U1" s="67" t="s">
        <v>157</v>
      </c>
      <c r="V1" s="99" t="s">
        <v>631</v>
      </c>
      <c r="W1" s="67" t="s">
        <v>402</v>
      </c>
      <c r="X1" s="67" t="s">
        <v>402</v>
      </c>
      <c r="Y1" s="67" t="s">
        <v>395</v>
      </c>
      <c r="Z1" s="67" t="s">
        <v>396</v>
      </c>
      <c r="AA1" s="67" t="s">
        <v>836</v>
      </c>
      <c r="AB1" s="67" t="s">
        <v>452</v>
      </c>
      <c r="AC1" s="106" t="s">
        <v>157</v>
      </c>
      <c r="AD1" s="106" t="s">
        <v>157</v>
      </c>
      <c r="AE1" s="106" t="s">
        <v>157</v>
      </c>
      <c r="AF1" s="106" t="s">
        <v>157</v>
      </c>
      <c r="AG1" s="106" t="s">
        <v>157</v>
      </c>
      <c r="AH1" s="106" t="s">
        <v>157</v>
      </c>
      <c r="AI1" s="106" t="s">
        <v>157</v>
      </c>
      <c r="AJ1" s="106" t="s">
        <v>157</v>
      </c>
      <c r="AK1" s="106" t="s">
        <v>157</v>
      </c>
      <c r="AL1" s="106" t="s">
        <v>157</v>
      </c>
      <c r="AM1" s="106" t="s">
        <v>157</v>
      </c>
      <c r="AN1" s="106" t="s">
        <v>157</v>
      </c>
      <c r="AO1" s="106" t="s">
        <v>157</v>
      </c>
      <c r="AP1" s="106" t="s">
        <v>157</v>
      </c>
      <c r="AQ1" s="106" t="s">
        <v>157</v>
      </c>
      <c r="AR1" s="106" t="s">
        <v>157</v>
      </c>
      <c r="AS1" s="106" t="s">
        <v>157</v>
      </c>
      <c r="AT1" s="106" t="s">
        <v>157</v>
      </c>
      <c r="AU1" s="106" t="s">
        <v>157</v>
      </c>
      <c r="AV1" s="253" t="s">
        <v>974</v>
      </c>
      <c r="AW1" s="253" t="s">
        <v>974</v>
      </c>
      <c r="AX1" s="253" t="s">
        <v>974</v>
      </c>
      <c r="AY1" s="106" t="s">
        <v>837</v>
      </c>
      <c r="AZ1" s="106" t="s">
        <v>837</v>
      </c>
      <c r="BA1" s="106" t="s">
        <v>802</v>
      </c>
      <c r="BB1" s="106" t="s">
        <v>771</v>
      </c>
      <c r="BC1" s="106" t="s">
        <v>771</v>
      </c>
      <c r="BD1" s="67" t="s">
        <v>832</v>
      </c>
    </row>
    <row r="2" spans="1:56" s="136" customFormat="1" ht="27" hidden="1" customHeight="1" x14ac:dyDescent="0.25">
      <c r="A2" s="62" t="s">
        <v>346</v>
      </c>
      <c r="B2" s="65"/>
      <c r="C2" s="67" t="s">
        <v>672</v>
      </c>
      <c r="D2" s="67" t="s">
        <v>672</v>
      </c>
      <c r="E2" s="67" t="s">
        <v>672</v>
      </c>
      <c r="F2" s="67" t="s">
        <v>672</v>
      </c>
      <c r="G2" s="67" t="s">
        <v>672</v>
      </c>
      <c r="H2" s="67" t="s">
        <v>672</v>
      </c>
      <c r="I2" s="67" t="s">
        <v>672</v>
      </c>
      <c r="J2" s="67" t="s">
        <v>672</v>
      </c>
      <c r="K2" s="67" t="s">
        <v>672</v>
      </c>
      <c r="L2" s="67" t="s">
        <v>672</v>
      </c>
      <c r="M2" s="67" t="s">
        <v>672</v>
      </c>
      <c r="N2" s="67" t="s">
        <v>672</v>
      </c>
      <c r="O2" s="67" t="s">
        <v>672</v>
      </c>
      <c r="P2" s="67" t="s">
        <v>672</v>
      </c>
      <c r="Q2" s="67" t="s">
        <v>672</v>
      </c>
      <c r="R2" s="67" t="s">
        <v>672</v>
      </c>
      <c r="S2" s="67" t="s">
        <v>672</v>
      </c>
      <c r="T2" s="67" t="s">
        <v>672</v>
      </c>
      <c r="U2" s="67" t="s">
        <v>672</v>
      </c>
      <c r="V2" s="74" t="s">
        <v>673</v>
      </c>
      <c r="W2" s="67" t="s">
        <v>759</v>
      </c>
      <c r="X2" s="67" t="s">
        <v>760</v>
      </c>
      <c r="Y2" s="106" t="s">
        <v>550</v>
      </c>
      <c r="Z2" s="106" t="s">
        <v>456</v>
      </c>
      <c r="AA2" s="106" t="s">
        <v>674</v>
      </c>
      <c r="AB2" s="106" t="s">
        <v>675</v>
      </c>
      <c r="AC2" s="67" t="s">
        <v>672</v>
      </c>
      <c r="AD2" s="67" t="s">
        <v>672</v>
      </c>
      <c r="AE2" s="67" t="s">
        <v>672</v>
      </c>
      <c r="AF2" s="67" t="s">
        <v>672</v>
      </c>
      <c r="AG2" s="67" t="s">
        <v>672</v>
      </c>
      <c r="AH2" s="67"/>
      <c r="AI2" s="67"/>
      <c r="AJ2" s="67"/>
      <c r="AK2" s="67"/>
      <c r="AL2" s="67"/>
      <c r="AM2" s="67"/>
      <c r="AN2" s="67"/>
      <c r="AO2" s="67"/>
      <c r="AP2" s="67"/>
      <c r="AQ2" s="67"/>
      <c r="AR2" s="67"/>
      <c r="AS2" s="67"/>
      <c r="AT2" s="67"/>
      <c r="AU2" s="67"/>
      <c r="AV2" s="67" t="s">
        <v>565</v>
      </c>
      <c r="AW2" s="67" t="s">
        <v>565</v>
      </c>
      <c r="AX2" s="67" t="s">
        <v>565</v>
      </c>
      <c r="AY2" s="67" t="s">
        <v>565</v>
      </c>
      <c r="AZ2" s="67" t="s">
        <v>565</v>
      </c>
      <c r="BA2" s="67" t="s">
        <v>674</v>
      </c>
      <c r="BB2" s="67" t="s">
        <v>775</v>
      </c>
      <c r="BC2" s="67" t="s">
        <v>775</v>
      </c>
      <c r="BD2" s="67" t="s">
        <v>565</v>
      </c>
    </row>
    <row r="3" spans="1:56" ht="27" hidden="1" customHeight="1" x14ac:dyDescent="0.25">
      <c r="A3" s="66"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105" t="s">
        <v>158</v>
      </c>
      <c r="W3" s="74" t="s">
        <v>761</v>
      </c>
      <c r="X3" s="74" t="s">
        <v>762</v>
      </c>
      <c r="Y3" s="106" t="s">
        <v>551</v>
      </c>
      <c r="Z3" s="106" t="s">
        <v>554</v>
      </c>
      <c r="AA3" s="68" t="s">
        <v>164</v>
      </c>
      <c r="AB3" s="106" t="s">
        <v>557</v>
      </c>
      <c r="AC3" s="68" t="s">
        <v>115</v>
      </c>
      <c r="AD3" s="105" t="s">
        <v>116</v>
      </c>
      <c r="AE3" s="105" t="s">
        <v>518</v>
      </c>
      <c r="AF3" s="105" t="s">
        <v>519</v>
      </c>
      <c r="AG3" s="105" t="s">
        <v>520</v>
      </c>
      <c r="AH3" s="74" t="s">
        <v>807</v>
      </c>
      <c r="AI3" s="74" t="s">
        <v>808</v>
      </c>
      <c r="AJ3" s="74" t="s">
        <v>809</v>
      </c>
      <c r="AK3" s="74" t="s">
        <v>810</v>
      </c>
      <c r="AL3" s="74" t="s">
        <v>811</v>
      </c>
      <c r="AM3" s="74" t="s">
        <v>812</v>
      </c>
      <c r="AN3" s="74" t="s">
        <v>813</v>
      </c>
      <c r="AO3" s="74" t="s">
        <v>814</v>
      </c>
      <c r="AP3" s="74" t="s">
        <v>815</v>
      </c>
      <c r="AQ3" s="74" t="s">
        <v>816</v>
      </c>
      <c r="AR3" s="74" t="s">
        <v>817</v>
      </c>
      <c r="AS3" s="74" t="s">
        <v>818</v>
      </c>
      <c r="AT3" s="74" t="s">
        <v>819</v>
      </c>
      <c r="AU3" s="74" t="s">
        <v>820</v>
      </c>
      <c r="AV3" s="67" t="s">
        <v>806</v>
      </c>
      <c r="AW3" s="74" t="s">
        <v>835</v>
      </c>
      <c r="AX3" s="74" t="s">
        <v>805</v>
      </c>
      <c r="AY3" s="74" t="s">
        <v>821</v>
      </c>
      <c r="AZ3" s="74" t="s">
        <v>822</v>
      </c>
      <c r="BA3" s="74" t="s">
        <v>838</v>
      </c>
      <c r="BB3" s="74" t="s">
        <v>803</v>
      </c>
      <c r="BC3" s="74" t="s">
        <v>804</v>
      </c>
      <c r="BD3" s="74" t="s">
        <v>827</v>
      </c>
    </row>
    <row r="4" spans="1:56" ht="27" hidden="1" customHeight="1" x14ac:dyDescent="0.25">
      <c r="A4" s="66"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105" t="s">
        <v>468</v>
      </c>
      <c r="AA4" s="105" t="s">
        <v>468</v>
      </c>
      <c r="AB4" s="105" t="s">
        <v>468</v>
      </c>
      <c r="AC4" s="68" t="s">
        <v>120</v>
      </c>
      <c r="AD4" s="105" t="s">
        <v>468</v>
      </c>
      <c r="AE4" s="105" t="s">
        <v>468</v>
      </c>
      <c r="AF4" s="105" t="s">
        <v>468</v>
      </c>
      <c r="AG4" s="105" t="s">
        <v>468</v>
      </c>
      <c r="AH4" s="96" t="s">
        <v>705</v>
      </c>
      <c r="AI4" s="109" t="s">
        <v>254</v>
      </c>
      <c r="AJ4" s="109" t="s">
        <v>254</v>
      </c>
      <c r="AK4" s="109" t="s">
        <v>254</v>
      </c>
      <c r="AL4" s="109" t="s">
        <v>254</v>
      </c>
      <c r="AM4" s="96" t="s">
        <v>705</v>
      </c>
      <c r="AN4" s="109" t="s">
        <v>258</v>
      </c>
      <c r="AO4" s="109" t="s">
        <v>258</v>
      </c>
      <c r="AP4" s="109" t="s">
        <v>258</v>
      </c>
      <c r="AQ4" s="109" t="s">
        <v>258</v>
      </c>
      <c r="AR4" s="109" t="s">
        <v>258</v>
      </c>
      <c r="AS4" s="96" t="s">
        <v>705</v>
      </c>
      <c r="AT4" s="96" t="s">
        <v>705</v>
      </c>
      <c r="AU4" s="96" t="s">
        <v>705</v>
      </c>
      <c r="AV4" s="105" t="s">
        <v>468</v>
      </c>
      <c r="AW4" s="105" t="s">
        <v>468</v>
      </c>
      <c r="AX4" s="105" t="s">
        <v>468</v>
      </c>
      <c r="AY4" s="105" t="s">
        <v>468</v>
      </c>
      <c r="AZ4" s="105" t="s">
        <v>468</v>
      </c>
      <c r="BA4" s="105" t="s">
        <v>468</v>
      </c>
      <c r="BB4" s="105" t="s">
        <v>468</v>
      </c>
      <c r="BC4" s="105" t="s">
        <v>468</v>
      </c>
      <c r="BD4" s="105" t="s">
        <v>468</v>
      </c>
    </row>
    <row r="5" spans="1:56" ht="27" hidden="1" customHeight="1" x14ac:dyDescent="0.2">
      <c r="A5" s="62" t="s">
        <v>347</v>
      </c>
      <c r="B5" s="110"/>
      <c r="C5" s="106" t="s">
        <v>630</v>
      </c>
      <c r="D5" s="68" t="s">
        <v>143</v>
      </c>
      <c r="E5" s="68"/>
      <c r="F5" s="68" t="s">
        <v>146</v>
      </c>
      <c r="G5" s="106" t="s">
        <v>147</v>
      </c>
      <c r="H5" s="106" t="s">
        <v>148</v>
      </c>
      <c r="I5" s="106" t="s">
        <v>466</v>
      </c>
      <c r="J5" s="106" t="s">
        <v>467</v>
      </c>
      <c r="K5" s="68" t="s">
        <v>132</v>
      </c>
      <c r="L5" s="106" t="s">
        <v>151</v>
      </c>
      <c r="M5" s="106" t="s">
        <v>152</v>
      </c>
      <c r="N5" s="106" t="s">
        <v>480</v>
      </c>
      <c r="O5" s="106" t="s">
        <v>481</v>
      </c>
      <c r="P5" s="106" t="s">
        <v>480</v>
      </c>
      <c r="Q5" s="106" t="s">
        <v>481</v>
      </c>
      <c r="R5" s="106" t="s">
        <v>480</v>
      </c>
      <c r="S5" s="106" t="s">
        <v>481</v>
      </c>
      <c r="T5" s="106" t="s">
        <v>516</v>
      </c>
      <c r="U5" s="106" t="s">
        <v>517</v>
      </c>
      <c r="V5" s="106" t="s">
        <v>159</v>
      </c>
      <c r="W5" s="67" t="s">
        <v>763</v>
      </c>
      <c r="X5" s="67" t="s">
        <v>764</v>
      </c>
      <c r="Y5" s="106" t="s">
        <v>553</v>
      </c>
      <c r="Z5" s="106" t="s">
        <v>556</v>
      </c>
      <c r="AA5" s="106" t="s">
        <v>165</v>
      </c>
      <c r="AB5" s="106" t="s">
        <v>559</v>
      </c>
      <c r="AC5" s="68" t="s">
        <v>469</v>
      </c>
      <c r="AD5" s="106" t="s">
        <v>150</v>
      </c>
      <c r="AE5" s="67" t="s">
        <v>524</v>
      </c>
      <c r="AF5" s="67" t="s">
        <v>525</v>
      </c>
      <c r="AG5" s="67" t="s">
        <v>654</v>
      </c>
      <c r="AH5" s="74"/>
      <c r="AI5" s="105" t="s">
        <v>256</v>
      </c>
      <c r="AJ5" s="105" t="s">
        <v>257</v>
      </c>
      <c r="AK5" s="105" t="s">
        <v>255</v>
      </c>
      <c r="AL5" s="105" t="s">
        <v>103</v>
      </c>
      <c r="AM5" s="74"/>
      <c r="AN5" s="105" t="s">
        <v>259</v>
      </c>
      <c r="AO5" s="67" t="s">
        <v>260</v>
      </c>
      <c r="AP5" s="67" t="s">
        <v>261</v>
      </c>
      <c r="AQ5" s="67" t="s">
        <v>104</v>
      </c>
      <c r="AR5" s="67" t="s">
        <v>105</v>
      </c>
      <c r="AS5" s="67"/>
      <c r="AT5" s="67"/>
      <c r="AU5" s="67"/>
      <c r="AV5" s="67" t="s">
        <v>766</v>
      </c>
      <c r="AW5" s="67" t="s">
        <v>767</v>
      </c>
      <c r="AX5" s="67" t="s">
        <v>768</v>
      </c>
      <c r="AY5" s="67" t="s">
        <v>769</v>
      </c>
      <c r="AZ5" s="67" t="s">
        <v>770</v>
      </c>
      <c r="BA5" s="67" t="s">
        <v>772</v>
      </c>
      <c r="BB5" s="67" t="s">
        <v>773</v>
      </c>
      <c r="BC5" s="67" t="s">
        <v>774</v>
      </c>
      <c r="BD5" s="67" t="s">
        <v>828</v>
      </c>
    </row>
    <row r="6" spans="1:56"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67" t="s">
        <v>106</v>
      </c>
      <c r="W6" s="74" t="s">
        <v>106</v>
      </c>
      <c r="X6" s="74" t="s">
        <v>765</v>
      </c>
      <c r="Y6" s="106" t="s">
        <v>106</v>
      </c>
      <c r="Z6" s="106" t="s">
        <v>106</v>
      </c>
      <c r="AA6" s="106" t="s">
        <v>106</v>
      </c>
      <c r="AB6" s="106" t="s">
        <v>106</v>
      </c>
      <c r="AC6" s="106" t="s">
        <v>149</v>
      </c>
      <c r="AD6" s="67" t="s">
        <v>106</v>
      </c>
      <c r="AE6" s="106" t="s">
        <v>549</v>
      </c>
      <c r="AF6" s="67" t="s">
        <v>106</v>
      </c>
      <c r="AG6" s="67" t="s">
        <v>106</v>
      </c>
      <c r="AH6" s="67" t="s">
        <v>149</v>
      </c>
      <c r="AI6" s="74" t="s">
        <v>154</v>
      </c>
      <c r="AJ6" s="74" t="s">
        <v>154</v>
      </c>
      <c r="AK6" s="74" t="s">
        <v>154</v>
      </c>
      <c r="AL6" s="74" t="s">
        <v>154</v>
      </c>
      <c r="AM6" s="67" t="s">
        <v>149</v>
      </c>
      <c r="AN6" s="74" t="s">
        <v>154</v>
      </c>
      <c r="AO6" s="74" t="s">
        <v>154</v>
      </c>
      <c r="AP6" s="74" t="s">
        <v>154</v>
      </c>
      <c r="AQ6" s="74" t="s">
        <v>154</v>
      </c>
      <c r="AR6" s="74" t="s">
        <v>154</v>
      </c>
      <c r="AS6" s="67" t="s">
        <v>149</v>
      </c>
      <c r="AT6" s="67" t="s">
        <v>149</v>
      </c>
      <c r="AU6" s="74" t="s">
        <v>154</v>
      </c>
      <c r="AV6" s="74" t="s">
        <v>106</v>
      </c>
      <c r="AW6" s="74" t="s">
        <v>106</v>
      </c>
      <c r="AX6" s="74" t="s">
        <v>106</v>
      </c>
      <c r="AY6" s="74" t="s">
        <v>106</v>
      </c>
      <c r="AZ6" s="74" t="s">
        <v>106</v>
      </c>
      <c r="BA6" s="74" t="s">
        <v>106</v>
      </c>
      <c r="BB6" s="74" t="s">
        <v>106</v>
      </c>
      <c r="BC6" s="74" t="s">
        <v>106</v>
      </c>
      <c r="BD6" s="74" t="s">
        <v>106</v>
      </c>
    </row>
    <row r="7" spans="1:56"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67" t="s">
        <v>156</v>
      </c>
      <c r="W7" s="74" t="s">
        <v>144</v>
      </c>
      <c r="X7" s="74" t="s">
        <v>142</v>
      </c>
      <c r="Y7" s="106" t="s">
        <v>156</v>
      </c>
      <c r="Z7" s="106" t="s">
        <v>140</v>
      </c>
      <c r="AA7" s="106" t="s">
        <v>140</v>
      </c>
      <c r="AB7" s="106" t="s">
        <v>140</v>
      </c>
      <c r="AC7" s="106" t="s">
        <v>142</v>
      </c>
      <c r="AD7" s="67" t="s">
        <v>144</v>
      </c>
      <c r="AE7" s="106" t="s">
        <v>142</v>
      </c>
      <c r="AF7" s="67" t="s">
        <v>140</v>
      </c>
      <c r="AG7" s="67" t="s">
        <v>140</v>
      </c>
      <c r="AH7" s="67" t="s">
        <v>142</v>
      </c>
      <c r="AI7" s="74" t="s">
        <v>154</v>
      </c>
      <c r="AJ7" s="74" t="s">
        <v>154</v>
      </c>
      <c r="AK7" s="74" t="s">
        <v>154</v>
      </c>
      <c r="AL7" s="74" t="s">
        <v>154</v>
      </c>
      <c r="AM7" s="67" t="s">
        <v>142</v>
      </c>
      <c r="AN7" s="74" t="s">
        <v>154</v>
      </c>
      <c r="AO7" s="74" t="s">
        <v>154</v>
      </c>
      <c r="AP7" s="74" t="s">
        <v>154</v>
      </c>
      <c r="AQ7" s="74" t="s">
        <v>154</v>
      </c>
      <c r="AR7" s="74" t="s">
        <v>154</v>
      </c>
      <c r="AS7" s="67" t="s">
        <v>142</v>
      </c>
      <c r="AT7" s="67" t="s">
        <v>142</v>
      </c>
      <c r="AU7" s="74" t="s">
        <v>154</v>
      </c>
      <c r="AV7" s="74" t="s">
        <v>156</v>
      </c>
      <c r="AW7" s="74" t="s">
        <v>156</v>
      </c>
      <c r="AX7" s="74" t="s">
        <v>156</v>
      </c>
      <c r="AY7" s="74" t="s">
        <v>156</v>
      </c>
      <c r="AZ7" s="74" t="s">
        <v>156</v>
      </c>
      <c r="BA7" s="74" t="s">
        <v>156</v>
      </c>
      <c r="BB7" s="74" t="s">
        <v>156</v>
      </c>
      <c r="BC7" s="74" t="s">
        <v>156</v>
      </c>
      <c r="BD7" s="74" t="s">
        <v>140</v>
      </c>
    </row>
    <row r="8" spans="1:56" ht="27" hidden="1" customHeight="1" x14ac:dyDescent="0.2">
      <c r="A8" s="62" t="s">
        <v>139</v>
      </c>
      <c r="B8" s="64"/>
      <c r="C8" s="67">
        <v>150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106">
        <v>9999999999</v>
      </c>
      <c r="W8" s="74" t="s">
        <v>145</v>
      </c>
      <c r="X8" s="74" t="s">
        <v>106</v>
      </c>
      <c r="Y8" s="106">
        <v>9999999999</v>
      </c>
      <c r="Z8" s="106">
        <v>10</v>
      </c>
      <c r="AA8" s="106">
        <v>750</v>
      </c>
      <c r="AB8" s="106">
        <v>250</v>
      </c>
      <c r="AC8" s="106" t="s">
        <v>106</v>
      </c>
      <c r="AD8" s="67" t="s">
        <v>145</v>
      </c>
      <c r="AE8" s="106" t="s">
        <v>106</v>
      </c>
      <c r="AF8" s="67">
        <v>255</v>
      </c>
      <c r="AG8" s="67">
        <v>1500</v>
      </c>
      <c r="AH8" s="67" t="s">
        <v>106</v>
      </c>
      <c r="AI8" s="74" t="s">
        <v>154</v>
      </c>
      <c r="AJ8" s="74" t="s">
        <v>154</v>
      </c>
      <c r="AK8" s="74" t="s">
        <v>154</v>
      </c>
      <c r="AL8" s="74" t="s">
        <v>154</v>
      </c>
      <c r="AM8" s="67" t="s">
        <v>106</v>
      </c>
      <c r="AN8" s="74" t="s">
        <v>154</v>
      </c>
      <c r="AO8" s="74" t="s">
        <v>154</v>
      </c>
      <c r="AP8" s="74" t="s">
        <v>154</v>
      </c>
      <c r="AQ8" s="74" t="s">
        <v>154</v>
      </c>
      <c r="AR8" s="74" t="s">
        <v>154</v>
      </c>
      <c r="AS8" s="67" t="s">
        <v>106</v>
      </c>
      <c r="AT8" s="67" t="s">
        <v>106</v>
      </c>
      <c r="AU8" s="74" t="s">
        <v>154</v>
      </c>
      <c r="AV8" s="106">
        <v>9999999999</v>
      </c>
      <c r="AW8" s="106">
        <v>9999999999</v>
      </c>
      <c r="AX8" s="106">
        <v>9999999999</v>
      </c>
      <c r="AY8" s="106">
        <v>9999999999</v>
      </c>
      <c r="AZ8" s="106">
        <v>9999999999</v>
      </c>
      <c r="BA8" s="106">
        <v>9999999999</v>
      </c>
      <c r="BB8" s="106">
        <v>9999999999</v>
      </c>
      <c r="BC8" s="106">
        <v>9999999999</v>
      </c>
      <c r="BD8" s="74">
        <v>255</v>
      </c>
    </row>
    <row r="9" spans="1:56" ht="27" hidden="1" customHeight="1" x14ac:dyDescent="0.2">
      <c r="A9" s="62" t="s">
        <v>348</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660</v>
      </c>
      <c r="AE9" s="105" t="s">
        <v>660</v>
      </c>
      <c r="AF9" s="105" t="s">
        <v>661</v>
      </c>
      <c r="AG9" s="105" t="s">
        <v>662</v>
      </c>
      <c r="AH9" s="96" t="s">
        <v>656</v>
      </c>
      <c r="AI9" s="96" t="s">
        <v>663</v>
      </c>
      <c r="AJ9" s="96" t="s">
        <v>663</v>
      </c>
      <c r="AK9" s="96" t="s">
        <v>663</v>
      </c>
      <c r="AL9" s="96" t="s">
        <v>663</v>
      </c>
      <c r="AM9" s="96" t="s">
        <v>656</v>
      </c>
      <c r="AN9" s="96" t="s">
        <v>664</v>
      </c>
      <c r="AO9" s="96" t="s">
        <v>664</v>
      </c>
      <c r="AP9" s="96" t="s">
        <v>664</v>
      </c>
      <c r="AQ9" s="96" t="s">
        <v>664</v>
      </c>
      <c r="AR9" s="96" t="s">
        <v>664</v>
      </c>
      <c r="AS9" s="96" t="s">
        <v>656</v>
      </c>
      <c r="AT9" s="96" t="s">
        <v>656</v>
      </c>
      <c r="AU9" s="96" t="s">
        <v>665</v>
      </c>
      <c r="AV9" s="96"/>
      <c r="AW9" s="96"/>
      <c r="AX9" s="96"/>
      <c r="AY9" s="96"/>
      <c r="AZ9" s="96"/>
      <c r="BA9" s="96"/>
      <c r="BB9" s="96"/>
      <c r="BC9" s="96"/>
      <c r="BD9" s="96" t="s">
        <v>829</v>
      </c>
    </row>
    <row r="10" spans="1:56" ht="35.15" hidden="1" customHeight="1" x14ac:dyDescent="0.25">
      <c r="A10" s="38" t="s">
        <v>704</v>
      </c>
      <c r="B10" s="46"/>
      <c r="C10" s="39" t="s">
        <v>707</v>
      </c>
      <c r="D10" s="39" t="s">
        <v>708</v>
      </c>
      <c r="E10" s="39" t="s">
        <v>709</v>
      </c>
      <c r="F10" s="39" t="s">
        <v>710</v>
      </c>
      <c r="G10" s="39" t="s">
        <v>711</v>
      </c>
      <c r="H10" s="40" t="s">
        <v>785</v>
      </c>
      <c r="I10" s="40" t="s">
        <v>757</v>
      </c>
      <c r="J10" s="40" t="s">
        <v>783</v>
      </c>
      <c r="K10" s="39" t="s">
        <v>712</v>
      </c>
      <c r="L10" s="39" t="s">
        <v>713</v>
      </c>
      <c r="M10" s="39" t="s">
        <v>714</v>
      </c>
      <c r="N10" s="40"/>
      <c r="O10" s="40"/>
      <c r="P10" s="40"/>
      <c r="Q10" s="40"/>
      <c r="R10" s="40"/>
      <c r="S10" s="40"/>
      <c r="T10" s="40"/>
      <c r="U10" s="40"/>
      <c r="V10" s="51"/>
      <c r="W10" s="40"/>
      <c r="X10" s="40"/>
      <c r="Y10" s="40"/>
      <c r="Z10" s="40"/>
      <c r="AA10" s="49"/>
      <c r="AB10" s="52"/>
      <c r="AC10" s="41"/>
      <c r="AD10" s="39"/>
      <c r="AE10" s="39"/>
      <c r="AF10" s="39"/>
      <c r="AG10" s="39"/>
      <c r="AH10" s="42" t="s">
        <v>954</v>
      </c>
      <c r="AI10" s="42"/>
      <c r="AJ10" s="42"/>
      <c r="AK10" s="42"/>
      <c r="AL10" s="42"/>
      <c r="AM10" s="42"/>
      <c r="AN10" s="42"/>
      <c r="AO10" s="42"/>
      <c r="AP10" s="42"/>
      <c r="AQ10" s="42"/>
      <c r="AR10" s="42"/>
      <c r="AS10" s="42"/>
      <c r="AT10" s="42"/>
      <c r="AU10" s="42"/>
      <c r="AV10" s="42"/>
      <c r="AW10" s="42"/>
      <c r="AX10" s="42"/>
      <c r="AY10" s="42"/>
      <c r="AZ10" s="42"/>
      <c r="BA10" s="42"/>
      <c r="BB10" s="42"/>
      <c r="BC10" s="42"/>
      <c r="BD10" s="42"/>
    </row>
    <row r="11" spans="1:56"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row>
    <row r="12" spans="1:56" s="113" customFormat="1" ht="130"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627</v>
      </c>
      <c r="O12" s="184" t="s">
        <v>476</v>
      </c>
      <c r="P12" s="259" t="s">
        <v>693</v>
      </c>
      <c r="Q12" s="184" t="s">
        <v>478</v>
      </c>
      <c r="R12" s="259" t="s">
        <v>694</v>
      </c>
      <c r="S12" s="184" t="s">
        <v>479</v>
      </c>
      <c r="T12" s="184" t="s">
        <v>397</v>
      </c>
      <c r="U12" s="184" t="s">
        <v>398</v>
      </c>
      <c r="V12" s="184" t="s">
        <v>393</v>
      </c>
      <c r="W12" s="184" t="s">
        <v>399</v>
      </c>
      <c r="X12" s="184" t="s">
        <v>400</v>
      </c>
      <c r="Y12" s="184" t="s">
        <v>403</v>
      </c>
      <c r="Z12" s="184" t="s">
        <v>453</v>
      </c>
      <c r="AA12" s="184" t="s">
        <v>695</v>
      </c>
      <c r="AB12" s="184" t="s">
        <v>558</v>
      </c>
      <c r="AC12" s="184" t="s">
        <v>126</v>
      </c>
      <c r="AD12" s="184" t="s">
        <v>127</v>
      </c>
      <c r="AE12" s="184" t="s">
        <v>521</v>
      </c>
      <c r="AF12" s="184" t="s">
        <v>522</v>
      </c>
      <c r="AG12" s="184" t="s">
        <v>523</v>
      </c>
      <c r="AH12" s="184" t="s">
        <v>331</v>
      </c>
      <c r="AI12" s="184" t="s">
        <v>333</v>
      </c>
      <c r="AJ12" s="184" t="s">
        <v>332</v>
      </c>
      <c r="AK12" s="184" t="s">
        <v>336</v>
      </c>
      <c r="AL12" s="184" t="s">
        <v>334</v>
      </c>
      <c r="AM12" s="184" t="s">
        <v>335</v>
      </c>
      <c r="AN12" s="184" t="s">
        <v>337</v>
      </c>
      <c r="AO12" s="184" t="s">
        <v>338</v>
      </c>
      <c r="AP12" s="184" t="s">
        <v>339</v>
      </c>
      <c r="AQ12" s="184" t="s">
        <v>340</v>
      </c>
      <c r="AR12" s="184" t="s">
        <v>341</v>
      </c>
      <c r="AS12" s="184" t="s">
        <v>342</v>
      </c>
      <c r="AT12" s="184" t="s">
        <v>344</v>
      </c>
      <c r="AU12" s="184" t="s">
        <v>343</v>
      </c>
      <c r="AV12" s="184" t="s">
        <v>766</v>
      </c>
      <c r="AW12" s="184" t="s">
        <v>767</v>
      </c>
      <c r="AX12" s="184" t="s">
        <v>768</v>
      </c>
      <c r="AY12" s="184" t="s">
        <v>769</v>
      </c>
      <c r="AZ12" s="184" t="s">
        <v>770</v>
      </c>
      <c r="BA12" s="184" t="s">
        <v>772</v>
      </c>
      <c r="BB12" s="184" t="s">
        <v>773</v>
      </c>
      <c r="BC12" s="184" t="s">
        <v>774</v>
      </c>
      <c r="BD12" s="184" t="s">
        <v>828</v>
      </c>
    </row>
    <row r="13" spans="1:56" s="138" customFormat="1" ht="12.75" customHeight="1" x14ac:dyDescent="0.25">
      <c r="A13" s="190" t="s">
        <v>136</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row>
    <row r="14" spans="1:56"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row>
    <row r="15" spans="1:56"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row>
    <row r="16" spans="1:56"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row>
    <row r="17" spans="1:56"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row>
    <row r="18" spans="1:56"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row>
    <row r="19" spans="1:56"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row>
    <row r="20" spans="1:56"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row>
    <row r="21" spans="1:56"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row>
    <row r="22" spans="1:56"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row>
    <row r="23" spans="1:56"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row>
    <row r="24" spans="1:56"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row>
    <row r="25" spans="1:56"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row>
    <row r="26" spans="1:56"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row>
    <row r="27" spans="1:56"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row>
    <row r="28" spans="1:56"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row>
    <row r="29" spans="1:56"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row>
    <row r="30" spans="1:56"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row>
    <row r="31" spans="1:56"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row>
    <row r="32" spans="1:56"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row>
    <row r="33" spans="1:56"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row>
    <row r="34" spans="1:56"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row>
    <row r="35" spans="1:56"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row>
    <row r="36" spans="1:56"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row>
    <row r="37" spans="1:56"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row>
    <row r="38" spans="1:56"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row>
    <row r="39" spans="1:56"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row>
    <row r="40" spans="1:56"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row>
    <row r="41" spans="1:56"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row>
    <row r="42" spans="1:56"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row>
    <row r="43" spans="1:56"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row>
    <row r="44" spans="1:56"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row>
    <row r="45" spans="1:56"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row>
    <row r="46" spans="1:56"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row>
    <row r="47" spans="1:56"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row>
    <row r="48" spans="1:56"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row>
    <row r="49" spans="1:56"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row>
    <row r="50" spans="1:56"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row>
    <row r="51" spans="1:56"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row>
    <row r="52" spans="1:56"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row>
    <row r="53" spans="1:56"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row>
    <row r="54" spans="1:56"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row>
    <row r="55" spans="1:56"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row>
    <row r="56" spans="1:56"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row>
    <row r="57" spans="1:56"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row>
    <row r="58" spans="1:56"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row>
    <row r="59" spans="1:56"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row>
    <row r="60" spans="1:56"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row>
    <row r="61" spans="1:56"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row>
    <row r="62" spans="1:56"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row>
    <row r="63" spans="1:56"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row>
    <row r="64" spans="1:56"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row>
    <row r="65" spans="1:56"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row>
    <row r="66" spans="1:56"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row>
    <row r="67" spans="1:56"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row>
    <row r="68" spans="1:56"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row>
    <row r="69" spans="1:56"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row>
    <row r="70" spans="1:56"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row>
    <row r="71" spans="1:56"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row>
    <row r="72" spans="1:56"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row>
    <row r="73" spans="1:56"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row>
    <row r="74" spans="1:56"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row>
    <row r="75" spans="1:56"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row>
    <row r="76" spans="1:56"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row>
    <row r="77" spans="1:56"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row>
    <row r="78" spans="1:56"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row>
    <row r="79" spans="1:56"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row>
    <row r="80" spans="1:56"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row>
    <row r="81" spans="1:56"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row>
    <row r="82" spans="1:56"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row>
    <row r="83" spans="1:56"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row>
    <row r="84" spans="1:56"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row>
    <row r="85" spans="1:56"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row>
    <row r="86" spans="1:56"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row>
    <row r="87" spans="1:56"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row>
    <row r="88" spans="1:56"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row>
    <row r="89" spans="1:56"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row>
    <row r="90" spans="1:56"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row>
    <row r="91" spans="1:56"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row>
    <row r="92" spans="1:56"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row>
    <row r="93" spans="1:56"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row>
    <row r="94" spans="1:56"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row>
    <row r="95" spans="1:56"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row>
    <row r="96" spans="1:56"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row>
    <row r="97" spans="1:56"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row>
    <row r="98" spans="1:56"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row>
    <row r="99" spans="1:56"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row>
    <row r="100" spans="1:56"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row>
    <row r="101" spans="1:56"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row>
    <row r="102" spans="1:56"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row>
    <row r="103" spans="1:56"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row>
    <row r="104" spans="1:56"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row>
    <row r="105" spans="1:56"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row>
    <row r="106" spans="1:56"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row>
    <row r="107" spans="1:56"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row>
    <row r="108" spans="1:56"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row>
    <row r="109" spans="1:56"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row>
    <row r="110" spans="1:56"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row>
    <row r="111" spans="1:56"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row>
    <row r="112" spans="1:56"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row>
    <row r="113" spans="1:56"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row>
    <row r="114" spans="1:56"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row>
    <row r="115" spans="1:56"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row>
    <row r="116" spans="1:56"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row>
    <row r="117" spans="1:56"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row>
    <row r="118" spans="1:56"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row>
    <row r="119" spans="1:56"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row>
    <row r="120" spans="1:56"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row>
    <row r="121" spans="1:56"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row>
    <row r="122" spans="1:56"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row>
    <row r="123" spans="1:56"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row>
    <row r="124" spans="1:56"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row>
    <row r="125" spans="1:56"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row>
    <row r="126" spans="1:56"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row>
    <row r="127" spans="1:56"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row>
    <row r="128" spans="1:56"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row>
    <row r="129" spans="1:56"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row>
    <row r="130" spans="1:56"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row>
    <row r="131" spans="1:56"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row>
    <row r="132" spans="1:56"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row>
    <row r="133" spans="1:56"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row>
    <row r="134" spans="1:56"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row>
    <row r="135" spans="1:56"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row>
    <row r="136" spans="1:56"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row>
    <row r="137" spans="1:56"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row>
    <row r="138" spans="1:56"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row>
    <row r="139" spans="1:56"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row>
    <row r="140" spans="1:56"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row>
    <row r="141" spans="1:56"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row>
    <row r="142" spans="1:56"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row>
    <row r="143" spans="1:56"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row>
    <row r="144" spans="1:56"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row>
    <row r="145" spans="1:56"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row>
    <row r="146" spans="1:56"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row>
    <row r="147" spans="1:56"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row>
    <row r="148" spans="1:56"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row>
    <row r="149" spans="1:56"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row>
    <row r="150" spans="1:56"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row>
    <row r="151" spans="1:56"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row>
    <row r="152" spans="1:56"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row>
    <row r="153" spans="1:56"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row>
    <row r="154" spans="1:56"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row>
    <row r="155" spans="1:56"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row>
    <row r="156" spans="1:56"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row>
    <row r="157" spans="1:56"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row>
    <row r="158" spans="1:56"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row>
    <row r="159" spans="1:56"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row>
    <row r="160" spans="1:56"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row>
    <row r="161" spans="1:56"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row>
    <row r="162" spans="1:56"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row>
    <row r="163" spans="1:56"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row>
    <row r="164" spans="1:56"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row>
    <row r="165" spans="1:56"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row>
    <row r="166" spans="1:56"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row>
    <row r="167" spans="1:56"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row>
    <row r="168" spans="1:56"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row>
    <row r="169" spans="1:56"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row>
    <row r="170" spans="1:56"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row>
    <row r="171" spans="1:56"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row>
    <row r="172" spans="1:56"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row>
    <row r="173" spans="1:56"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row>
    <row r="174" spans="1:56"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row>
    <row r="175" spans="1:56"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row>
    <row r="176" spans="1:56"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row>
    <row r="177" spans="1:56"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row>
    <row r="178" spans="1:56"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row>
    <row r="179" spans="1:56"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row>
    <row r="180" spans="1:56"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row>
    <row r="181" spans="1:56"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row>
    <row r="182" spans="1:56"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row>
    <row r="183" spans="1:56"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row>
    <row r="184" spans="1:56"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row>
    <row r="185" spans="1:56"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row>
    <row r="186" spans="1:56"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row>
    <row r="187" spans="1:56"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row>
    <row r="188" spans="1:56"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row>
    <row r="189" spans="1:56"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row>
    <row r="190" spans="1:56"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row>
    <row r="191" spans="1:56"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row>
    <row r="192" spans="1:56"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row>
    <row r="193" spans="1:56"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row>
    <row r="194" spans="1:56"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row>
    <row r="195" spans="1:56"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row>
    <row r="196" spans="1:56"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row>
    <row r="197" spans="1:56"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row>
    <row r="198" spans="1:56"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row>
    <row r="199" spans="1:56"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row>
    <row r="200" spans="1:56"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row>
    <row r="201" spans="1:56"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Nft39a9CyQXvKrQA9S2valzegyHm1x1xCBIIbHYhvLD+Q0/GFwMjPAcu/j3kzW3LHvnkgmJ8+6VOH/IZd5/u4A==" saltValue="0BK8w9SFsbMUnr7Cp1Eocw==" spinCount="100000" sheet="1" objects="1" scenarios="1" formatCells="0" formatRows="0"/>
  <phoneticPr fontId="10" type="noConversion"/>
  <conditionalFormatting sqref="AU13:AU200">
    <cfRule type="expression" priority="7">
      <formula>AND($AD13&gt;=10000000,$AT13="Yes")</formula>
    </cfRule>
    <cfRule type="expression" dxfId="82" priority="8">
      <formula>OR($AD13&lt;10000000,$AT13="No")</formula>
    </cfRule>
  </conditionalFormatting>
  <conditionalFormatting sqref="AS13:AT200">
    <cfRule type="expression" priority="9">
      <formula>$AD13&gt;=10000000</formula>
    </cfRule>
    <cfRule type="expression" dxfId="81" priority="10">
      <formula>$AD13&lt;10000000</formula>
    </cfRule>
  </conditionalFormatting>
  <conditionalFormatting sqref="AN13:AR200">
    <cfRule type="expression" priority="11">
      <formula>AND($AM13="No",$AD13&gt;=10000000)</formula>
    </cfRule>
    <cfRule type="expression" dxfId="80" priority="12">
      <formula>OR($AM13="Yes",$AD13&lt;10000000)</formula>
    </cfRule>
  </conditionalFormatting>
  <conditionalFormatting sqref="AH13:AH200">
    <cfRule type="expression" priority="15">
      <formula>$AD13&gt;=10000000</formula>
    </cfRule>
    <cfRule type="expression" dxfId="79" priority="16">
      <formula>$AD13&lt;10000000</formula>
    </cfRule>
  </conditionalFormatting>
  <conditionalFormatting sqref="AG13:AG200">
    <cfRule type="expression" priority="17" stopIfTrue="1">
      <formula>AND($AD13&gt;=1000000,LEFT($AE13,5)="Other")</formula>
    </cfRule>
    <cfRule type="expression" dxfId="78" priority="18">
      <formula>$AD13&lt;10000000</formula>
    </cfRule>
    <cfRule type="expression" priority="19">
      <formula>$AD13&gt;=10000000</formula>
    </cfRule>
  </conditionalFormatting>
  <conditionalFormatting sqref="AF13:AF200">
    <cfRule type="expression" priority="20">
      <formula>LEFT($AE13,5)="Other"</formula>
    </cfRule>
    <cfRule type="expression" dxfId="77" priority="21">
      <formula>LEFT($AE13,5)&lt;&gt;"Other"</formula>
    </cfRule>
  </conditionalFormatting>
  <conditionalFormatting sqref="AD13:AE200">
    <cfRule type="expression" dxfId="76" priority="22">
      <formula>$AC13&lt;&gt;"Yes"</formula>
    </cfRule>
    <cfRule type="expression" priority="23">
      <formula>$AC13="Yes"</formula>
    </cfRule>
  </conditionalFormatting>
  <conditionalFormatting sqref="S13:S200">
    <cfRule type="expression" dxfId="75" priority="24">
      <formula>RIGHT($R13,7)="specify"</formula>
    </cfRule>
    <cfRule type="expression" dxfId="74" priority="25">
      <formula>RIGHT($R13,7)&lt;&gt;"specify"</formula>
    </cfRule>
  </conditionalFormatting>
  <conditionalFormatting sqref="Q13:Q200">
    <cfRule type="expression" dxfId="73" priority="26">
      <formula>RIGHT($P13,7)="specify"</formula>
    </cfRule>
    <cfRule type="expression" dxfId="72" priority="27">
      <formula>RIGHT($P13,7)&lt;&gt;"specify"</formula>
    </cfRule>
  </conditionalFormatting>
  <conditionalFormatting sqref="O13:O200">
    <cfRule type="expression" dxfId="71" priority="28">
      <formula>RIGHT($N13,7)="specify"</formula>
    </cfRule>
    <cfRule type="expression" dxfId="70" priority="29">
      <formula>RIGHT($N13,7)&lt;&gt;"specify"</formula>
    </cfRule>
  </conditionalFormatting>
  <conditionalFormatting sqref="BD13:BD200">
    <cfRule type="expression" priority="5">
      <formula>$E13="Cancelled"</formula>
    </cfRule>
    <cfRule type="expression" dxfId="69" priority="6">
      <formula>$E13&lt;&gt;"Cancelled"</formula>
    </cfRule>
  </conditionalFormatting>
  <conditionalFormatting sqref="AI13:AL200">
    <cfRule type="expression" priority="13">
      <formula>AND($AH13="No",$AD13&gt;=10000000)</formula>
    </cfRule>
    <cfRule type="expression" dxfId="68" priority="14">
      <formula>OR($AH13="Yes",$AD13&lt;10000000)</formula>
    </cfRule>
  </conditionalFormatting>
  <conditionalFormatting sqref="AM13:AM200">
    <cfRule type="expression" priority="3">
      <formula>$AD13&gt;=10000000</formula>
    </cfRule>
    <cfRule type="expression" dxfId="67" priority="4">
      <formula>$AD13&lt;10000000</formula>
    </cfRule>
  </conditionalFormatting>
  <conditionalFormatting sqref="N13:AB200 AV13:BC200">
    <cfRule type="expression" priority="1">
      <formula>$E13&lt;&gt;"Not Started"</formula>
    </cfRule>
    <cfRule type="expression" dxfId="6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L201 M201 J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U201 Q201 O201 S201 T201 AB201" xr:uid="{B2CD7328-86B7-4342-B1F7-C9FA0AF6B765}">
      <formula1>250</formula1>
    </dataValidation>
    <dataValidation type="textLength" operator="lessThanOrEqual" allowBlank="1" showInputMessage="1" showErrorMessage="1" errorTitle="Max Length Exceed" error="Value cannot exceed 10 characters." sqref="V201 Y201:Z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DF0D40E5-951E-4018-A71A-6520AE5976D2}">
      <formula1>150</formula1>
    </dataValidation>
    <dataValidation type="textLength" operator="lessThanOrEqual" allowBlank="1" showInputMessage="1" showErrorMessage="1" errorTitle="Max Length Exceed" error="Value cannot exceed 20 characters." sqref="D13:D200" xr:uid="{D81BF4B3-56CE-4E67-B96C-D48B0682770C}">
      <formula1>20</formula1>
    </dataValidation>
    <dataValidation type="decimal" operator="lessThanOrEqual" allowBlank="1" showInputMessage="1" showErrorMessage="1" errorTitle="Maximum Exceeded" error="Value cannot exceed 999,999,999,999.99" sqref="F13:F200" xr:uid="{43D36D63-5CA7-4C3B-A94D-82A24B5D790F}">
      <formula1>999999999999.99</formula1>
    </dataValidation>
    <dataValidation type="decimal" operator="lessThanOrEqual" allowBlank="1" showInputMessage="1" showErrorMessage="1" errorTitle="Maximum Exceeded" error="Value cannot exceed 999,999,999,999.99" sqref="G13:G200" xr:uid="{497F683B-6136-4FD3-A213-F425DB668CC2}">
      <formula1>999999999999.99</formula1>
    </dataValidation>
    <dataValidation type="decimal" operator="lessThanOrEqual" allowBlank="1" showInputMessage="1" showErrorMessage="1" errorTitle="Maximum Exceeded" error="Value cannot exceed 999,999,999,999.99" sqref="H13:H200" xr:uid="{0AF2FC9F-D72A-455F-B7F0-B95FAFCD79F4}">
      <formula1>999999999999.99</formula1>
    </dataValidation>
    <dataValidation type="decimal" operator="lessThanOrEqual" allowBlank="1" showInputMessage="1" showErrorMessage="1" errorTitle="Maximum Exceeded" error="Value cannot exceed 999,999,999,999.99" sqref="I13:I200" xr:uid="{79B11A63-C61E-49FD-9B9E-651DE4B5061F}">
      <formula1>999999999999.99</formula1>
    </dataValidation>
    <dataValidation type="decimal" operator="lessThanOrEqual" allowBlank="1" showInputMessage="1" showErrorMessage="1" errorTitle="Maximum Exceeded" error="Value cannot exceed 999,999,999,999.99" sqref="J13:J200" xr:uid="{D97243AA-B5F5-41C8-9E51-54677A467526}">
      <formula1>999999999999.99</formula1>
    </dataValidation>
    <dataValidation type="textLength" operator="lessThanOrEqual" allowBlank="1" showInputMessage="1" showErrorMessage="1" errorTitle="Max Length Exceed" error="Value cannot exceed 1500 characters." sqref="K13:K200" xr:uid="{B62FA335-A189-4075-A178-A3A1F374EE1E}">
      <formula1>1500</formula1>
    </dataValidation>
    <dataValidation type="decimal" operator="lessThanOrEqual" allowBlank="1" showInputMessage="1" showErrorMessage="1" errorTitle="Maximum Exceeded" error="Value cannot exceed 999,999,999,999.99" sqref="L13:L200" xr:uid="{D3F3110C-4799-40A6-966E-BED5F11A4CEC}">
      <formula1>999999999999.99</formula1>
    </dataValidation>
    <dataValidation type="decimal" operator="lessThanOrEqual" allowBlank="1" showInputMessage="1" showErrorMessage="1" errorTitle="Maximum Exceeded" error="Value cannot exceed 999,999,999,999.99" sqref="M13:M200" xr:uid="{454FCC25-20EC-4E6A-A806-CA494BADDA64}">
      <formula1>999999999999.99</formula1>
    </dataValidation>
    <dataValidation type="textLength" operator="lessThanOrEqual" allowBlank="1" showInputMessage="1" showErrorMessage="1" errorTitle="Max Length Exceed" error="Value cannot exceed 250 characters." sqref="O13:O200" xr:uid="{B20DE508-539F-439D-920D-6AC17CF015E0}">
      <formula1>250</formula1>
    </dataValidation>
    <dataValidation type="textLength" operator="lessThanOrEqual" allowBlank="1" showInputMessage="1" showErrorMessage="1" errorTitle="Max Length Exceed" error="Value cannot exceed 250 characters." sqref="Q13:Q200" xr:uid="{44A97CED-5A20-4F04-BFB2-D84DF3E69C38}">
      <formula1>250</formula1>
    </dataValidation>
    <dataValidation type="textLength" operator="lessThanOrEqual" allowBlank="1" showInputMessage="1" showErrorMessage="1" errorTitle="Max Length Exceed" error="Value cannot exceed 250 characters." sqref="S13:S200" xr:uid="{FBB45D3E-7804-4D04-93B7-CA73FB299D23}">
      <formula1>250</formula1>
    </dataValidation>
    <dataValidation type="textLength" operator="lessThanOrEqual" allowBlank="1" showInputMessage="1" showErrorMessage="1" errorTitle="Max Length Exceed" error="Value cannot exceed 250 characters." sqref="T13:T200" xr:uid="{1023E834-A8E6-4B96-BEE7-610975F05143}">
      <formula1>250</formula1>
    </dataValidation>
    <dataValidation type="textLength" operator="lessThanOrEqual" allowBlank="1" showInputMessage="1" showErrorMessage="1" errorTitle="Max Length Exceed" error="Value cannot exceed 250 characters." sqref="U13:U200" xr:uid="{B4081039-F163-461B-8688-9146DCA88B67}">
      <formula1>250</formula1>
    </dataValidation>
    <dataValidation type="whole" operator="lessThanOrEqual" allowBlank="1" showInputMessage="1" showErrorMessage="1" errorTitle="Max Length Exceed" error="Value cannot exceed 10 digits." sqref="V13:V200" xr:uid="{A09776FF-0C99-4ECB-AE22-BB6391CF2823}">
      <formula1>9999999999</formula1>
    </dataValidation>
    <dataValidation type="decimal" operator="lessThanOrEqual" allowBlank="1" showInputMessage="1" showErrorMessage="1" errorTitle="Maximum Exceeded" error="Value cannot exceed 999,999,999,999.99" sqref="W13:W200" xr:uid="{7E8DE3EB-388E-4C01-A1F8-19FDA07568C0}">
      <formula1>999999999999.99</formula1>
    </dataValidation>
    <dataValidation type="whole" operator="lessThanOrEqual" allowBlank="1" showInputMessage="1" showErrorMessage="1" errorTitle="Max Length Exceed" error="Value cannot exceed 10 digits." sqref="Y13:Y200" xr:uid="{49373DC6-0880-446C-AFC8-27FF64A37499}">
      <formula1>9999999999</formula1>
    </dataValidation>
    <dataValidation type="textLength" operator="lessThanOrEqual" allowBlank="1" showInputMessage="1" showErrorMessage="1" errorTitle="Max Length Exceed" error="Value cannot exceed 10 characters." sqref="Z13:Z200" xr:uid="{135161BB-1645-4C46-840D-14424F8C072F}">
      <formula1>10</formula1>
    </dataValidation>
    <dataValidation type="textLength" operator="lessThanOrEqual" allowBlank="1" showInputMessage="1" showErrorMessage="1" errorTitle="Max Length Exceed" error="Value cannot exceed 750 characters." sqref="AA13:AA200" xr:uid="{9C3E2FB5-BEE3-4FAD-A1E6-29146CED8021}">
      <formula1>750</formula1>
    </dataValidation>
    <dataValidation type="textLength" operator="lessThanOrEqual" allowBlank="1" showInputMessage="1" showErrorMessage="1" errorTitle="Max Length Exceed" error="Value cannot exceed 250 characters." sqref="AB13:AB200" xr:uid="{7C1C7A95-1B72-4DD5-874A-848DC2419852}">
      <formula1>250</formula1>
    </dataValidation>
    <dataValidation type="decimal" operator="lessThanOrEqual" allowBlank="1" showInputMessage="1" showErrorMessage="1" errorTitle="Maximum Exceeded" error="Value cannot exceed 999,999,999,999.99" sqref="AD13:AD200" xr:uid="{A86D3D54-CA1F-48E0-9368-E90FE54C91C0}">
      <formula1>999999999999.99</formula1>
    </dataValidation>
    <dataValidation type="textLength" operator="lessThanOrEqual" allowBlank="1" showInputMessage="1" showErrorMessage="1" errorTitle="Max Length Exceed" error="Value cannot exceed 255 characters." sqref="AF13:AF200" xr:uid="{D15314B1-8EEF-4589-A0F4-0DD9249783B4}">
      <formula1>255</formula1>
    </dataValidation>
    <dataValidation type="textLength" operator="lessThanOrEqual" allowBlank="1" showInputMessage="1" showErrorMessage="1" errorTitle="Max Length Exceed" error="Value cannot exceed 1500 characters." sqref="AG13:AG200" xr:uid="{B89709A1-08A2-4C79-AC76-FF1A68E9BE6A}">
      <formula1>1500</formula1>
    </dataValidation>
    <dataValidation type="whole" operator="lessThanOrEqual" allowBlank="1" showInputMessage="1" showErrorMessage="1" errorTitle="Max Length Exceed" error="Value cannot exceed 10 digits." sqref="AV13:AV200" xr:uid="{71D1030F-757F-4DF0-BE73-6D38DB424FE7}">
      <formula1>9999999999</formula1>
    </dataValidation>
    <dataValidation type="whole" operator="lessThanOrEqual" allowBlank="1" showInputMessage="1" showErrorMessage="1" errorTitle="Max Length Exceed" error="Value cannot exceed 10 digits." sqref="AW13:AW200" xr:uid="{05A4937F-8EC2-43C4-BE36-216D1B597659}">
      <formula1>9999999999</formula1>
    </dataValidation>
    <dataValidation type="whole" operator="lessThanOrEqual" allowBlank="1" showInputMessage="1" showErrorMessage="1" errorTitle="Max Length Exceed" error="Value cannot exceed 10 digits." sqref="AX13:AX200" xr:uid="{81385831-3904-4F29-9AC2-F13635A7823B}">
      <formula1>9999999999</formula1>
    </dataValidation>
    <dataValidation type="whole" operator="lessThanOrEqual" allowBlank="1" showInputMessage="1" showErrorMessage="1" errorTitle="Max Length Exceed" error="Value cannot exceed 10 digits." sqref="AY13:AY200" xr:uid="{850CE534-57D4-4CBB-B7B3-CFA45318CBAE}">
      <formula1>9999999999</formula1>
    </dataValidation>
    <dataValidation type="whole" operator="lessThanOrEqual" allowBlank="1" showInputMessage="1" showErrorMessage="1" errorTitle="Max Length Exceed" error="Value cannot exceed 10 digits." sqref="AZ13:AZ200" xr:uid="{C93B0C9D-93D1-4D7B-8183-C371F4E4F696}">
      <formula1>9999999999</formula1>
    </dataValidation>
    <dataValidation type="whole" operator="lessThanOrEqual" allowBlank="1" showInputMessage="1" showErrorMessage="1" errorTitle="Max Length Exceed" error="Value cannot exceed 10 digits." sqref="BA13:BA200" xr:uid="{6EC41ED9-D3CC-4B37-B763-B36EC139FF35}">
      <formula1>9999999999</formula1>
    </dataValidation>
    <dataValidation type="whole" operator="lessThanOrEqual" allowBlank="1" showInputMessage="1" showErrorMessage="1" errorTitle="Max Length Exceed" error="Value cannot exceed 10 digits." sqref="BB13:BB200" xr:uid="{91905965-4D82-412F-9408-9D8B19927DDB}">
      <formula1>9999999999</formula1>
    </dataValidation>
    <dataValidation type="whole" operator="lessThanOrEqual" allowBlank="1" showInputMessage="1" showErrorMessage="1" errorTitle="Max Length Exceed" error="Value cannot exceed 10 digits." sqref="BC13:BC200" xr:uid="{458757D3-C623-49E6-A0C9-CC5C7485DFAC}">
      <formula1>9999999999</formula1>
    </dataValidation>
    <dataValidation type="textLength" operator="lessThanOrEqual" allowBlank="1" showInputMessage="1" showErrorMessage="1" errorTitle="Max Length Exceed" error="Value cannot exceed 255 characters." sqref="BD13:BD200" xr:uid="{2233C517-5FD4-4E66-B48E-DE0A2F6B078B}">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O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19.7265625" style="113" customWidth="1"/>
    <col min="5" max="5" width="19.54296875" style="113" customWidth="1"/>
    <col min="6" max="6" width="15.54296875" style="113" customWidth="1"/>
    <col min="7" max="7" width="15" style="113" customWidth="1"/>
    <col min="8" max="8" width="14.54296875" style="113" customWidth="1"/>
    <col min="9" max="10" width="14.26953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47" width="8.7265625" style="113" customWidth="1"/>
    <col min="48" max="16384" width="8.7265625" style="113"/>
  </cols>
  <sheetData>
    <row r="1" spans="1:37" ht="27" hidden="1" customHeight="1" x14ac:dyDescent="0.25">
      <c r="A1" s="62" t="s">
        <v>345</v>
      </c>
      <c r="B1" s="64" t="s">
        <v>455</v>
      </c>
      <c r="C1" s="67" t="s">
        <v>163</v>
      </c>
      <c r="D1" s="67" t="s">
        <v>163</v>
      </c>
      <c r="E1" s="67" t="s">
        <v>163</v>
      </c>
      <c r="F1" s="67" t="s">
        <v>163</v>
      </c>
      <c r="G1" s="67" t="s">
        <v>163</v>
      </c>
      <c r="H1" s="67" t="s">
        <v>163</v>
      </c>
      <c r="I1" s="67" t="s">
        <v>163</v>
      </c>
      <c r="J1" s="67" t="s">
        <v>163</v>
      </c>
      <c r="K1" s="67" t="s">
        <v>163</v>
      </c>
      <c r="L1" s="67" t="s">
        <v>163</v>
      </c>
      <c r="M1" s="67" t="s">
        <v>163</v>
      </c>
      <c r="N1" s="67" t="s">
        <v>163</v>
      </c>
      <c r="O1" s="67" t="s">
        <v>163</v>
      </c>
      <c r="P1" s="96" t="s">
        <v>410</v>
      </c>
      <c r="Q1" s="74" t="s">
        <v>409</v>
      </c>
      <c r="R1" s="106" t="s">
        <v>163</v>
      </c>
      <c r="S1" s="106" t="s">
        <v>163</v>
      </c>
      <c r="T1" s="106" t="s">
        <v>163</v>
      </c>
      <c r="U1" s="106" t="s">
        <v>163</v>
      </c>
      <c r="V1" s="106" t="s">
        <v>163</v>
      </c>
      <c r="W1" s="106" t="s">
        <v>163</v>
      </c>
      <c r="X1" s="106" t="s">
        <v>163</v>
      </c>
      <c r="Y1" s="106" t="s">
        <v>163</v>
      </c>
      <c r="Z1" s="106" t="s">
        <v>163</v>
      </c>
      <c r="AA1" s="106" t="s">
        <v>163</v>
      </c>
      <c r="AB1" s="106" t="s">
        <v>163</v>
      </c>
      <c r="AC1" s="106" t="s">
        <v>163</v>
      </c>
      <c r="AD1" s="106" t="s">
        <v>163</v>
      </c>
      <c r="AE1" s="106" t="s">
        <v>163</v>
      </c>
      <c r="AF1" s="106" t="s">
        <v>163</v>
      </c>
      <c r="AG1" s="106" t="s">
        <v>163</v>
      </c>
      <c r="AH1" s="106" t="s">
        <v>163</v>
      </c>
      <c r="AI1" s="106" t="s">
        <v>163</v>
      </c>
      <c r="AJ1" s="106" t="s">
        <v>163</v>
      </c>
      <c r="AK1" s="67" t="s">
        <v>831</v>
      </c>
    </row>
    <row r="2" spans="1:37" ht="27" hidden="1" customHeight="1" x14ac:dyDescent="0.25">
      <c r="A2" s="62" t="s">
        <v>346</v>
      </c>
      <c r="B2" s="65"/>
      <c r="C2" s="67" t="s">
        <v>676</v>
      </c>
      <c r="D2" s="67" t="s">
        <v>676</v>
      </c>
      <c r="E2" s="67" t="s">
        <v>676</v>
      </c>
      <c r="F2" s="67" t="s">
        <v>676</v>
      </c>
      <c r="G2" s="67" t="s">
        <v>676</v>
      </c>
      <c r="H2" s="67" t="s">
        <v>676</v>
      </c>
      <c r="I2" s="67" t="s">
        <v>676</v>
      </c>
      <c r="J2" s="67" t="s">
        <v>676</v>
      </c>
      <c r="K2" s="67" t="s">
        <v>676</v>
      </c>
      <c r="L2" s="67" t="s">
        <v>676</v>
      </c>
      <c r="M2" s="67" t="s">
        <v>676</v>
      </c>
      <c r="N2" s="67" t="s">
        <v>676</v>
      </c>
      <c r="O2" s="67" t="s">
        <v>676</v>
      </c>
      <c r="P2" s="67" t="s">
        <v>678</v>
      </c>
      <c r="Q2" s="106" t="s">
        <v>677</v>
      </c>
      <c r="R2" s="67" t="s">
        <v>676</v>
      </c>
      <c r="S2" s="67" t="s">
        <v>676</v>
      </c>
      <c r="T2" s="67" t="s">
        <v>676</v>
      </c>
      <c r="U2" s="67" t="s">
        <v>676</v>
      </c>
      <c r="V2" s="67" t="s">
        <v>676</v>
      </c>
      <c r="W2" s="67"/>
      <c r="X2" s="67"/>
      <c r="Y2" s="67"/>
      <c r="Z2" s="67"/>
      <c r="AA2" s="67"/>
      <c r="AB2" s="67"/>
      <c r="AC2" s="67"/>
      <c r="AD2" s="67"/>
      <c r="AE2" s="67"/>
      <c r="AF2" s="67"/>
      <c r="AG2" s="67"/>
      <c r="AH2" s="67"/>
      <c r="AI2" s="67"/>
      <c r="AJ2" s="67"/>
      <c r="AK2" s="67" t="s">
        <v>565</v>
      </c>
    </row>
    <row r="3" spans="1:37"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512</v>
      </c>
      <c r="O3" s="106" t="s">
        <v>513</v>
      </c>
      <c r="P3" s="68" t="s">
        <v>155</v>
      </c>
      <c r="Q3" s="68" t="s">
        <v>160</v>
      </c>
      <c r="R3" s="68" t="s">
        <v>115</v>
      </c>
      <c r="S3" s="105" t="s">
        <v>116</v>
      </c>
      <c r="T3" s="105" t="s">
        <v>518</v>
      </c>
      <c r="U3" s="105" t="s">
        <v>519</v>
      </c>
      <c r="V3" s="105" t="s">
        <v>520</v>
      </c>
      <c r="W3" s="74" t="s">
        <v>807</v>
      </c>
      <c r="X3" s="74" t="s">
        <v>808</v>
      </c>
      <c r="Y3" s="74" t="s">
        <v>809</v>
      </c>
      <c r="Z3" s="74" t="s">
        <v>810</v>
      </c>
      <c r="AA3" s="74" t="s">
        <v>811</v>
      </c>
      <c r="AB3" s="74" t="s">
        <v>812</v>
      </c>
      <c r="AC3" s="74" t="s">
        <v>813</v>
      </c>
      <c r="AD3" s="74" t="s">
        <v>814</v>
      </c>
      <c r="AE3" s="74" t="s">
        <v>815</v>
      </c>
      <c r="AF3" s="74" t="s">
        <v>816</v>
      </c>
      <c r="AG3" s="74" t="s">
        <v>817</v>
      </c>
      <c r="AH3" s="74" t="s">
        <v>818</v>
      </c>
      <c r="AI3" s="74" t="s">
        <v>819</v>
      </c>
      <c r="AJ3" s="74" t="s">
        <v>820</v>
      </c>
      <c r="AK3" s="74" t="s">
        <v>827</v>
      </c>
    </row>
    <row r="4" spans="1:37"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68" t="s">
        <v>120</v>
      </c>
      <c r="S4" s="105" t="s">
        <v>468</v>
      </c>
      <c r="T4" s="105" t="s">
        <v>468</v>
      </c>
      <c r="U4" s="105" t="s">
        <v>468</v>
      </c>
      <c r="V4" s="105" t="s">
        <v>468</v>
      </c>
      <c r="W4" s="96" t="s">
        <v>705</v>
      </c>
      <c r="X4" s="109" t="s">
        <v>254</v>
      </c>
      <c r="Y4" s="109" t="s">
        <v>254</v>
      </c>
      <c r="Z4" s="109" t="s">
        <v>254</v>
      </c>
      <c r="AA4" s="109" t="s">
        <v>254</v>
      </c>
      <c r="AB4" s="96" t="s">
        <v>705</v>
      </c>
      <c r="AC4" s="109" t="s">
        <v>258</v>
      </c>
      <c r="AD4" s="109" t="s">
        <v>258</v>
      </c>
      <c r="AE4" s="109" t="s">
        <v>258</v>
      </c>
      <c r="AF4" s="109" t="s">
        <v>258</v>
      </c>
      <c r="AG4" s="109" t="s">
        <v>258</v>
      </c>
      <c r="AH4" s="96" t="s">
        <v>705</v>
      </c>
      <c r="AI4" s="96" t="s">
        <v>705</v>
      </c>
      <c r="AJ4" s="96" t="s">
        <v>705</v>
      </c>
      <c r="AK4" s="96" t="s">
        <v>468</v>
      </c>
    </row>
    <row r="5" spans="1:37"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106" t="s">
        <v>516</v>
      </c>
      <c r="O5" s="106" t="s">
        <v>517</v>
      </c>
      <c r="P5" s="106" t="s">
        <v>107</v>
      </c>
      <c r="Q5" s="106" t="s">
        <v>162</v>
      </c>
      <c r="R5" s="68" t="s">
        <v>469</v>
      </c>
      <c r="S5" s="106" t="s">
        <v>150</v>
      </c>
      <c r="T5" s="67" t="s">
        <v>524</v>
      </c>
      <c r="U5" s="67" t="s">
        <v>525</v>
      </c>
      <c r="V5" s="67" t="s">
        <v>654</v>
      </c>
      <c r="W5" s="74"/>
      <c r="X5" s="105" t="s">
        <v>256</v>
      </c>
      <c r="Y5" s="105" t="s">
        <v>257</v>
      </c>
      <c r="Z5" s="105" t="s">
        <v>255</v>
      </c>
      <c r="AA5" s="105" t="s">
        <v>103</v>
      </c>
      <c r="AB5" s="74"/>
      <c r="AC5" s="105" t="s">
        <v>259</v>
      </c>
      <c r="AD5" s="67" t="s">
        <v>260</v>
      </c>
      <c r="AE5" s="67" t="s">
        <v>261</v>
      </c>
      <c r="AF5" s="67" t="s">
        <v>104</v>
      </c>
      <c r="AG5" s="67" t="s">
        <v>105</v>
      </c>
      <c r="AH5" s="67"/>
      <c r="AI5" s="67"/>
      <c r="AJ5" s="67"/>
      <c r="AK5" s="67" t="s">
        <v>828</v>
      </c>
    </row>
    <row r="6" spans="1:37"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106</v>
      </c>
      <c r="O6" s="67" t="s">
        <v>106</v>
      </c>
      <c r="P6" s="106" t="s">
        <v>106</v>
      </c>
      <c r="Q6" s="106" t="s">
        <v>106</v>
      </c>
      <c r="R6" s="106" t="s">
        <v>149</v>
      </c>
      <c r="S6" s="67" t="s">
        <v>106</v>
      </c>
      <c r="T6" s="106" t="s">
        <v>549</v>
      </c>
      <c r="U6" s="67" t="s">
        <v>106</v>
      </c>
      <c r="V6" s="67" t="s">
        <v>106</v>
      </c>
      <c r="W6" s="67" t="s">
        <v>149</v>
      </c>
      <c r="X6" s="74" t="s">
        <v>154</v>
      </c>
      <c r="Y6" s="74" t="s">
        <v>154</v>
      </c>
      <c r="Z6" s="74" t="s">
        <v>154</v>
      </c>
      <c r="AA6" s="74" t="s">
        <v>154</v>
      </c>
      <c r="AB6" s="67" t="s">
        <v>149</v>
      </c>
      <c r="AC6" s="74" t="s">
        <v>154</v>
      </c>
      <c r="AD6" s="74" t="s">
        <v>154</v>
      </c>
      <c r="AE6" s="74" t="s">
        <v>154</v>
      </c>
      <c r="AF6" s="74" t="s">
        <v>154</v>
      </c>
      <c r="AG6" s="74" t="s">
        <v>154</v>
      </c>
      <c r="AH6" s="67" t="s">
        <v>149</v>
      </c>
      <c r="AI6" s="67" t="s">
        <v>149</v>
      </c>
      <c r="AJ6" s="74" t="s">
        <v>154</v>
      </c>
      <c r="AK6" s="74" t="s">
        <v>106</v>
      </c>
    </row>
    <row r="7" spans="1:37"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67" t="s">
        <v>140</v>
      </c>
      <c r="O7" s="67" t="s">
        <v>140</v>
      </c>
      <c r="P7" s="106" t="s">
        <v>156</v>
      </c>
      <c r="Q7" s="106" t="s">
        <v>156</v>
      </c>
      <c r="R7" s="106" t="s">
        <v>142</v>
      </c>
      <c r="S7" s="67" t="s">
        <v>144</v>
      </c>
      <c r="T7" s="106" t="s">
        <v>142</v>
      </c>
      <c r="U7" s="67" t="s">
        <v>140</v>
      </c>
      <c r="V7" s="67" t="s">
        <v>140</v>
      </c>
      <c r="W7" s="67" t="s">
        <v>142</v>
      </c>
      <c r="X7" s="74" t="s">
        <v>154</v>
      </c>
      <c r="Y7" s="74" t="s">
        <v>154</v>
      </c>
      <c r="Z7" s="74" t="s">
        <v>154</v>
      </c>
      <c r="AA7" s="74" t="s">
        <v>154</v>
      </c>
      <c r="AB7" s="67" t="s">
        <v>142</v>
      </c>
      <c r="AC7" s="74" t="s">
        <v>154</v>
      </c>
      <c r="AD7" s="74" t="s">
        <v>154</v>
      </c>
      <c r="AE7" s="74" t="s">
        <v>154</v>
      </c>
      <c r="AF7" s="74" t="s">
        <v>154</v>
      </c>
      <c r="AG7" s="74" t="s">
        <v>154</v>
      </c>
      <c r="AH7" s="67" t="s">
        <v>142</v>
      </c>
      <c r="AI7" s="67" t="s">
        <v>142</v>
      </c>
      <c r="AJ7" s="74" t="s">
        <v>154</v>
      </c>
      <c r="AK7" s="74" t="s">
        <v>140</v>
      </c>
    </row>
    <row r="8" spans="1:37" ht="27" hidden="1" customHeight="1" x14ac:dyDescent="0.25">
      <c r="A8" s="62" t="s">
        <v>139</v>
      </c>
      <c r="B8" s="64"/>
      <c r="C8" s="67">
        <v>150</v>
      </c>
      <c r="D8" s="67">
        <v>20</v>
      </c>
      <c r="E8" s="67" t="s">
        <v>106</v>
      </c>
      <c r="F8" s="67" t="s">
        <v>145</v>
      </c>
      <c r="G8" s="67" t="s">
        <v>145</v>
      </c>
      <c r="H8" s="67" t="s">
        <v>145</v>
      </c>
      <c r="I8" s="67" t="s">
        <v>145</v>
      </c>
      <c r="J8" s="67" t="s">
        <v>145</v>
      </c>
      <c r="K8" s="67">
        <v>1500</v>
      </c>
      <c r="L8" s="67" t="s">
        <v>145</v>
      </c>
      <c r="M8" s="67" t="s">
        <v>145</v>
      </c>
      <c r="N8" s="67">
        <v>250</v>
      </c>
      <c r="O8" s="67">
        <v>250</v>
      </c>
      <c r="P8" s="106">
        <v>9999999999</v>
      </c>
      <c r="Q8" s="106">
        <v>9999999999</v>
      </c>
      <c r="R8" s="106" t="s">
        <v>106</v>
      </c>
      <c r="S8" s="67" t="s">
        <v>145</v>
      </c>
      <c r="T8" s="106" t="s">
        <v>106</v>
      </c>
      <c r="U8" s="67">
        <v>255</v>
      </c>
      <c r="V8" s="67">
        <v>1500</v>
      </c>
      <c r="W8" s="67" t="s">
        <v>106</v>
      </c>
      <c r="X8" s="74" t="s">
        <v>154</v>
      </c>
      <c r="Y8" s="74" t="s">
        <v>154</v>
      </c>
      <c r="Z8" s="74" t="s">
        <v>154</v>
      </c>
      <c r="AA8" s="74" t="s">
        <v>154</v>
      </c>
      <c r="AB8" s="67" t="s">
        <v>106</v>
      </c>
      <c r="AC8" s="74" t="s">
        <v>154</v>
      </c>
      <c r="AD8" s="74" t="s">
        <v>154</v>
      </c>
      <c r="AE8" s="74" t="s">
        <v>154</v>
      </c>
      <c r="AF8" s="74" t="s">
        <v>154</v>
      </c>
      <c r="AG8" s="74" t="s">
        <v>154</v>
      </c>
      <c r="AH8" s="67" t="s">
        <v>106</v>
      </c>
      <c r="AI8" s="67" t="s">
        <v>106</v>
      </c>
      <c r="AJ8" s="74" t="s">
        <v>154</v>
      </c>
      <c r="AK8" s="74">
        <v>255</v>
      </c>
    </row>
    <row r="9" spans="1:37" ht="27" hidden="1" customHeight="1" x14ac:dyDescent="0.25">
      <c r="A9" s="62" t="s">
        <v>348</v>
      </c>
      <c r="B9" s="65"/>
      <c r="C9" s="67"/>
      <c r="D9" s="67"/>
      <c r="E9" s="67"/>
      <c r="F9" s="67"/>
      <c r="G9" s="67"/>
      <c r="H9" s="67"/>
      <c r="I9" s="105"/>
      <c r="J9" s="105"/>
      <c r="K9" s="67"/>
      <c r="L9" s="67"/>
      <c r="M9" s="67"/>
      <c r="N9" s="67"/>
      <c r="O9" s="67"/>
      <c r="P9" s="96"/>
      <c r="Q9" s="111"/>
      <c r="R9" s="68"/>
      <c r="S9" s="105" t="s">
        <v>666</v>
      </c>
      <c r="T9" s="105" t="s">
        <v>666</v>
      </c>
      <c r="U9" s="105" t="s">
        <v>667</v>
      </c>
      <c r="V9" s="105" t="s">
        <v>668</v>
      </c>
      <c r="W9" s="96" t="s">
        <v>656</v>
      </c>
      <c r="X9" s="96" t="s">
        <v>669</v>
      </c>
      <c r="Y9" s="96" t="s">
        <v>669</v>
      </c>
      <c r="Z9" s="96" t="s">
        <v>669</v>
      </c>
      <c r="AA9" s="96" t="s">
        <v>669</v>
      </c>
      <c r="AB9" s="96" t="s">
        <v>656</v>
      </c>
      <c r="AC9" s="96" t="s">
        <v>670</v>
      </c>
      <c r="AD9" s="96" t="s">
        <v>670</v>
      </c>
      <c r="AE9" s="96" t="s">
        <v>670</v>
      </c>
      <c r="AF9" s="96" t="s">
        <v>670</v>
      </c>
      <c r="AG9" s="96" t="s">
        <v>670</v>
      </c>
      <c r="AH9" s="96" t="s">
        <v>656</v>
      </c>
      <c r="AI9" s="96" t="s">
        <v>656</v>
      </c>
      <c r="AJ9" s="96" t="s">
        <v>671</v>
      </c>
      <c r="AK9" s="96" t="s">
        <v>829</v>
      </c>
    </row>
    <row r="10" spans="1:37" ht="35.15" hidden="1" customHeight="1" x14ac:dyDescent="0.25">
      <c r="A10" s="38" t="s">
        <v>704</v>
      </c>
      <c r="B10" s="48"/>
      <c r="C10" s="39" t="s">
        <v>707</v>
      </c>
      <c r="D10" s="39" t="s">
        <v>708</v>
      </c>
      <c r="E10" s="39" t="s">
        <v>709</v>
      </c>
      <c r="F10" s="39" t="s">
        <v>710</v>
      </c>
      <c r="G10" s="39" t="s">
        <v>711</v>
      </c>
      <c r="H10" s="40" t="s">
        <v>758</v>
      </c>
      <c r="I10" s="40" t="s">
        <v>757</v>
      </c>
      <c r="J10" s="40" t="s">
        <v>783</v>
      </c>
      <c r="K10" s="39" t="s">
        <v>712</v>
      </c>
      <c r="L10" s="39" t="s">
        <v>713</v>
      </c>
      <c r="M10" s="39" t="s">
        <v>714</v>
      </c>
      <c r="N10" s="40"/>
      <c r="O10" s="40"/>
      <c r="P10" s="50"/>
      <c r="Q10" s="51"/>
      <c r="R10" s="41"/>
      <c r="S10" s="39"/>
      <c r="T10" s="39"/>
      <c r="U10" s="39"/>
      <c r="V10" s="39"/>
      <c r="W10" s="42" t="s">
        <v>954</v>
      </c>
      <c r="X10" s="42"/>
      <c r="Y10" s="42"/>
      <c r="Z10" s="42"/>
      <c r="AA10" s="42"/>
      <c r="AB10" s="42"/>
      <c r="AC10" s="42"/>
      <c r="AD10" s="42"/>
      <c r="AE10" s="42"/>
      <c r="AF10" s="42"/>
      <c r="AG10" s="42"/>
      <c r="AH10" s="42"/>
      <c r="AI10" s="42"/>
      <c r="AJ10" s="42"/>
      <c r="AK10" s="42"/>
    </row>
    <row r="11" spans="1:37"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row>
    <row r="12" spans="1:37" ht="195"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397</v>
      </c>
      <c r="O12" s="184" t="s">
        <v>398</v>
      </c>
      <c r="P12" s="184" t="s">
        <v>451</v>
      </c>
      <c r="Q12" s="184" t="s">
        <v>161</v>
      </c>
      <c r="R12" s="184" t="s">
        <v>126</v>
      </c>
      <c r="S12" s="184" t="s">
        <v>127</v>
      </c>
      <c r="T12" s="184" t="s">
        <v>521</v>
      </c>
      <c r="U12" s="184" t="s">
        <v>522</v>
      </c>
      <c r="V12" s="184" t="s">
        <v>523</v>
      </c>
      <c r="W12" s="184" t="s">
        <v>331</v>
      </c>
      <c r="X12" s="184" t="s">
        <v>333</v>
      </c>
      <c r="Y12" s="184" t="s">
        <v>332</v>
      </c>
      <c r="Z12" s="184" t="s">
        <v>336</v>
      </c>
      <c r="AA12" s="184" t="s">
        <v>334</v>
      </c>
      <c r="AB12" s="184" t="s">
        <v>335</v>
      </c>
      <c r="AC12" s="184" t="s">
        <v>337</v>
      </c>
      <c r="AD12" s="184" t="s">
        <v>338</v>
      </c>
      <c r="AE12" s="184" t="s">
        <v>339</v>
      </c>
      <c r="AF12" s="184" t="s">
        <v>340</v>
      </c>
      <c r="AG12" s="184" t="s">
        <v>341</v>
      </c>
      <c r="AH12" s="184" t="s">
        <v>342</v>
      </c>
      <c r="AI12" s="184" t="s">
        <v>344</v>
      </c>
      <c r="AJ12" s="260" t="s">
        <v>343</v>
      </c>
      <c r="AK12" s="184" t="s">
        <v>828</v>
      </c>
    </row>
    <row r="13" spans="1:37" s="116" customFormat="1" ht="12.75" customHeight="1" x14ac:dyDescent="0.25">
      <c r="A13" s="190" t="s">
        <v>136</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row>
    <row r="14" spans="1:37"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row>
    <row r="15" spans="1:37"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row>
    <row r="16" spans="1:37"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row>
    <row r="17" spans="1:37"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row>
    <row r="18" spans="1:37"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row>
    <row r="19" spans="1:37"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row>
    <row r="20" spans="1:37"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row>
    <row r="21" spans="1:37"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row>
    <row r="22" spans="1:37"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row>
    <row r="23" spans="1:37"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row>
    <row r="24" spans="1:37"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row>
    <row r="25" spans="1:37"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row>
    <row r="26" spans="1:37"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row>
    <row r="27" spans="1:37"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row>
    <row r="28" spans="1:37"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row>
    <row r="29" spans="1:37"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row>
    <row r="30" spans="1:37"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row>
    <row r="31" spans="1:37"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row>
    <row r="32" spans="1:37"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row>
    <row r="33" spans="1:37"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row>
    <row r="34" spans="1:37"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row>
    <row r="35" spans="1:37"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row>
    <row r="36" spans="1:37"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row>
    <row r="37" spans="1:37"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row>
    <row r="38" spans="1:37"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row>
    <row r="39" spans="1:37"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row>
    <row r="40" spans="1:37"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row>
    <row r="41" spans="1:37"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row>
    <row r="42" spans="1:37"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row>
    <row r="43" spans="1:37"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row>
    <row r="44" spans="1:37"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row>
    <row r="45" spans="1:37"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row>
    <row r="46" spans="1:37"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row>
    <row r="47" spans="1:37"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row>
    <row r="48" spans="1:37"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row>
    <row r="49" spans="1:37"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row>
    <row r="50" spans="1:37"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row>
    <row r="51" spans="1:37"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row>
    <row r="52" spans="1:37"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row>
    <row r="53" spans="1:37"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row>
    <row r="54" spans="1:37"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row>
    <row r="55" spans="1:37"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row>
    <row r="56" spans="1:37"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row>
    <row r="57" spans="1:37"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row>
    <row r="58" spans="1:37"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row>
    <row r="59" spans="1:37"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row>
    <row r="60" spans="1:37"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row>
    <row r="61" spans="1:37"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row>
    <row r="62" spans="1:37"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row>
    <row r="63" spans="1:37"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row>
    <row r="64" spans="1:37"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row>
    <row r="65" spans="1:37"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row>
    <row r="66" spans="1:37"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row>
    <row r="67" spans="1:37"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row>
    <row r="68" spans="1:37"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row>
    <row r="69" spans="1:37"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row>
    <row r="70" spans="1:37"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row>
    <row r="71" spans="1:37"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row>
    <row r="72" spans="1:37"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row>
    <row r="73" spans="1:37"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row>
    <row r="74" spans="1:37"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row>
    <row r="75" spans="1:37"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row>
    <row r="76" spans="1:37"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row>
    <row r="77" spans="1:37"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row>
    <row r="78" spans="1:37"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row>
    <row r="79" spans="1:37"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row>
    <row r="80" spans="1:37"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row>
    <row r="81" spans="1:37"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row>
    <row r="82" spans="1:37"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row>
    <row r="83" spans="1:37"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row>
    <row r="84" spans="1:37"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row>
    <row r="85" spans="1:37"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row>
    <row r="86" spans="1:37"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row>
    <row r="87" spans="1:37"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row>
    <row r="88" spans="1:37"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row>
    <row r="89" spans="1:37"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row>
    <row r="90" spans="1:37"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row>
    <row r="91" spans="1:37"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row>
    <row r="92" spans="1:37"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row>
    <row r="93" spans="1:37"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row>
    <row r="94" spans="1:37"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row>
    <row r="95" spans="1:37"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row>
    <row r="96" spans="1:37"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row>
    <row r="97" spans="1:37"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row>
    <row r="98" spans="1:37"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row>
    <row r="99" spans="1:37"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row>
    <row r="100" spans="1:37"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row>
    <row r="101" spans="1:37"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row>
    <row r="102" spans="1:37"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row>
    <row r="103" spans="1:37"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row>
    <row r="104" spans="1:37"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row>
    <row r="105" spans="1:37"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row>
    <row r="106" spans="1:37"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row>
    <row r="107" spans="1:37"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row>
    <row r="108" spans="1:37"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row>
    <row r="109" spans="1:37"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row>
    <row r="110" spans="1:37"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row>
    <row r="111" spans="1:37"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row>
    <row r="112" spans="1:37"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row>
    <row r="113" spans="1:37"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row>
    <row r="114" spans="1:37"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row>
    <row r="115" spans="1:37"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row>
    <row r="116" spans="1:37"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row>
    <row r="117" spans="1:37"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row>
    <row r="118" spans="1:37"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row>
    <row r="119" spans="1:37"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row>
    <row r="120" spans="1:37"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row>
    <row r="121" spans="1:37"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row>
    <row r="122" spans="1:37"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row>
    <row r="123" spans="1:37"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row>
    <row r="124" spans="1:37"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row>
    <row r="125" spans="1:37"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row>
    <row r="126" spans="1:37"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row>
    <row r="127" spans="1:37"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row>
    <row r="128" spans="1:37"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row>
    <row r="129" spans="1:37"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row>
    <row r="130" spans="1:37"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row>
    <row r="131" spans="1:37"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row>
    <row r="132" spans="1:37"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row>
    <row r="133" spans="1:37"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row>
    <row r="134" spans="1:37"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row>
    <row r="135" spans="1:37"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row>
    <row r="136" spans="1:37"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row>
    <row r="137" spans="1:37"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row>
    <row r="138" spans="1:37"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row>
    <row r="139" spans="1:37"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row>
    <row r="140" spans="1:37"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row>
    <row r="141" spans="1:37"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row>
    <row r="142" spans="1:37"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row>
    <row r="143" spans="1:37"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row>
    <row r="144" spans="1:37"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row>
    <row r="145" spans="1:37"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row>
    <row r="146" spans="1:37"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row>
    <row r="147" spans="1:37"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row>
    <row r="148" spans="1:37"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row>
    <row r="149" spans="1:37"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row>
    <row r="150" spans="1:37"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row>
    <row r="151" spans="1:37"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row>
    <row r="152" spans="1:37"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row>
    <row r="153" spans="1:37"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row>
    <row r="154" spans="1:37"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row>
    <row r="155" spans="1:37"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row>
    <row r="156" spans="1:37"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row>
    <row r="157" spans="1:37"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row>
    <row r="158" spans="1:37"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row>
    <row r="159" spans="1:37"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row>
    <row r="160" spans="1:37"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row>
    <row r="161" spans="1:37"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row>
    <row r="162" spans="1:37"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row>
    <row r="163" spans="1:37"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row>
    <row r="164" spans="1:37"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row>
    <row r="165" spans="1:37"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row>
    <row r="166" spans="1:37"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row>
    <row r="167" spans="1:37"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row>
    <row r="168" spans="1:37"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row>
    <row r="169" spans="1:37"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row>
    <row r="170" spans="1:37"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row>
    <row r="171" spans="1:37"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row>
    <row r="172" spans="1:37"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row>
    <row r="173" spans="1:37"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row>
    <row r="174" spans="1:37"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row>
    <row r="175" spans="1:37"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row>
    <row r="176" spans="1:37"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row>
    <row r="177" spans="1:37"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row>
    <row r="178" spans="1:37"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row>
    <row r="179" spans="1:37"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row>
    <row r="180" spans="1:37"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row>
    <row r="181" spans="1:37"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row>
    <row r="182" spans="1:37"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row>
    <row r="183" spans="1:37"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row>
    <row r="184" spans="1:37"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row>
    <row r="185" spans="1:37"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row>
    <row r="186" spans="1:37"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row>
    <row r="187" spans="1:37"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row>
    <row r="188" spans="1:37"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row>
    <row r="189" spans="1:37"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row>
    <row r="190" spans="1:37"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row>
    <row r="191" spans="1:37"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row>
    <row r="192" spans="1:37"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row>
    <row r="193" spans="1:37"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row>
    <row r="194" spans="1:37"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row>
    <row r="195" spans="1:37"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row>
    <row r="196" spans="1:37"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row>
    <row r="197" spans="1:37"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row>
    <row r="198" spans="1:37"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row>
    <row r="199" spans="1:37"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row>
    <row r="200" spans="1:37"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row>
    <row r="201" spans="1:37"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7pDREEoYj/JpzlqJsrtL1luaGLXwS7MCwxzGA4QZfoWv8fP2xA+KrAzuQC43su013k3uIgFkBxYFpz1ibIN6LQ==" saltValue="QCmMzi4jNSmfis9hMnT7FQ==" spinCount="100000" sheet="1" objects="1" scenarios="1" formatCells="0" formatRows="0"/>
  <phoneticPr fontId="10" type="noConversion"/>
  <conditionalFormatting sqref="AJ13:AJ200">
    <cfRule type="expression" priority="5">
      <formula>AND($S13&gt;=10000000,$AI13="Yes")</formula>
    </cfRule>
    <cfRule type="expression" dxfId="65" priority="6">
      <formula>OR($S13&lt;10000000,$AI13="No")</formula>
    </cfRule>
  </conditionalFormatting>
  <conditionalFormatting sqref="AH13:AI200">
    <cfRule type="expression" priority="7">
      <formula>$S13&gt;=10000000</formula>
    </cfRule>
    <cfRule type="expression" dxfId="64" priority="8">
      <formula>$S13&lt;10000000</formula>
    </cfRule>
  </conditionalFormatting>
  <conditionalFormatting sqref="AC13:AG200">
    <cfRule type="expression" priority="9">
      <formula>AND($AB13="No",$S13&gt;=10000000)</formula>
    </cfRule>
    <cfRule type="expression" dxfId="63" priority="10">
      <formula>OR($AB13="Yes",$S13&lt;10000000)</formula>
    </cfRule>
  </conditionalFormatting>
  <conditionalFormatting sqref="AB13:AB200">
    <cfRule type="expression" priority="11">
      <formula>$S13&gt;=10000000</formula>
    </cfRule>
    <cfRule type="expression" dxfId="62" priority="12">
      <formula>$S13&lt;10000000</formula>
    </cfRule>
  </conditionalFormatting>
  <conditionalFormatting sqref="X13:AA200">
    <cfRule type="expression" priority="13">
      <formula>AND($W13="No",$S13&gt;=10000000)</formula>
    </cfRule>
    <cfRule type="expression" dxfId="61" priority="14">
      <formula>OR($W13="Yes",$S13&lt;10000000)</formula>
    </cfRule>
  </conditionalFormatting>
  <conditionalFormatting sqref="W13:W200">
    <cfRule type="expression" priority="15">
      <formula>$S13&gt;=10000000</formula>
    </cfRule>
    <cfRule type="expression" dxfId="60" priority="16">
      <formula>$S13&lt;10000000</formula>
    </cfRule>
  </conditionalFormatting>
  <conditionalFormatting sqref="V13:V200">
    <cfRule type="expression" priority="17" stopIfTrue="1">
      <formula>AND($S13&gt;=1000000,LEFT($T13,5)="Other")</formula>
    </cfRule>
    <cfRule type="expression" dxfId="59" priority="18">
      <formula>$S13&lt;10000000</formula>
    </cfRule>
    <cfRule type="expression" dxfId="58" priority="19">
      <formula>$S13&gt;=10000000</formula>
    </cfRule>
  </conditionalFormatting>
  <conditionalFormatting sqref="U13:U200">
    <cfRule type="expression" priority="20">
      <formula>LEFT($T13,5)="Other"</formula>
    </cfRule>
    <cfRule type="expression" dxfId="57" priority="21">
      <formula>LEFT($T13,5)&lt;&gt;"Other"</formula>
    </cfRule>
  </conditionalFormatting>
  <conditionalFormatting sqref="S13:T200">
    <cfRule type="expression" priority="22">
      <formula>$R13="Yes"</formula>
    </cfRule>
    <cfRule type="expression" dxfId="56" priority="23">
      <formula>$R13&lt;&gt;"Yes"</formula>
    </cfRule>
  </conditionalFormatting>
  <conditionalFormatting sqref="R13:R200">
    <cfRule type="expression" dxfId="55" priority="31">
      <formula>#REF!&gt;=10000000</formula>
    </cfRule>
    <cfRule type="expression" dxfId="54" priority="32">
      <formula>#REF!&lt;10000000</formula>
    </cfRule>
  </conditionalFormatting>
  <conditionalFormatting sqref="AK13:AK200">
    <cfRule type="expression" priority="3">
      <formula>$E13="Cancelled"</formula>
    </cfRule>
    <cfRule type="expression" dxfId="53" priority="4">
      <formula>$E13&lt;&gt;"Cancelled"</formula>
    </cfRule>
  </conditionalFormatting>
  <conditionalFormatting sqref="N13:Q200">
    <cfRule type="expression" priority="1">
      <formula>$E13&lt;&gt;"Not Started"</formula>
    </cfRule>
    <cfRule type="expression" dxfId="5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ADFF7802-B9CC-4F93-8AC1-193974A0EC71}">
      <formula1>150</formula1>
    </dataValidation>
    <dataValidation type="textLength" operator="lessThanOrEqual" allowBlank="1" showInputMessage="1" showErrorMessage="1" errorTitle="Max Length Exceed" error="Value cannot exceed 20 characters." sqref="D13:D200" xr:uid="{39E78268-1242-4000-9869-B2827DC70704}">
      <formula1>20</formula1>
    </dataValidation>
    <dataValidation type="decimal" operator="lessThanOrEqual" allowBlank="1" showInputMessage="1" showErrorMessage="1" errorTitle="Maximum Exceeded" error="Value cannot exceed 999,999,999,999.99" sqref="F13:F200" xr:uid="{942E8495-F61E-4994-BDBC-839F9EA72DB8}">
      <formula1>999999999999.99</formula1>
    </dataValidation>
    <dataValidation type="decimal" operator="lessThanOrEqual" allowBlank="1" showInputMessage="1" showErrorMessage="1" errorTitle="Maximum Exceeded" error="Value cannot exceed 999,999,999,999.99" sqref="G13:G200" xr:uid="{2005F982-312F-46F7-A947-F882C37D00C7}">
      <formula1>999999999999.99</formula1>
    </dataValidation>
    <dataValidation type="decimal" operator="lessThanOrEqual" allowBlank="1" showInputMessage="1" showErrorMessage="1" errorTitle="Maximum Exceeded" error="Value cannot exceed 999,999,999,999.99" sqref="H13:H200" xr:uid="{A0C7266F-212E-4B72-8EA0-1234A8F97440}">
      <formula1>999999999999.99</formula1>
    </dataValidation>
    <dataValidation type="decimal" operator="lessThanOrEqual" allowBlank="1" showInputMessage="1" showErrorMessage="1" errorTitle="Maximum Exceeded" error="Value cannot exceed 999,999,999,999.99" sqref="I13:I200" xr:uid="{ED6FA16A-6971-401E-80BD-14FCFC2AEFF8}">
      <formula1>999999999999.99</formula1>
    </dataValidation>
    <dataValidation type="decimal" operator="lessThanOrEqual" allowBlank="1" showInputMessage="1" showErrorMessage="1" errorTitle="Maximum Exceeded" error="Value cannot exceed 999,999,999,999.99" sqref="J13:J200" xr:uid="{911245A1-0045-4E3E-A21B-3A64F21859BA}">
      <formula1>999999999999.99</formula1>
    </dataValidation>
    <dataValidation type="textLength" operator="lessThanOrEqual" allowBlank="1" showInputMessage="1" showErrorMessage="1" errorTitle="Max Length Exceed" error="Value cannot exceed 1500 characters." sqref="K13:K200" xr:uid="{3F06B8D0-C545-4457-9B38-AA649E076592}">
      <formula1>1500</formula1>
    </dataValidation>
    <dataValidation type="decimal" operator="lessThanOrEqual" allowBlank="1" showInputMessage="1" showErrorMessage="1" errorTitle="Maximum Exceeded" error="Value cannot exceed 999,999,999,999.99" sqref="L13:L200" xr:uid="{A54F712E-A8F8-4CEA-8F2E-9FAB2FD2AFCB}">
      <formula1>999999999999.99</formula1>
    </dataValidation>
    <dataValidation type="decimal" operator="lessThanOrEqual" allowBlank="1" showInputMessage="1" showErrorMessage="1" errorTitle="Maximum Exceeded" error="Value cannot exceed 999,999,999,999.99" sqref="M13:M200" xr:uid="{2839CC3C-E1C0-46A9-B10A-1E31AA865426}">
      <formula1>999999999999.99</formula1>
    </dataValidation>
    <dataValidation type="textLength" operator="lessThanOrEqual" allowBlank="1" showInputMessage="1" showErrorMessage="1" errorTitle="Max Length Exceed" error="Value cannot exceed 250 characters." sqref="N13:N200" xr:uid="{7C702C5C-34F1-4CFA-BED9-536F29DE2733}">
      <formula1>250</formula1>
    </dataValidation>
    <dataValidation type="textLength" operator="lessThanOrEqual" allowBlank="1" showInputMessage="1" showErrorMessage="1" errorTitle="Max Length Exceed" error="Value cannot exceed 250 characters." sqref="O13:O200" xr:uid="{97C14673-401E-4B6C-9750-D6B3B18347B4}">
      <formula1>250</formula1>
    </dataValidation>
    <dataValidation type="whole" operator="lessThanOrEqual" allowBlank="1" showInputMessage="1" showErrorMessage="1" errorTitle="Max Length Exceed" error="Value cannot exceed 10 digits." sqref="P13:P200" xr:uid="{376A1590-306E-41BC-8796-AA2980FDE9AB}">
      <formula1>9999999999</formula1>
    </dataValidation>
    <dataValidation type="whole" operator="lessThanOrEqual" allowBlank="1" showInputMessage="1" showErrorMessage="1" errorTitle="Max Length Exceed" error="Value cannot exceed 10 digits." sqref="Q13:Q200" xr:uid="{495EBA1C-3177-4ECC-8012-BCCEA24F51AF}">
      <formula1>9999999999</formula1>
    </dataValidation>
    <dataValidation type="decimal" operator="lessThanOrEqual" allowBlank="1" showInputMessage="1" showErrorMessage="1" errorTitle="Maximum Exceeded" error="Value cannot exceed 999,999,999,999.99" sqref="S13:S200" xr:uid="{CFD03B4B-366E-4AA7-ABEF-CFD0516BCCC8}">
      <formula1>999999999999.99</formula1>
    </dataValidation>
    <dataValidation type="textLength" operator="lessThanOrEqual" allowBlank="1" showInputMessage="1" showErrorMessage="1" errorTitle="Max Length Exceed" error="Value cannot exceed 255 characters." sqref="U13:U200" xr:uid="{9700BEC0-5094-4A14-9091-3D868CDBB2D7}">
      <formula1>255</formula1>
    </dataValidation>
    <dataValidation type="textLength" operator="lessThanOrEqual" allowBlank="1" showInputMessage="1" showErrorMessage="1" errorTitle="Max Length Exceed" error="Value cannot exceed 1500 characters." sqref="V13:V200" xr:uid="{37D71CEC-896E-4B83-8A1B-C809C980DF67}">
      <formula1>1500</formula1>
    </dataValidation>
    <dataValidation type="textLength" operator="lessThanOrEqual" allowBlank="1" showInputMessage="1" showErrorMessage="1" errorTitle="Max Length Exceed" error="Value cannot exceed 255 characters." sqref="AK13:AK200" xr:uid="{ED87579B-B1E3-4DFD-9D88-E7C25371B580}">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K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19.7265625" style="113" customWidth="1"/>
    <col min="5" max="5" width="21.26953125" style="113" customWidth="1"/>
    <col min="6" max="6" width="16.54296875" style="113" customWidth="1"/>
    <col min="7" max="10" width="14"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67" width="8.7265625" style="113" customWidth="1"/>
    <col min="68" max="16384" width="8.7265625" style="113"/>
  </cols>
  <sheetData>
    <row r="1" spans="1:18" ht="27" hidden="1" customHeight="1" x14ac:dyDescent="0.25">
      <c r="A1" s="62" t="s">
        <v>345</v>
      </c>
      <c r="B1" s="64" t="s">
        <v>455</v>
      </c>
      <c r="C1" s="67" t="s">
        <v>173</v>
      </c>
      <c r="D1" s="67" t="s">
        <v>173</v>
      </c>
      <c r="E1" s="67" t="s">
        <v>173</v>
      </c>
      <c r="F1" s="67" t="s">
        <v>173</v>
      </c>
      <c r="G1" s="67" t="s">
        <v>173</v>
      </c>
      <c r="H1" s="67" t="s">
        <v>173</v>
      </c>
      <c r="I1" s="67" t="s">
        <v>173</v>
      </c>
      <c r="J1" s="67" t="s">
        <v>173</v>
      </c>
      <c r="K1" s="67" t="s">
        <v>173</v>
      </c>
      <c r="L1" s="67" t="s">
        <v>173</v>
      </c>
      <c r="M1" s="67" t="s">
        <v>173</v>
      </c>
      <c r="N1" s="67" t="s">
        <v>173</v>
      </c>
      <c r="O1" s="67" t="s">
        <v>173</v>
      </c>
      <c r="P1" s="67" t="s">
        <v>173</v>
      </c>
      <c r="Q1" s="67" t="s">
        <v>173</v>
      </c>
      <c r="R1" s="67" t="s">
        <v>830</v>
      </c>
    </row>
    <row r="2" spans="1:18" ht="27" hidden="1" customHeight="1" x14ac:dyDescent="0.25">
      <c r="A2" s="62" t="s">
        <v>346</v>
      </c>
      <c r="B2" s="64"/>
      <c r="C2" s="67" t="s">
        <v>566</v>
      </c>
      <c r="D2" s="67" t="s">
        <v>566</v>
      </c>
      <c r="E2" s="67" t="s">
        <v>566</v>
      </c>
      <c r="F2" s="67" t="s">
        <v>566</v>
      </c>
      <c r="G2" s="67" t="s">
        <v>566</v>
      </c>
      <c r="H2" s="67" t="s">
        <v>566</v>
      </c>
      <c r="I2" s="67" t="s">
        <v>566</v>
      </c>
      <c r="J2" s="67" t="s">
        <v>566</v>
      </c>
      <c r="K2" s="67" t="s">
        <v>566</v>
      </c>
      <c r="L2" s="67" t="s">
        <v>566</v>
      </c>
      <c r="M2" s="67" t="s">
        <v>566</v>
      </c>
      <c r="N2" s="67" t="s">
        <v>566</v>
      </c>
      <c r="O2" s="67" t="s">
        <v>566</v>
      </c>
      <c r="P2" s="67" t="s">
        <v>566</v>
      </c>
      <c r="Q2" s="67" t="s">
        <v>566</v>
      </c>
      <c r="R2" s="67" t="s">
        <v>565</v>
      </c>
    </row>
    <row r="3" spans="1:18"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5" t="s">
        <v>166</v>
      </c>
      <c r="O3" s="105" t="s">
        <v>167</v>
      </c>
      <c r="P3" s="105" t="s">
        <v>168</v>
      </c>
      <c r="Q3" s="105" t="s">
        <v>567</v>
      </c>
      <c r="R3" s="74" t="s">
        <v>827</v>
      </c>
    </row>
    <row r="4" spans="1:18"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96" t="s">
        <v>468</v>
      </c>
    </row>
    <row r="5" spans="1:18"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68" t="s">
        <v>171</v>
      </c>
      <c r="O5" s="68" t="s">
        <v>108</v>
      </c>
      <c r="P5" s="68" t="s">
        <v>172</v>
      </c>
      <c r="Q5" s="106" t="s">
        <v>568</v>
      </c>
      <c r="R5" s="67" t="s">
        <v>828</v>
      </c>
    </row>
    <row r="6" spans="1:18"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932</v>
      </c>
      <c r="O6" s="67" t="s">
        <v>106</v>
      </c>
      <c r="P6" s="67" t="s">
        <v>106</v>
      </c>
      <c r="Q6" s="106" t="s">
        <v>106</v>
      </c>
      <c r="R6" s="74" t="s">
        <v>106</v>
      </c>
    </row>
    <row r="7" spans="1:18"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95" t="s">
        <v>696</v>
      </c>
      <c r="O7" s="67" t="s">
        <v>156</v>
      </c>
      <c r="P7" s="67" t="s">
        <v>140</v>
      </c>
      <c r="Q7" s="106" t="s">
        <v>156</v>
      </c>
      <c r="R7" s="74" t="s">
        <v>140</v>
      </c>
    </row>
    <row r="8" spans="1:18"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67">
        <v>1500</v>
      </c>
      <c r="O8" s="67">
        <v>9999999</v>
      </c>
      <c r="P8" s="67">
        <v>3000</v>
      </c>
      <c r="Q8" s="106">
        <v>9999999999</v>
      </c>
      <c r="R8" s="74">
        <v>255</v>
      </c>
    </row>
    <row r="9" spans="1:18" ht="27" hidden="1" customHeight="1" x14ac:dyDescent="0.25">
      <c r="A9" s="62" t="s">
        <v>348</v>
      </c>
      <c r="B9" s="108"/>
      <c r="C9" s="105"/>
      <c r="D9" s="105"/>
      <c r="E9" s="105"/>
      <c r="F9" s="105"/>
      <c r="G9" s="105"/>
      <c r="H9" s="105"/>
      <c r="I9" s="105" t="s">
        <v>560</v>
      </c>
      <c r="J9" s="105" t="s">
        <v>560</v>
      </c>
      <c r="K9" s="105"/>
      <c r="L9" s="105"/>
      <c r="M9" s="105"/>
      <c r="N9" s="105"/>
      <c r="O9" s="105"/>
      <c r="P9" s="105"/>
      <c r="Q9" s="105"/>
      <c r="R9" s="96" t="s">
        <v>829</v>
      </c>
    </row>
    <row r="10" spans="1:18" ht="35.15" hidden="1" customHeight="1" x14ac:dyDescent="0.25">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6" t="s">
        <v>1006</v>
      </c>
      <c r="O10" s="46" t="s">
        <v>1007</v>
      </c>
      <c r="P10" s="46" t="s">
        <v>1002</v>
      </c>
      <c r="Q10" s="46" t="s">
        <v>1003</v>
      </c>
      <c r="R10" s="42" t="s">
        <v>1004</v>
      </c>
    </row>
    <row r="11" spans="1:18" ht="14" x14ac:dyDescent="0.25">
      <c r="A11" s="22"/>
      <c r="B11" s="23"/>
      <c r="C11" s="21">
        <f>Cover!$C$2</f>
        <v>0</v>
      </c>
      <c r="D11" s="23"/>
      <c r="E11" s="23"/>
      <c r="F11" s="23"/>
      <c r="G11" s="23"/>
      <c r="H11" s="23"/>
      <c r="I11" s="23"/>
      <c r="J11" s="23"/>
      <c r="K11" s="23"/>
      <c r="L11" s="23"/>
      <c r="M11" s="23"/>
      <c r="N11" s="23" t="s">
        <v>1005</v>
      </c>
      <c r="O11" s="23"/>
      <c r="P11" s="23"/>
      <c r="Q11" s="23"/>
      <c r="R11" s="168"/>
    </row>
    <row r="12" spans="1:18" ht="52"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169</v>
      </c>
      <c r="O12" s="184" t="s">
        <v>108</v>
      </c>
      <c r="P12" s="184" t="s">
        <v>170</v>
      </c>
      <c r="Q12" s="184" t="s">
        <v>405</v>
      </c>
      <c r="R12" s="184" t="s">
        <v>828</v>
      </c>
    </row>
    <row r="13" spans="1:18" s="116" customFormat="1" ht="12.75" customHeight="1" x14ac:dyDescent="0.25">
      <c r="A13" s="190" t="s">
        <v>136</v>
      </c>
      <c r="B13" s="203"/>
      <c r="C13" s="204"/>
      <c r="D13" s="204"/>
      <c r="E13" s="204"/>
      <c r="F13" s="200"/>
      <c r="G13" s="200"/>
      <c r="H13" s="200"/>
      <c r="I13" s="200"/>
      <c r="J13" s="200"/>
      <c r="K13" s="204"/>
      <c r="L13" s="200"/>
      <c r="M13" s="200"/>
      <c r="N13" s="204"/>
      <c r="O13" s="204"/>
      <c r="P13" s="204"/>
      <c r="Q13" s="204"/>
      <c r="R13" s="196"/>
    </row>
    <row r="14" spans="1:18" s="116" customFormat="1" ht="12.75" customHeight="1" x14ac:dyDescent="0.25">
      <c r="A14" s="190"/>
      <c r="B14" s="203"/>
      <c r="C14" s="204"/>
      <c r="D14" s="204"/>
      <c r="E14" s="204"/>
      <c r="F14" s="200"/>
      <c r="G14" s="200"/>
      <c r="H14" s="200"/>
      <c r="I14" s="200"/>
      <c r="J14" s="200"/>
      <c r="K14" s="204"/>
      <c r="L14" s="200"/>
      <c r="M14" s="200"/>
      <c r="N14" s="204"/>
      <c r="O14" s="204"/>
      <c r="P14" s="204"/>
      <c r="Q14" s="204"/>
      <c r="R14" s="204"/>
    </row>
    <row r="15" spans="1:18" s="116" customFormat="1" ht="12.75" customHeight="1" x14ac:dyDescent="0.25">
      <c r="A15" s="190"/>
      <c r="B15" s="203"/>
      <c r="C15" s="204"/>
      <c r="D15" s="204"/>
      <c r="E15" s="204"/>
      <c r="F15" s="200"/>
      <c r="G15" s="200"/>
      <c r="H15" s="200"/>
      <c r="I15" s="200"/>
      <c r="J15" s="200"/>
      <c r="K15" s="204"/>
      <c r="L15" s="200"/>
      <c r="M15" s="200"/>
      <c r="N15" s="204"/>
      <c r="O15" s="204"/>
      <c r="P15" s="204"/>
      <c r="Q15" s="204"/>
      <c r="R15" s="204"/>
    </row>
    <row r="16" spans="1:18" s="116" customFormat="1" ht="12.75" customHeight="1" x14ac:dyDescent="0.25">
      <c r="A16" s="190"/>
      <c r="B16" s="203"/>
      <c r="C16" s="204"/>
      <c r="D16" s="204"/>
      <c r="E16" s="204"/>
      <c r="F16" s="200"/>
      <c r="G16" s="200"/>
      <c r="H16" s="200"/>
      <c r="I16" s="200"/>
      <c r="J16" s="200"/>
      <c r="K16" s="204"/>
      <c r="L16" s="200"/>
      <c r="M16" s="200"/>
      <c r="N16" s="204"/>
      <c r="O16" s="204"/>
      <c r="P16" s="204"/>
      <c r="Q16" s="204"/>
      <c r="R16" s="204"/>
    </row>
    <row r="17" spans="1:18" s="116" customFormat="1" ht="12.75" customHeight="1" x14ac:dyDescent="0.25">
      <c r="A17" s="190"/>
      <c r="B17" s="203"/>
      <c r="C17" s="204"/>
      <c r="D17" s="204"/>
      <c r="E17" s="204"/>
      <c r="F17" s="200"/>
      <c r="G17" s="200"/>
      <c r="H17" s="200"/>
      <c r="I17" s="200"/>
      <c r="J17" s="200"/>
      <c r="K17" s="204"/>
      <c r="L17" s="200"/>
      <c r="M17" s="200"/>
      <c r="N17" s="204"/>
      <c r="O17" s="204"/>
      <c r="P17" s="204"/>
      <c r="Q17" s="189"/>
      <c r="R17" s="204"/>
    </row>
    <row r="18" spans="1:18" s="116" customFormat="1" ht="12.75" customHeight="1" x14ac:dyDescent="0.25">
      <c r="A18" s="190"/>
      <c r="B18" s="203"/>
      <c r="C18" s="204"/>
      <c r="D18" s="204"/>
      <c r="E18" s="204"/>
      <c r="F18" s="200"/>
      <c r="G18" s="200"/>
      <c r="H18" s="200"/>
      <c r="I18" s="200"/>
      <c r="J18" s="200"/>
      <c r="K18" s="204"/>
      <c r="L18" s="200"/>
      <c r="M18" s="200"/>
      <c r="N18" s="204"/>
      <c r="O18" s="204"/>
      <c r="P18" s="204"/>
      <c r="Q18" s="189"/>
      <c r="R18" s="204"/>
    </row>
    <row r="19" spans="1:18" s="116" customFormat="1" ht="12.75" customHeight="1" x14ac:dyDescent="0.25">
      <c r="A19" s="190"/>
      <c r="B19" s="203"/>
      <c r="C19" s="204"/>
      <c r="D19" s="204"/>
      <c r="E19" s="204"/>
      <c r="F19" s="200"/>
      <c r="G19" s="200"/>
      <c r="H19" s="200"/>
      <c r="I19" s="200"/>
      <c r="J19" s="200"/>
      <c r="K19" s="204"/>
      <c r="L19" s="200"/>
      <c r="M19" s="200"/>
      <c r="N19" s="204"/>
      <c r="O19" s="204"/>
      <c r="P19" s="204"/>
      <c r="Q19" s="189"/>
      <c r="R19" s="204"/>
    </row>
    <row r="20" spans="1:18" s="116" customFormat="1" ht="12.75" customHeight="1" x14ac:dyDescent="0.25">
      <c r="A20" s="190"/>
      <c r="B20" s="203"/>
      <c r="C20" s="204"/>
      <c r="D20" s="204"/>
      <c r="E20" s="204"/>
      <c r="F20" s="200"/>
      <c r="G20" s="200"/>
      <c r="H20" s="200"/>
      <c r="I20" s="200"/>
      <c r="J20" s="200"/>
      <c r="K20" s="204"/>
      <c r="L20" s="200"/>
      <c r="M20" s="200"/>
      <c r="N20" s="204"/>
      <c r="O20" s="204"/>
      <c r="P20" s="204"/>
      <c r="Q20" s="189"/>
      <c r="R20" s="204"/>
    </row>
    <row r="21" spans="1:18" s="116" customFormat="1" ht="12.75" customHeight="1" x14ac:dyDescent="0.25">
      <c r="A21" s="190"/>
      <c r="B21" s="203"/>
      <c r="C21" s="204"/>
      <c r="D21" s="204"/>
      <c r="E21" s="204"/>
      <c r="F21" s="200"/>
      <c r="G21" s="200"/>
      <c r="H21" s="200"/>
      <c r="I21" s="200"/>
      <c r="J21" s="200"/>
      <c r="K21" s="204"/>
      <c r="L21" s="200"/>
      <c r="M21" s="200"/>
      <c r="N21" s="204"/>
      <c r="O21" s="204"/>
      <c r="P21" s="204"/>
      <c r="Q21" s="189"/>
      <c r="R21" s="204"/>
    </row>
    <row r="22" spans="1:18" s="116" customFormat="1" ht="12.75" customHeight="1" x14ac:dyDescent="0.25">
      <c r="A22" s="190"/>
      <c r="B22" s="203"/>
      <c r="C22" s="204"/>
      <c r="D22" s="204"/>
      <c r="E22" s="204"/>
      <c r="F22" s="200"/>
      <c r="G22" s="200"/>
      <c r="H22" s="200"/>
      <c r="I22" s="200"/>
      <c r="J22" s="200"/>
      <c r="K22" s="204"/>
      <c r="L22" s="200"/>
      <c r="M22" s="200"/>
      <c r="N22" s="204"/>
      <c r="O22" s="204"/>
      <c r="P22" s="204"/>
      <c r="Q22" s="189"/>
      <c r="R22" s="204"/>
    </row>
    <row r="23" spans="1:18" s="116" customFormat="1" ht="12.75" customHeight="1" x14ac:dyDescent="0.25">
      <c r="A23" s="190"/>
      <c r="B23" s="203"/>
      <c r="C23" s="204"/>
      <c r="D23" s="204"/>
      <c r="E23" s="204"/>
      <c r="F23" s="200"/>
      <c r="G23" s="200"/>
      <c r="H23" s="200"/>
      <c r="I23" s="200"/>
      <c r="J23" s="200"/>
      <c r="K23" s="204"/>
      <c r="L23" s="200"/>
      <c r="M23" s="200"/>
      <c r="N23" s="204"/>
      <c r="O23" s="204"/>
      <c r="P23" s="204"/>
      <c r="Q23" s="189"/>
      <c r="R23" s="204"/>
    </row>
    <row r="24" spans="1:18" s="116" customFormat="1" ht="12.75" customHeight="1" x14ac:dyDescent="0.25">
      <c r="A24" s="190"/>
      <c r="B24" s="203"/>
      <c r="C24" s="204"/>
      <c r="D24" s="204"/>
      <c r="E24" s="204"/>
      <c r="F24" s="200"/>
      <c r="G24" s="200"/>
      <c r="H24" s="200"/>
      <c r="I24" s="200"/>
      <c r="J24" s="200"/>
      <c r="K24" s="204"/>
      <c r="L24" s="200"/>
      <c r="M24" s="200"/>
      <c r="N24" s="204"/>
      <c r="O24" s="204"/>
      <c r="P24" s="204"/>
      <c r="Q24" s="189"/>
      <c r="R24" s="204"/>
    </row>
    <row r="25" spans="1:18" s="116" customFormat="1" ht="12.75" customHeight="1" x14ac:dyDescent="0.25">
      <c r="A25" s="190"/>
      <c r="B25" s="203"/>
      <c r="C25" s="204"/>
      <c r="D25" s="204"/>
      <c r="E25" s="204"/>
      <c r="F25" s="200"/>
      <c r="G25" s="200"/>
      <c r="H25" s="200"/>
      <c r="I25" s="200"/>
      <c r="J25" s="200"/>
      <c r="K25" s="204"/>
      <c r="L25" s="200"/>
      <c r="M25" s="200"/>
      <c r="N25" s="204"/>
      <c r="O25" s="204"/>
      <c r="P25" s="204"/>
      <c r="Q25" s="189"/>
      <c r="R25" s="204"/>
    </row>
    <row r="26" spans="1:18" s="116" customFormat="1" ht="12.75" customHeight="1" x14ac:dyDescent="0.25">
      <c r="A26" s="190"/>
      <c r="B26" s="203"/>
      <c r="C26" s="204"/>
      <c r="D26" s="204"/>
      <c r="E26" s="204"/>
      <c r="F26" s="200"/>
      <c r="G26" s="200"/>
      <c r="H26" s="200"/>
      <c r="I26" s="200"/>
      <c r="J26" s="200"/>
      <c r="K26" s="204"/>
      <c r="L26" s="200"/>
      <c r="M26" s="200"/>
      <c r="N26" s="204"/>
      <c r="O26" s="204"/>
      <c r="P26" s="204"/>
      <c r="Q26" s="189"/>
      <c r="R26" s="204"/>
    </row>
    <row r="27" spans="1:18" s="116" customFormat="1" ht="12.75" customHeight="1" x14ac:dyDescent="0.25">
      <c r="A27" s="190"/>
      <c r="B27" s="203"/>
      <c r="C27" s="204"/>
      <c r="D27" s="204"/>
      <c r="E27" s="204"/>
      <c r="F27" s="200"/>
      <c r="G27" s="200"/>
      <c r="H27" s="200"/>
      <c r="I27" s="200"/>
      <c r="J27" s="200"/>
      <c r="K27" s="204"/>
      <c r="L27" s="200"/>
      <c r="M27" s="200"/>
      <c r="N27" s="204"/>
      <c r="O27" s="204"/>
      <c r="P27" s="204"/>
      <c r="Q27" s="189"/>
      <c r="R27" s="204"/>
    </row>
    <row r="28" spans="1:18" s="116" customFormat="1" ht="12.75" customHeight="1" x14ac:dyDescent="0.25">
      <c r="A28" s="190"/>
      <c r="B28" s="203"/>
      <c r="C28" s="204"/>
      <c r="D28" s="204"/>
      <c r="E28" s="204"/>
      <c r="F28" s="200"/>
      <c r="G28" s="200"/>
      <c r="H28" s="200"/>
      <c r="I28" s="200"/>
      <c r="J28" s="200"/>
      <c r="K28" s="204"/>
      <c r="L28" s="200"/>
      <c r="M28" s="200"/>
      <c r="N28" s="204"/>
      <c r="O28" s="204"/>
      <c r="P28" s="204"/>
      <c r="Q28" s="189"/>
      <c r="R28" s="204"/>
    </row>
    <row r="29" spans="1:18" s="116" customFormat="1" ht="12.75" customHeight="1" x14ac:dyDescent="0.25">
      <c r="A29" s="190"/>
      <c r="B29" s="203"/>
      <c r="C29" s="204"/>
      <c r="D29" s="204"/>
      <c r="E29" s="204"/>
      <c r="F29" s="200"/>
      <c r="G29" s="200"/>
      <c r="H29" s="200"/>
      <c r="I29" s="200"/>
      <c r="J29" s="200"/>
      <c r="K29" s="204"/>
      <c r="L29" s="200"/>
      <c r="M29" s="200"/>
      <c r="N29" s="204"/>
      <c r="O29" s="204"/>
      <c r="P29" s="204"/>
      <c r="Q29" s="189"/>
      <c r="R29" s="204"/>
    </row>
    <row r="30" spans="1:18" s="116" customFormat="1" ht="12.75" customHeight="1" x14ac:dyDescent="0.25">
      <c r="A30" s="190"/>
      <c r="B30" s="203"/>
      <c r="C30" s="204"/>
      <c r="D30" s="204"/>
      <c r="E30" s="204"/>
      <c r="F30" s="200"/>
      <c r="G30" s="200"/>
      <c r="H30" s="200"/>
      <c r="I30" s="200"/>
      <c r="J30" s="200"/>
      <c r="K30" s="204"/>
      <c r="L30" s="200"/>
      <c r="M30" s="200"/>
      <c r="N30" s="204"/>
      <c r="O30" s="204"/>
      <c r="P30" s="204"/>
      <c r="Q30" s="189"/>
      <c r="R30" s="204"/>
    </row>
    <row r="31" spans="1:18" s="116" customFormat="1" ht="12.75" customHeight="1" x14ac:dyDescent="0.25">
      <c r="A31" s="190"/>
      <c r="B31" s="203"/>
      <c r="C31" s="204"/>
      <c r="D31" s="204"/>
      <c r="E31" s="204"/>
      <c r="F31" s="200"/>
      <c r="G31" s="200"/>
      <c r="H31" s="200"/>
      <c r="I31" s="200"/>
      <c r="J31" s="200"/>
      <c r="K31" s="204"/>
      <c r="L31" s="200"/>
      <c r="M31" s="200"/>
      <c r="N31" s="204"/>
      <c r="O31" s="204"/>
      <c r="P31" s="204"/>
      <c r="Q31" s="189"/>
      <c r="R31" s="204"/>
    </row>
    <row r="32" spans="1:18" s="116" customFormat="1" ht="12.75" customHeight="1" x14ac:dyDescent="0.25">
      <c r="A32" s="190"/>
      <c r="B32" s="203"/>
      <c r="C32" s="204"/>
      <c r="D32" s="204"/>
      <c r="E32" s="204"/>
      <c r="F32" s="200"/>
      <c r="G32" s="200"/>
      <c r="H32" s="200"/>
      <c r="I32" s="200"/>
      <c r="J32" s="200"/>
      <c r="K32" s="204"/>
      <c r="L32" s="200"/>
      <c r="M32" s="200"/>
      <c r="N32" s="204"/>
      <c r="O32" s="204"/>
      <c r="P32" s="204"/>
      <c r="Q32" s="189"/>
      <c r="R32" s="204"/>
    </row>
    <row r="33" spans="1:18" s="116" customFormat="1" ht="12.75" customHeight="1" x14ac:dyDescent="0.25">
      <c r="A33" s="190"/>
      <c r="B33" s="203"/>
      <c r="C33" s="204"/>
      <c r="D33" s="204"/>
      <c r="E33" s="204"/>
      <c r="F33" s="200"/>
      <c r="G33" s="200"/>
      <c r="H33" s="200"/>
      <c r="I33" s="200"/>
      <c r="J33" s="200"/>
      <c r="K33" s="204"/>
      <c r="L33" s="200"/>
      <c r="M33" s="200"/>
      <c r="N33" s="204"/>
      <c r="O33" s="204"/>
      <c r="P33" s="204"/>
      <c r="Q33" s="189"/>
      <c r="R33" s="204"/>
    </row>
    <row r="34" spans="1:18" s="116" customFormat="1" ht="12.75" customHeight="1" x14ac:dyDescent="0.25">
      <c r="A34" s="190"/>
      <c r="B34" s="203"/>
      <c r="C34" s="204"/>
      <c r="D34" s="204"/>
      <c r="E34" s="204"/>
      <c r="F34" s="200"/>
      <c r="G34" s="200"/>
      <c r="H34" s="200"/>
      <c r="I34" s="200"/>
      <c r="J34" s="200"/>
      <c r="K34" s="204"/>
      <c r="L34" s="200"/>
      <c r="M34" s="200"/>
      <c r="N34" s="204"/>
      <c r="O34" s="204"/>
      <c r="P34" s="204"/>
      <c r="Q34" s="189"/>
      <c r="R34" s="204"/>
    </row>
    <row r="35" spans="1:18" s="116" customFormat="1" ht="12.75" customHeight="1" x14ac:dyDescent="0.25">
      <c r="A35" s="190"/>
      <c r="B35" s="203"/>
      <c r="C35" s="204"/>
      <c r="D35" s="204"/>
      <c r="E35" s="204"/>
      <c r="F35" s="200"/>
      <c r="G35" s="200"/>
      <c r="H35" s="200"/>
      <c r="I35" s="200"/>
      <c r="J35" s="200"/>
      <c r="K35" s="204"/>
      <c r="L35" s="200"/>
      <c r="M35" s="200"/>
      <c r="N35" s="204"/>
      <c r="O35" s="204"/>
      <c r="P35" s="204"/>
      <c r="Q35" s="189"/>
      <c r="R35" s="204"/>
    </row>
    <row r="36" spans="1:18" ht="12.75" customHeight="1" x14ac:dyDescent="0.25">
      <c r="A36" s="181"/>
      <c r="B36" s="181"/>
      <c r="C36" s="172"/>
      <c r="D36" s="172"/>
      <c r="E36" s="204"/>
      <c r="F36" s="206"/>
      <c r="G36" s="206"/>
      <c r="H36" s="206"/>
      <c r="I36" s="206"/>
      <c r="J36" s="206"/>
      <c r="K36" s="172"/>
      <c r="L36" s="206"/>
      <c r="M36" s="206"/>
      <c r="N36" s="204"/>
      <c r="O36" s="172"/>
      <c r="P36" s="172"/>
      <c r="Q36" s="172"/>
      <c r="R36" s="204"/>
    </row>
    <row r="37" spans="1:18" ht="12.75" customHeight="1" x14ac:dyDescent="0.25">
      <c r="A37" s="181"/>
      <c r="B37" s="181"/>
      <c r="C37" s="172"/>
      <c r="D37" s="172"/>
      <c r="E37" s="204"/>
      <c r="F37" s="206"/>
      <c r="G37" s="206"/>
      <c r="H37" s="206"/>
      <c r="I37" s="206"/>
      <c r="J37" s="206"/>
      <c r="K37" s="172"/>
      <c r="L37" s="206"/>
      <c r="M37" s="206"/>
      <c r="N37" s="204"/>
      <c r="O37" s="172"/>
      <c r="P37" s="172"/>
      <c r="Q37" s="172"/>
      <c r="R37" s="204"/>
    </row>
    <row r="38" spans="1:18" ht="12.75" customHeight="1" x14ac:dyDescent="0.25">
      <c r="A38" s="181"/>
      <c r="B38" s="181"/>
      <c r="C38" s="172"/>
      <c r="D38" s="172"/>
      <c r="E38" s="204"/>
      <c r="F38" s="206"/>
      <c r="G38" s="206"/>
      <c r="H38" s="206"/>
      <c r="I38" s="206"/>
      <c r="J38" s="206"/>
      <c r="K38" s="172"/>
      <c r="L38" s="206"/>
      <c r="M38" s="206"/>
      <c r="N38" s="204"/>
      <c r="O38" s="172"/>
      <c r="P38" s="172"/>
      <c r="Q38" s="172"/>
      <c r="R38" s="204"/>
    </row>
    <row r="39" spans="1:18" ht="12.75" customHeight="1" x14ac:dyDescent="0.25">
      <c r="A39" s="181"/>
      <c r="B39" s="181"/>
      <c r="C39" s="172"/>
      <c r="D39" s="172"/>
      <c r="E39" s="204"/>
      <c r="F39" s="206"/>
      <c r="G39" s="206"/>
      <c r="H39" s="206"/>
      <c r="I39" s="206"/>
      <c r="J39" s="206"/>
      <c r="K39" s="172"/>
      <c r="L39" s="206"/>
      <c r="M39" s="206"/>
      <c r="N39" s="204"/>
      <c r="O39" s="172"/>
      <c r="P39" s="172"/>
      <c r="Q39" s="172"/>
      <c r="R39" s="204"/>
    </row>
    <row r="40" spans="1:18" ht="12.75" customHeight="1" x14ac:dyDescent="0.25">
      <c r="A40" s="181"/>
      <c r="B40" s="181"/>
      <c r="C40" s="172"/>
      <c r="D40" s="172"/>
      <c r="E40" s="204"/>
      <c r="F40" s="206"/>
      <c r="G40" s="206"/>
      <c r="H40" s="206"/>
      <c r="I40" s="206"/>
      <c r="J40" s="206"/>
      <c r="K40" s="172"/>
      <c r="L40" s="206"/>
      <c r="M40" s="206"/>
      <c r="N40" s="204"/>
      <c r="O40" s="172"/>
      <c r="P40" s="172"/>
      <c r="Q40" s="172"/>
      <c r="R40" s="204"/>
    </row>
    <row r="41" spans="1:18" ht="12.75" customHeight="1" x14ac:dyDescent="0.25">
      <c r="A41" s="181"/>
      <c r="B41" s="181"/>
      <c r="C41" s="172"/>
      <c r="D41" s="172"/>
      <c r="E41" s="204"/>
      <c r="F41" s="206"/>
      <c r="G41" s="206"/>
      <c r="H41" s="206"/>
      <c r="I41" s="206"/>
      <c r="J41" s="206"/>
      <c r="K41" s="172"/>
      <c r="L41" s="206"/>
      <c r="M41" s="206"/>
      <c r="N41" s="204"/>
      <c r="O41" s="172"/>
      <c r="P41" s="172"/>
      <c r="Q41" s="172"/>
      <c r="R41" s="204"/>
    </row>
    <row r="42" spans="1:18" ht="12.75" customHeight="1" x14ac:dyDescent="0.25">
      <c r="A42" s="181"/>
      <c r="B42" s="181"/>
      <c r="C42" s="172"/>
      <c r="D42" s="172"/>
      <c r="E42" s="204"/>
      <c r="F42" s="206"/>
      <c r="G42" s="206"/>
      <c r="H42" s="206"/>
      <c r="I42" s="206"/>
      <c r="J42" s="206"/>
      <c r="K42" s="172"/>
      <c r="L42" s="206"/>
      <c r="M42" s="206"/>
      <c r="N42" s="204"/>
      <c r="O42" s="172"/>
      <c r="P42" s="172"/>
      <c r="Q42" s="172"/>
      <c r="R42" s="204"/>
    </row>
    <row r="43" spans="1:18" ht="12.75" customHeight="1" x14ac:dyDescent="0.25">
      <c r="A43" s="181"/>
      <c r="B43" s="181"/>
      <c r="C43" s="172"/>
      <c r="D43" s="172"/>
      <c r="E43" s="204"/>
      <c r="F43" s="206"/>
      <c r="G43" s="206"/>
      <c r="H43" s="206"/>
      <c r="I43" s="206"/>
      <c r="J43" s="206"/>
      <c r="K43" s="172"/>
      <c r="L43" s="206"/>
      <c r="M43" s="206"/>
      <c r="N43" s="204"/>
      <c r="O43" s="172"/>
      <c r="P43" s="172"/>
      <c r="Q43" s="172"/>
      <c r="R43" s="204"/>
    </row>
    <row r="44" spans="1:18" ht="12.75" customHeight="1" x14ac:dyDescent="0.25">
      <c r="A44" s="181"/>
      <c r="B44" s="181"/>
      <c r="C44" s="172"/>
      <c r="D44" s="172"/>
      <c r="E44" s="204"/>
      <c r="F44" s="206"/>
      <c r="G44" s="206"/>
      <c r="H44" s="206"/>
      <c r="I44" s="206"/>
      <c r="J44" s="206"/>
      <c r="K44" s="172"/>
      <c r="L44" s="206"/>
      <c r="M44" s="206"/>
      <c r="N44" s="204"/>
      <c r="O44" s="172"/>
      <c r="P44" s="172"/>
      <c r="Q44" s="172"/>
      <c r="R44" s="204"/>
    </row>
    <row r="45" spans="1:18" ht="12.75" customHeight="1" x14ac:dyDescent="0.25">
      <c r="A45" s="181"/>
      <c r="B45" s="181"/>
      <c r="C45" s="172"/>
      <c r="D45" s="172"/>
      <c r="E45" s="204"/>
      <c r="F45" s="206"/>
      <c r="G45" s="206"/>
      <c r="H45" s="206"/>
      <c r="I45" s="206"/>
      <c r="J45" s="206"/>
      <c r="K45" s="172"/>
      <c r="L45" s="206"/>
      <c r="M45" s="206"/>
      <c r="N45" s="204"/>
      <c r="O45" s="172"/>
      <c r="P45" s="172"/>
      <c r="Q45" s="172"/>
      <c r="R45" s="204"/>
    </row>
    <row r="46" spans="1:18" ht="12.75" customHeight="1" x14ac:dyDescent="0.25">
      <c r="A46" s="181"/>
      <c r="B46" s="181"/>
      <c r="C46" s="172"/>
      <c r="D46" s="172"/>
      <c r="E46" s="204"/>
      <c r="F46" s="206"/>
      <c r="G46" s="206"/>
      <c r="H46" s="206"/>
      <c r="I46" s="206"/>
      <c r="J46" s="206"/>
      <c r="K46" s="172"/>
      <c r="L46" s="206"/>
      <c r="M46" s="206"/>
      <c r="N46" s="204"/>
      <c r="O46" s="172"/>
      <c r="P46" s="172"/>
      <c r="Q46" s="172"/>
      <c r="R46" s="204"/>
    </row>
    <row r="47" spans="1:18" ht="12.75" customHeight="1" x14ac:dyDescent="0.25">
      <c r="A47" s="181"/>
      <c r="B47" s="181"/>
      <c r="C47" s="172"/>
      <c r="D47" s="172"/>
      <c r="E47" s="204"/>
      <c r="F47" s="206"/>
      <c r="G47" s="206"/>
      <c r="H47" s="206"/>
      <c r="I47" s="206"/>
      <c r="J47" s="206"/>
      <c r="K47" s="172"/>
      <c r="L47" s="206"/>
      <c r="M47" s="206"/>
      <c r="N47" s="204"/>
      <c r="O47" s="172"/>
      <c r="P47" s="172"/>
      <c r="Q47" s="172"/>
      <c r="R47" s="204"/>
    </row>
    <row r="48" spans="1:18" ht="12.75" customHeight="1" x14ac:dyDescent="0.25">
      <c r="A48" s="181"/>
      <c r="B48" s="181"/>
      <c r="C48" s="172"/>
      <c r="D48" s="172"/>
      <c r="E48" s="204"/>
      <c r="F48" s="206"/>
      <c r="G48" s="206"/>
      <c r="H48" s="206"/>
      <c r="I48" s="206"/>
      <c r="J48" s="206"/>
      <c r="K48" s="172"/>
      <c r="L48" s="206"/>
      <c r="M48" s="206"/>
      <c r="N48" s="204"/>
      <c r="O48" s="172"/>
      <c r="P48" s="172"/>
      <c r="Q48" s="172"/>
      <c r="R48" s="204"/>
    </row>
    <row r="49" spans="1:18" ht="12.75" customHeight="1" x14ac:dyDescent="0.25">
      <c r="A49" s="181"/>
      <c r="B49" s="181"/>
      <c r="C49" s="172"/>
      <c r="D49" s="172"/>
      <c r="E49" s="204"/>
      <c r="F49" s="206"/>
      <c r="G49" s="206"/>
      <c r="H49" s="206"/>
      <c r="I49" s="206"/>
      <c r="J49" s="206"/>
      <c r="K49" s="172"/>
      <c r="L49" s="206"/>
      <c r="M49" s="206"/>
      <c r="N49" s="204"/>
      <c r="O49" s="172"/>
      <c r="P49" s="172"/>
      <c r="Q49" s="172"/>
      <c r="R49" s="204"/>
    </row>
    <row r="50" spans="1:18" ht="12.75" customHeight="1" x14ac:dyDescent="0.25">
      <c r="A50" s="181"/>
      <c r="B50" s="181"/>
      <c r="C50" s="172"/>
      <c r="D50" s="172"/>
      <c r="E50" s="204"/>
      <c r="F50" s="206"/>
      <c r="G50" s="206"/>
      <c r="H50" s="206"/>
      <c r="I50" s="206"/>
      <c r="J50" s="206"/>
      <c r="K50" s="172"/>
      <c r="L50" s="206"/>
      <c r="M50" s="206"/>
      <c r="N50" s="204"/>
      <c r="O50" s="172"/>
      <c r="P50" s="172"/>
      <c r="Q50" s="172"/>
      <c r="R50" s="204"/>
    </row>
    <row r="51" spans="1:18" ht="12.75" customHeight="1" x14ac:dyDescent="0.25">
      <c r="A51" s="181"/>
      <c r="B51" s="181"/>
      <c r="C51" s="172"/>
      <c r="D51" s="172"/>
      <c r="E51" s="204"/>
      <c r="F51" s="206"/>
      <c r="G51" s="206"/>
      <c r="H51" s="206"/>
      <c r="I51" s="206"/>
      <c r="J51" s="206"/>
      <c r="K51" s="172"/>
      <c r="L51" s="206"/>
      <c r="M51" s="206"/>
      <c r="N51" s="204"/>
      <c r="O51" s="172"/>
      <c r="P51" s="172"/>
      <c r="Q51" s="172"/>
      <c r="R51" s="204"/>
    </row>
    <row r="52" spans="1:18" ht="12.75" customHeight="1" x14ac:dyDescent="0.25">
      <c r="A52" s="181"/>
      <c r="B52" s="181"/>
      <c r="C52" s="172"/>
      <c r="D52" s="172"/>
      <c r="E52" s="204"/>
      <c r="F52" s="206"/>
      <c r="G52" s="206"/>
      <c r="H52" s="206"/>
      <c r="I52" s="206"/>
      <c r="J52" s="206"/>
      <c r="K52" s="172"/>
      <c r="L52" s="206"/>
      <c r="M52" s="206"/>
      <c r="N52" s="204"/>
      <c r="O52" s="172"/>
      <c r="P52" s="172"/>
      <c r="Q52" s="172"/>
      <c r="R52" s="204"/>
    </row>
    <row r="53" spans="1:18" ht="12.75" customHeight="1" x14ac:dyDescent="0.25">
      <c r="A53" s="181"/>
      <c r="B53" s="181"/>
      <c r="C53" s="172"/>
      <c r="D53" s="172"/>
      <c r="E53" s="204"/>
      <c r="F53" s="206"/>
      <c r="G53" s="206"/>
      <c r="H53" s="206"/>
      <c r="I53" s="206"/>
      <c r="J53" s="206"/>
      <c r="K53" s="172"/>
      <c r="L53" s="206"/>
      <c r="M53" s="206"/>
      <c r="N53" s="204"/>
      <c r="O53" s="172"/>
      <c r="P53" s="172"/>
      <c r="Q53" s="172"/>
      <c r="R53" s="204"/>
    </row>
    <row r="54" spans="1:18" ht="12.75" customHeight="1" x14ac:dyDescent="0.25">
      <c r="A54" s="181"/>
      <c r="B54" s="181"/>
      <c r="C54" s="172"/>
      <c r="D54" s="172"/>
      <c r="E54" s="204"/>
      <c r="F54" s="206"/>
      <c r="G54" s="206"/>
      <c r="H54" s="206"/>
      <c r="I54" s="206"/>
      <c r="J54" s="206"/>
      <c r="K54" s="172"/>
      <c r="L54" s="206"/>
      <c r="M54" s="206"/>
      <c r="N54" s="204"/>
      <c r="O54" s="172"/>
      <c r="P54" s="172"/>
      <c r="Q54" s="172"/>
      <c r="R54" s="204"/>
    </row>
    <row r="55" spans="1:18" ht="12.75" customHeight="1" x14ac:dyDescent="0.25">
      <c r="A55" s="181"/>
      <c r="B55" s="181"/>
      <c r="C55" s="172"/>
      <c r="D55" s="172"/>
      <c r="E55" s="204"/>
      <c r="F55" s="206"/>
      <c r="G55" s="206"/>
      <c r="H55" s="206"/>
      <c r="I55" s="206"/>
      <c r="J55" s="206"/>
      <c r="K55" s="172"/>
      <c r="L55" s="206"/>
      <c r="M55" s="206"/>
      <c r="N55" s="204"/>
      <c r="O55" s="172"/>
      <c r="P55" s="172"/>
      <c r="Q55" s="172"/>
      <c r="R55" s="204"/>
    </row>
    <row r="56" spans="1:18" ht="12.75" customHeight="1" x14ac:dyDescent="0.25">
      <c r="A56" s="181"/>
      <c r="B56" s="181"/>
      <c r="C56" s="172"/>
      <c r="D56" s="172"/>
      <c r="E56" s="204"/>
      <c r="F56" s="206"/>
      <c r="G56" s="206"/>
      <c r="H56" s="206"/>
      <c r="I56" s="206"/>
      <c r="J56" s="206"/>
      <c r="K56" s="172"/>
      <c r="L56" s="206"/>
      <c r="M56" s="206"/>
      <c r="N56" s="204"/>
      <c r="O56" s="172"/>
      <c r="P56" s="172"/>
      <c r="Q56" s="172"/>
      <c r="R56" s="204"/>
    </row>
    <row r="57" spans="1:18" ht="12.75" customHeight="1" x14ac:dyDescent="0.25">
      <c r="A57" s="181"/>
      <c r="B57" s="181"/>
      <c r="C57" s="172"/>
      <c r="D57" s="172"/>
      <c r="E57" s="204"/>
      <c r="F57" s="206"/>
      <c r="G57" s="206"/>
      <c r="H57" s="206"/>
      <c r="I57" s="206"/>
      <c r="J57" s="206"/>
      <c r="K57" s="172"/>
      <c r="L57" s="206"/>
      <c r="M57" s="206"/>
      <c r="N57" s="204"/>
      <c r="O57" s="172"/>
      <c r="P57" s="172"/>
      <c r="Q57" s="172"/>
      <c r="R57" s="204"/>
    </row>
    <row r="58" spans="1:18" ht="12.75" customHeight="1" x14ac:dyDescent="0.25">
      <c r="A58" s="181"/>
      <c r="B58" s="181"/>
      <c r="C58" s="172"/>
      <c r="D58" s="172"/>
      <c r="E58" s="204"/>
      <c r="F58" s="206"/>
      <c r="G58" s="206"/>
      <c r="H58" s="206"/>
      <c r="I58" s="206"/>
      <c r="J58" s="206"/>
      <c r="K58" s="172"/>
      <c r="L58" s="206"/>
      <c r="M58" s="206"/>
      <c r="N58" s="204"/>
      <c r="O58" s="172"/>
      <c r="P58" s="172"/>
      <c r="Q58" s="172"/>
      <c r="R58" s="204"/>
    </row>
    <row r="59" spans="1:18" ht="12.75" customHeight="1" x14ac:dyDescent="0.25">
      <c r="A59" s="181"/>
      <c r="B59" s="181"/>
      <c r="C59" s="172"/>
      <c r="D59" s="172"/>
      <c r="E59" s="204"/>
      <c r="F59" s="206"/>
      <c r="G59" s="206"/>
      <c r="H59" s="206"/>
      <c r="I59" s="206"/>
      <c r="J59" s="206"/>
      <c r="K59" s="172"/>
      <c r="L59" s="206"/>
      <c r="M59" s="206"/>
      <c r="N59" s="204"/>
      <c r="O59" s="172"/>
      <c r="P59" s="172"/>
      <c r="Q59" s="172"/>
      <c r="R59" s="204"/>
    </row>
    <row r="60" spans="1:18" ht="12.75" customHeight="1" x14ac:dyDescent="0.25">
      <c r="A60" s="181"/>
      <c r="B60" s="181"/>
      <c r="C60" s="172"/>
      <c r="D60" s="172"/>
      <c r="E60" s="204"/>
      <c r="F60" s="206"/>
      <c r="G60" s="206"/>
      <c r="H60" s="206"/>
      <c r="I60" s="206"/>
      <c r="J60" s="206"/>
      <c r="K60" s="172"/>
      <c r="L60" s="206"/>
      <c r="M60" s="206"/>
      <c r="N60" s="204"/>
      <c r="O60" s="172"/>
      <c r="P60" s="172"/>
      <c r="Q60" s="172"/>
      <c r="R60" s="204"/>
    </row>
    <row r="61" spans="1:18" ht="12.75" customHeight="1" x14ac:dyDescent="0.25">
      <c r="A61" s="181"/>
      <c r="B61" s="181"/>
      <c r="C61" s="172"/>
      <c r="D61" s="172"/>
      <c r="E61" s="204"/>
      <c r="F61" s="206"/>
      <c r="G61" s="206"/>
      <c r="H61" s="206"/>
      <c r="I61" s="206"/>
      <c r="J61" s="206"/>
      <c r="K61" s="172"/>
      <c r="L61" s="206"/>
      <c r="M61" s="206"/>
      <c r="N61" s="204"/>
      <c r="O61" s="172"/>
      <c r="P61" s="172"/>
      <c r="Q61" s="172"/>
      <c r="R61" s="204"/>
    </row>
    <row r="62" spans="1:18" ht="12.75" customHeight="1" x14ac:dyDescent="0.25">
      <c r="A62" s="181"/>
      <c r="B62" s="181"/>
      <c r="C62" s="172"/>
      <c r="D62" s="172"/>
      <c r="E62" s="204"/>
      <c r="F62" s="206"/>
      <c r="G62" s="206"/>
      <c r="H62" s="206"/>
      <c r="I62" s="206"/>
      <c r="J62" s="206"/>
      <c r="K62" s="172"/>
      <c r="L62" s="206"/>
      <c r="M62" s="206"/>
      <c r="N62" s="204"/>
      <c r="O62" s="172"/>
      <c r="P62" s="172"/>
      <c r="Q62" s="172"/>
      <c r="R62" s="204"/>
    </row>
    <row r="63" spans="1:18" ht="12.75" customHeight="1" x14ac:dyDescent="0.25">
      <c r="A63" s="181"/>
      <c r="B63" s="181"/>
      <c r="C63" s="172"/>
      <c r="D63" s="172"/>
      <c r="E63" s="204"/>
      <c r="F63" s="206"/>
      <c r="G63" s="206"/>
      <c r="H63" s="206"/>
      <c r="I63" s="206"/>
      <c r="J63" s="206"/>
      <c r="K63" s="172"/>
      <c r="L63" s="206"/>
      <c r="M63" s="206"/>
      <c r="N63" s="204"/>
      <c r="O63" s="172"/>
      <c r="P63" s="172"/>
      <c r="Q63" s="172"/>
      <c r="R63" s="204"/>
    </row>
    <row r="64" spans="1:18" ht="12.75" customHeight="1" x14ac:dyDescent="0.25">
      <c r="A64" s="181"/>
      <c r="B64" s="181"/>
      <c r="C64" s="172"/>
      <c r="D64" s="172"/>
      <c r="E64" s="204"/>
      <c r="F64" s="206"/>
      <c r="G64" s="206"/>
      <c r="H64" s="206"/>
      <c r="I64" s="206"/>
      <c r="J64" s="206"/>
      <c r="K64" s="172"/>
      <c r="L64" s="206"/>
      <c r="M64" s="206"/>
      <c r="N64" s="204"/>
      <c r="O64" s="172"/>
      <c r="P64" s="172"/>
      <c r="Q64" s="172"/>
      <c r="R64" s="204"/>
    </row>
    <row r="65" spans="1:18" ht="12.75" customHeight="1" x14ac:dyDescent="0.25">
      <c r="A65" s="181"/>
      <c r="B65" s="181"/>
      <c r="C65" s="172"/>
      <c r="D65" s="172"/>
      <c r="E65" s="204"/>
      <c r="F65" s="206"/>
      <c r="G65" s="206"/>
      <c r="H65" s="206"/>
      <c r="I65" s="206"/>
      <c r="J65" s="206"/>
      <c r="K65" s="172"/>
      <c r="L65" s="206"/>
      <c r="M65" s="206"/>
      <c r="N65" s="204"/>
      <c r="O65" s="172"/>
      <c r="P65" s="172"/>
      <c r="Q65" s="172"/>
      <c r="R65" s="204"/>
    </row>
    <row r="66" spans="1:18" ht="12.75" customHeight="1" x14ac:dyDescent="0.25">
      <c r="A66" s="181"/>
      <c r="B66" s="181"/>
      <c r="C66" s="172"/>
      <c r="D66" s="172"/>
      <c r="E66" s="204"/>
      <c r="F66" s="206"/>
      <c r="G66" s="206"/>
      <c r="H66" s="206"/>
      <c r="I66" s="206"/>
      <c r="J66" s="206"/>
      <c r="K66" s="172"/>
      <c r="L66" s="206"/>
      <c r="M66" s="206"/>
      <c r="N66" s="204"/>
      <c r="O66" s="172"/>
      <c r="P66" s="172"/>
      <c r="Q66" s="172"/>
      <c r="R66" s="204"/>
    </row>
    <row r="67" spans="1:18" ht="12.75" customHeight="1" x14ac:dyDescent="0.25">
      <c r="A67" s="181"/>
      <c r="B67" s="181"/>
      <c r="C67" s="172"/>
      <c r="D67" s="172"/>
      <c r="E67" s="204"/>
      <c r="F67" s="206"/>
      <c r="G67" s="206"/>
      <c r="H67" s="206"/>
      <c r="I67" s="206"/>
      <c r="J67" s="206"/>
      <c r="K67" s="172"/>
      <c r="L67" s="206"/>
      <c r="M67" s="206"/>
      <c r="N67" s="204"/>
      <c r="O67" s="172"/>
      <c r="P67" s="172"/>
      <c r="Q67" s="172"/>
      <c r="R67" s="204"/>
    </row>
    <row r="68" spans="1:18" ht="12.75" customHeight="1" x14ac:dyDescent="0.25">
      <c r="A68" s="181"/>
      <c r="B68" s="181"/>
      <c r="C68" s="172"/>
      <c r="D68" s="172"/>
      <c r="E68" s="204"/>
      <c r="F68" s="206"/>
      <c r="G68" s="206"/>
      <c r="H68" s="206"/>
      <c r="I68" s="206"/>
      <c r="J68" s="206"/>
      <c r="K68" s="172"/>
      <c r="L68" s="206"/>
      <c r="M68" s="206"/>
      <c r="N68" s="204"/>
      <c r="O68" s="172"/>
      <c r="P68" s="172"/>
      <c r="Q68" s="172"/>
      <c r="R68" s="204"/>
    </row>
    <row r="69" spans="1:18" ht="12.75" customHeight="1" x14ac:dyDescent="0.25">
      <c r="A69" s="181"/>
      <c r="B69" s="181"/>
      <c r="C69" s="172"/>
      <c r="D69" s="172"/>
      <c r="E69" s="204"/>
      <c r="F69" s="206"/>
      <c r="G69" s="206"/>
      <c r="H69" s="206"/>
      <c r="I69" s="206"/>
      <c r="J69" s="206"/>
      <c r="K69" s="172"/>
      <c r="L69" s="206"/>
      <c r="M69" s="206"/>
      <c r="N69" s="204"/>
      <c r="O69" s="172"/>
      <c r="P69" s="172"/>
      <c r="Q69" s="172"/>
      <c r="R69" s="204"/>
    </row>
    <row r="70" spans="1:18" ht="12.75" customHeight="1" x14ac:dyDescent="0.25">
      <c r="A70" s="181"/>
      <c r="B70" s="181"/>
      <c r="C70" s="172"/>
      <c r="D70" s="172"/>
      <c r="E70" s="204"/>
      <c r="F70" s="206"/>
      <c r="G70" s="206"/>
      <c r="H70" s="206"/>
      <c r="I70" s="206"/>
      <c r="J70" s="206"/>
      <c r="K70" s="172"/>
      <c r="L70" s="206"/>
      <c r="M70" s="206"/>
      <c r="N70" s="204"/>
      <c r="O70" s="172"/>
      <c r="P70" s="172"/>
      <c r="Q70" s="172"/>
      <c r="R70" s="204"/>
    </row>
    <row r="71" spans="1:18" ht="12.75" customHeight="1" x14ac:dyDescent="0.25">
      <c r="A71" s="181"/>
      <c r="B71" s="181"/>
      <c r="C71" s="172"/>
      <c r="D71" s="172"/>
      <c r="E71" s="204"/>
      <c r="F71" s="206"/>
      <c r="G71" s="206"/>
      <c r="H71" s="206"/>
      <c r="I71" s="206"/>
      <c r="J71" s="206"/>
      <c r="K71" s="172"/>
      <c r="L71" s="206"/>
      <c r="M71" s="206"/>
      <c r="N71" s="204"/>
      <c r="O71" s="172"/>
      <c r="P71" s="172"/>
      <c r="Q71" s="172"/>
      <c r="R71" s="204"/>
    </row>
    <row r="72" spans="1:18" ht="12.75" customHeight="1" x14ac:dyDescent="0.25">
      <c r="A72" s="181"/>
      <c r="B72" s="181"/>
      <c r="C72" s="172"/>
      <c r="D72" s="172"/>
      <c r="E72" s="204"/>
      <c r="F72" s="206"/>
      <c r="G72" s="206"/>
      <c r="H72" s="206"/>
      <c r="I72" s="206"/>
      <c r="J72" s="206"/>
      <c r="K72" s="172"/>
      <c r="L72" s="206"/>
      <c r="M72" s="206"/>
      <c r="N72" s="204"/>
      <c r="O72" s="172"/>
      <c r="P72" s="172"/>
      <c r="Q72" s="172"/>
      <c r="R72" s="204"/>
    </row>
    <row r="73" spans="1:18" ht="12.75" customHeight="1" x14ac:dyDescent="0.25">
      <c r="A73" s="181"/>
      <c r="B73" s="181"/>
      <c r="C73" s="172"/>
      <c r="D73" s="172"/>
      <c r="E73" s="204"/>
      <c r="F73" s="206"/>
      <c r="G73" s="206"/>
      <c r="H73" s="206"/>
      <c r="I73" s="206"/>
      <c r="J73" s="206"/>
      <c r="K73" s="172"/>
      <c r="L73" s="206"/>
      <c r="M73" s="206"/>
      <c r="N73" s="204"/>
      <c r="O73" s="172"/>
      <c r="P73" s="172"/>
      <c r="Q73" s="172"/>
      <c r="R73" s="204"/>
    </row>
    <row r="74" spans="1:18" ht="12.75" customHeight="1" x14ac:dyDescent="0.25">
      <c r="A74" s="181"/>
      <c r="B74" s="181"/>
      <c r="C74" s="172"/>
      <c r="D74" s="172"/>
      <c r="E74" s="204"/>
      <c r="F74" s="206"/>
      <c r="G74" s="206"/>
      <c r="H74" s="206"/>
      <c r="I74" s="206"/>
      <c r="J74" s="206"/>
      <c r="K74" s="172"/>
      <c r="L74" s="206"/>
      <c r="M74" s="206"/>
      <c r="N74" s="204"/>
      <c r="O74" s="172"/>
      <c r="P74" s="172"/>
      <c r="Q74" s="172"/>
      <c r="R74" s="204"/>
    </row>
    <row r="75" spans="1:18" ht="12.75" customHeight="1" x14ac:dyDescent="0.25">
      <c r="A75" s="181"/>
      <c r="B75" s="181"/>
      <c r="C75" s="172"/>
      <c r="D75" s="172"/>
      <c r="E75" s="204"/>
      <c r="F75" s="206"/>
      <c r="G75" s="206"/>
      <c r="H75" s="206"/>
      <c r="I75" s="206"/>
      <c r="J75" s="206"/>
      <c r="K75" s="172"/>
      <c r="L75" s="206"/>
      <c r="M75" s="206"/>
      <c r="N75" s="204"/>
      <c r="O75" s="172"/>
      <c r="P75" s="172"/>
      <c r="Q75" s="172"/>
      <c r="R75" s="204"/>
    </row>
    <row r="76" spans="1:18" ht="12.75" customHeight="1" x14ac:dyDescent="0.25">
      <c r="A76" s="181"/>
      <c r="B76" s="181"/>
      <c r="C76" s="172"/>
      <c r="D76" s="172"/>
      <c r="E76" s="204"/>
      <c r="F76" s="206"/>
      <c r="G76" s="206"/>
      <c r="H76" s="206"/>
      <c r="I76" s="206"/>
      <c r="J76" s="206"/>
      <c r="K76" s="172"/>
      <c r="L76" s="206"/>
      <c r="M76" s="206"/>
      <c r="N76" s="204"/>
      <c r="O76" s="172"/>
      <c r="P76" s="172"/>
      <c r="Q76" s="172"/>
      <c r="R76" s="204"/>
    </row>
    <row r="77" spans="1:18" ht="12.75" customHeight="1" x14ac:dyDescent="0.25">
      <c r="A77" s="181"/>
      <c r="B77" s="181"/>
      <c r="C77" s="172"/>
      <c r="D77" s="172"/>
      <c r="E77" s="204"/>
      <c r="F77" s="206"/>
      <c r="G77" s="206"/>
      <c r="H77" s="206"/>
      <c r="I77" s="206"/>
      <c r="J77" s="206"/>
      <c r="K77" s="172"/>
      <c r="L77" s="206"/>
      <c r="M77" s="206"/>
      <c r="N77" s="204"/>
      <c r="O77" s="172"/>
      <c r="P77" s="172"/>
      <c r="Q77" s="172"/>
      <c r="R77" s="204"/>
    </row>
    <row r="78" spans="1:18" ht="12.75" customHeight="1" x14ac:dyDescent="0.25">
      <c r="A78" s="181"/>
      <c r="B78" s="181"/>
      <c r="C78" s="172"/>
      <c r="D78" s="172"/>
      <c r="E78" s="204"/>
      <c r="F78" s="206"/>
      <c r="G78" s="206"/>
      <c r="H78" s="206"/>
      <c r="I78" s="206"/>
      <c r="J78" s="206"/>
      <c r="K78" s="172"/>
      <c r="L78" s="206"/>
      <c r="M78" s="206"/>
      <c r="N78" s="204"/>
      <c r="O78" s="172"/>
      <c r="P78" s="172"/>
      <c r="Q78" s="172"/>
      <c r="R78" s="204"/>
    </row>
    <row r="79" spans="1:18" ht="12.75" customHeight="1" x14ac:dyDescent="0.25">
      <c r="A79" s="181"/>
      <c r="B79" s="181"/>
      <c r="C79" s="172"/>
      <c r="D79" s="172"/>
      <c r="E79" s="204"/>
      <c r="F79" s="206"/>
      <c r="G79" s="206"/>
      <c r="H79" s="206"/>
      <c r="I79" s="206"/>
      <c r="J79" s="206"/>
      <c r="K79" s="172"/>
      <c r="L79" s="206"/>
      <c r="M79" s="206"/>
      <c r="N79" s="204"/>
      <c r="O79" s="172"/>
      <c r="P79" s="172"/>
      <c r="Q79" s="172"/>
      <c r="R79" s="204"/>
    </row>
    <row r="80" spans="1:18" ht="12.75" customHeight="1" x14ac:dyDescent="0.25">
      <c r="A80" s="181"/>
      <c r="B80" s="181"/>
      <c r="C80" s="172"/>
      <c r="D80" s="172"/>
      <c r="E80" s="204"/>
      <c r="F80" s="206"/>
      <c r="G80" s="206"/>
      <c r="H80" s="206"/>
      <c r="I80" s="206"/>
      <c r="J80" s="206"/>
      <c r="K80" s="172"/>
      <c r="L80" s="206"/>
      <c r="M80" s="206"/>
      <c r="N80" s="204"/>
      <c r="O80" s="172"/>
      <c r="P80" s="172"/>
      <c r="Q80" s="172"/>
      <c r="R80" s="204"/>
    </row>
    <row r="81" spans="1:18" ht="12.75" customHeight="1" x14ac:dyDescent="0.25">
      <c r="A81" s="181"/>
      <c r="B81" s="181"/>
      <c r="C81" s="172"/>
      <c r="D81" s="172"/>
      <c r="E81" s="204"/>
      <c r="F81" s="206"/>
      <c r="G81" s="206"/>
      <c r="H81" s="206"/>
      <c r="I81" s="206"/>
      <c r="J81" s="206"/>
      <c r="K81" s="172"/>
      <c r="L81" s="206"/>
      <c r="M81" s="206"/>
      <c r="N81" s="204"/>
      <c r="O81" s="172"/>
      <c r="P81" s="172"/>
      <c r="Q81" s="172"/>
      <c r="R81" s="204"/>
    </row>
    <row r="82" spans="1:18" ht="12.75" customHeight="1" x14ac:dyDescent="0.25">
      <c r="A82" s="181"/>
      <c r="B82" s="181"/>
      <c r="C82" s="172"/>
      <c r="D82" s="172"/>
      <c r="E82" s="204"/>
      <c r="F82" s="206"/>
      <c r="G82" s="206"/>
      <c r="H82" s="206"/>
      <c r="I82" s="206"/>
      <c r="J82" s="206"/>
      <c r="K82" s="172"/>
      <c r="L82" s="206"/>
      <c r="M82" s="206"/>
      <c r="N82" s="204"/>
      <c r="O82" s="172"/>
      <c r="P82" s="172"/>
      <c r="Q82" s="172"/>
      <c r="R82" s="204"/>
    </row>
    <row r="83" spans="1:18" ht="12.75" customHeight="1" x14ac:dyDescent="0.25">
      <c r="A83" s="181"/>
      <c r="B83" s="181"/>
      <c r="C83" s="172"/>
      <c r="D83" s="172"/>
      <c r="E83" s="204"/>
      <c r="F83" s="206"/>
      <c r="G83" s="206"/>
      <c r="H83" s="206"/>
      <c r="I83" s="206"/>
      <c r="J83" s="206"/>
      <c r="K83" s="172"/>
      <c r="L83" s="206"/>
      <c r="M83" s="206"/>
      <c r="N83" s="204"/>
      <c r="O83" s="172"/>
      <c r="P83" s="172"/>
      <c r="Q83" s="172"/>
      <c r="R83" s="204"/>
    </row>
    <row r="84" spans="1:18" ht="12.75" customHeight="1" x14ac:dyDescent="0.25">
      <c r="A84" s="181"/>
      <c r="B84" s="181"/>
      <c r="C84" s="172"/>
      <c r="D84" s="172"/>
      <c r="E84" s="204"/>
      <c r="F84" s="206"/>
      <c r="G84" s="206"/>
      <c r="H84" s="206"/>
      <c r="I84" s="206"/>
      <c r="J84" s="206"/>
      <c r="K84" s="172"/>
      <c r="L84" s="206"/>
      <c r="M84" s="206"/>
      <c r="N84" s="204"/>
      <c r="O84" s="172"/>
      <c r="P84" s="172"/>
      <c r="Q84" s="172"/>
      <c r="R84" s="204"/>
    </row>
    <row r="85" spans="1:18" ht="12.75" customHeight="1" x14ac:dyDescent="0.25">
      <c r="A85" s="181"/>
      <c r="B85" s="181"/>
      <c r="C85" s="172"/>
      <c r="D85" s="172"/>
      <c r="E85" s="204"/>
      <c r="F85" s="206"/>
      <c r="G85" s="206"/>
      <c r="H85" s="206"/>
      <c r="I85" s="206"/>
      <c r="J85" s="206"/>
      <c r="K85" s="172"/>
      <c r="L85" s="206"/>
      <c r="M85" s="206"/>
      <c r="N85" s="204"/>
      <c r="O85" s="172"/>
      <c r="P85" s="172"/>
      <c r="Q85" s="172"/>
      <c r="R85" s="204"/>
    </row>
    <row r="86" spans="1:18" ht="12.75" customHeight="1" x14ac:dyDescent="0.25">
      <c r="A86" s="181"/>
      <c r="B86" s="181"/>
      <c r="C86" s="172"/>
      <c r="D86" s="172"/>
      <c r="E86" s="204"/>
      <c r="F86" s="206"/>
      <c r="G86" s="206"/>
      <c r="H86" s="206"/>
      <c r="I86" s="206"/>
      <c r="J86" s="206"/>
      <c r="K86" s="172"/>
      <c r="L86" s="206"/>
      <c r="M86" s="206"/>
      <c r="N86" s="204"/>
      <c r="O86" s="172"/>
      <c r="P86" s="172"/>
      <c r="Q86" s="172"/>
      <c r="R86" s="204"/>
    </row>
    <row r="87" spans="1:18" ht="12.75" customHeight="1" x14ac:dyDescent="0.25">
      <c r="A87" s="181"/>
      <c r="B87" s="181"/>
      <c r="C87" s="172"/>
      <c r="D87" s="172"/>
      <c r="E87" s="204"/>
      <c r="F87" s="206"/>
      <c r="G87" s="206"/>
      <c r="H87" s="206"/>
      <c r="I87" s="206"/>
      <c r="J87" s="206"/>
      <c r="K87" s="172"/>
      <c r="L87" s="206"/>
      <c r="M87" s="206"/>
      <c r="N87" s="204"/>
      <c r="O87" s="172"/>
      <c r="P87" s="172"/>
      <c r="Q87" s="172"/>
      <c r="R87" s="204"/>
    </row>
    <row r="88" spans="1:18" ht="12.75" customHeight="1" x14ac:dyDescent="0.25">
      <c r="A88" s="181"/>
      <c r="B88" s="181"/>
      <c r="C88" s="172"/>
      <c r="D88" s="172"/>
      <c r="E88" s="204"/>
      <c r="F88" s="206"/>
      <c r="G88" s="206"/>
      <c r="H88" s="206"/>
      <c r="I88" s="206"/>
      <c r="J88" s="206"/>
      <c r="K88" s="172"/>
      <c r="L88" s="206"/>
      <c r="M88" s="206"/>
      <c r="N88" s="204"/>
      <c r="O88" s="172"/>
      <c r="P88" s="172"/>
      <c r="Q88" s="172"/>
      <c r="R88" s="204"/>
    </row>
    <row r="89" spans="1:18" ht="12.75" customHeight="1" x14ac:dyDescent="0.25">
      <c r="A89" s="181"/>
      <c r="B89" s="181"/>
      <c r="C89" s="172"/>
      <c r="D89" s="172"/>
      <c r="E89" s="204"/>
      <c r="F89" s="206"/>
      <c r="G89" s="206"/>
      <c r="H89" s="206"/>
      <c r="I89" s="206"/>
      <c r="J89" s="206"/>
      <c r="K89" s="172"/>
      <c r="L89" s="206"/>
      <c r="M89" s="206"/>
      <c r="N89" s="204"/>
      <c r="O89" s="172"/>
      <c r="P89" s="172"/>
      <c r="Q89" s="172"/>
      <c r="R89" s="204"/>
    </row>
    <row r="90" spans="1:18" ht="12.75" customHeight="1" x14ac:dyDescent="0.25">
      <c r="A90" s="181"/>
      <c r="B90" s="181"/>
      <c r="C90" s="172"/>
      <c r="D90" s="172"/>
      <c r="E90" s="204"/>
      <c r="F90" s="206"/>
      <c r="G90" s="206"/>
      <c r="H90" s="206"/>
      <c r="I90" s="206"/>
      <c r="J90" s="206"/>
      <c r="K90" s="172"/>
      <c r="L90" s="206"/>
      <c r="M90" s="206"/>
      <c r="N90" s="204"/>
      <c r="O90" s="172"/>
      <c r="P90" s="172"/>
      <c r="Q90" s="172"/>
      <c r="R90" s="204"/>
    </row>
    <row r="91" spans="1:18" ht="12.75" customHeight="1" x14ac:dyDescent="0.25">
      <c r="A91" s="181"/>
      <c r="B91" s="181"/>
      <c r="C91" s="172"/>
      <c r="D91" s="172"/>
      <c r="E91" s="204"/>
      <c r="F91" s="206"/>
      <c r="G91" s="206"/>
      <c r="H91" s="206"/>
      <c r="I91" s="206"/>
      <c r="J91" s="206"/>
      <c r="K91" s="172"/>
      <c r="L91" s="206"/>
      <c r="M91" s="206"/>
      <c r="N91" s="204"/>
      <c r="O91" s="172"/>
      <c r="P91" s="172"/>
      <c r="Q91" s="172"/>
      <c r="R91" s="204"/>
    </row>
    <row r="92" spans="1:18" ht="12.75" customHeight="1" x14ac:dyDescent="0.25">
      <c r="A92" s="181"/>
      <c r="B92" s="181"/>
      <c r="C92" s="172"/>
      <c r="D92" s="172"/>
      <c r="E92" s="204"/>
      <c r="F92" s="206"/>
      <c r="G92" s="206"/>
      <c r="H92" s="206"/>
      <c r="I92" s="206"/>
      <c r="J92" s="206"/>
      <c r="K92" s="172"/>
      <c r="L92" s="206"/>
      <c r="M92" s="206"/>
      <c r="N92" s="204"/>
      <c r="O92" s="172"/>
      <c r="P92" s="172"/>
      <c r="Q92" s="172"/>
      <c r="R92" s="204"/>
    </row>
    <row r="93" spans="1:18" ht="12.75" customHeight="1" x14ac:dyDescent="0.25">
      <c r="A93" s="181"/>
      <c r="B93" s="181"/>
      <c r="C93" s="172"/>
      <c r="D93" s="172"/>
      <c r="E93" s="204"/>
      <c r="F93" s="206"/>
      <c r="G93" s="206"/>
      <c r="H93" s="206"/>
      <c r="I93" s="206"/>
      <c r="J93" s="206"/>
      <c r="K93" s="172"/>
      <c r="L93" s="206"/>
      <c r="M93" s="206"/>
      <c r="N93" s="204"/>
      <c r="O93" s="172"/>
      <c r="P93" s="172"/>
      <c r="Q93" s="172"/>
      <c r="R93" s="204"/>
    </row>
    <row r="94" spans="1:18" ht="12.75" customHeight="1" x14ac:dyDescent="0.25">
      <c r="A94" s="181"/>
      <c r="B94" s="181"/>
      <c r="C94" s="172"/>
      <c r="D94" s="172"/>
      <c r="E94" s="204"/>
      <c r="F94" s="206"/>
      <c r="G94" s="206"/>
      <c r="H94" s="206"/>
      <c r="I94" s="206"/>
      <c r="J94" s="206"/>
      <c r="K94" s="172"/>
      <c r="L94" s="206"/>
      <c r="M94" s="206"/>
      <c r="N94" s="204"/>
      <c r="O94" s="172"/>
      <c r="P94" s="172"/>
      <c r="Q94" s="172"/>
      <c r="R94" s="204"/>
    </row>
    <row r="95" spans="1:18" ht="12.75" customHeight="1" x14ac:dyDescent="0.25">
      <c r="A95" s="181"/>
      <c r="B95" s="181"/>
      <c r="C95" s="172"/>
      <c r="D95" s="172"/>
      <c r="E95" s="204"/>
      <c r="F95" s="206"/>
      <c r="G95" s="206"/>
      <c r="H95" s="206"/>
      <c r="I95" s="206"/>
      <c r="J95" s="206"/>
      <c r="K95" s="172"/>
      <c r="L95" s="206"/>
      <c r="M95" s="206"/>
      <c r="N95" s="204"/>
      <c r="O95" s="172"/>
      <c r="P95" s="172"/>
      <c r="Q95" s="172"/>
      <c r="R95" s="204"/>
    </row>
    <row r="96" spans="1:18" ht="12.75" customHeight="1" x14ac:dyDescent="0.25">
      <c r="A96" s="181"/>
      <c r="B96" s="181"/>
      <c r="C96" s="172"/>
      <c r="D96" s="172"/>
      <c r="E96" s="204"/>
      <c r="F96" s="206"/>
      <c r="G96" s="206"/>
      <c r="H96" s="206"/>
      <c r="I96" s="206"/>
      <c r="J96" s="206"/>
      <c r="K96" s="172"/>
      <c r="L96" s="206"/>
      <c r="M96" s="206"/>
      <c r="N96" s="204"/>
      <c r="O96" s="172"/>
      <c r="P96" s="172"/>
      <c r="Q96" s="172"/>
      <c r="R96" s="204"/>
    </row>
    <row r="97" spans="1:18" ht="12.75" customHeight="1" x14ac:dyDescent="0.25">
      <c r="A97" s="181"/>
      <c r="B97" s="181"/>
      <c r="C97" s="172"/>
      <c r="D97" s="172"/>
      <c r="E97" s="204"/>
      <c r="F97" s="206"/>
      <c r="G97" s="206"/>
      <c r="H97" s="206"/>
      <c r="I97" s="206"/>
      <c r="J97" s="206"/>
      <c r="K97" s="172"/>
      <c r="L97" s="206"/>
      <c r="M97" s="206"/>
      <c r="N97" s="204"/>
      <c r="O97" s="172"/>
      <c r="P97" s="172"/>
      <c r="Q97" s="172"/>
      <c r="R97" s="204"/>
    </row>
    <row r="98" spans="1:18" ht="12.75" customHeight="1" x14ac:dyDescent="0.25">
      <c r="A98" s="181"/>
      <c r="B98" s="181"/>
      <c r="C98" s="172"/>
      <c r="D98" s="172"/>
      <c r="E98" s="204"/>
      <c r="F98" s="206"/>
      <c r="G98" s="206"/>
      <c r="H98" s="206"/>
      <c r="I98" s="206"/>
      <c r="J98" s="206"/>
      <c r="K98" s="172"/>
      <c r="L98" s="206"/>
      <c r="M98" s="206"/>
      <c r="N98" s="204"/>
      <c r="O98" s="172"/>
      <c r="P98" s="172"/>
      <c r="Q98" s="172"/>
      <c r="R98" s="204"/>
    </row>
    <row r="99" spans="1:18" ht="12.75" customHeight="1" x14ac:dyDescent="0.25">
      <c r="A99" s="181"/>
      <c r="B99" s="181"/>
      <c r="C99" s="172"/>
      <c r="D99" s="172"/>
      <c r="E99" s="204"/>
      <c r="F99" s="206"/>
      <c r="G99" s="206"/>
      <c r="H99" s="206"/>
      <c r="I99" s="206"/>
      <c r="J99" s="206"/>
      <c r="K99" s="172"/>
      <c r="L99" s="206"/>
      <c r="M99" s="206"/>
      <c r="N99" s="204"/>
      <c r="O99" s="172"/>
      <c r="P99" s="172"/>
      <c r="Q99" s="172"/>
      <c r="R99" s="204"/>
    </row>
    <row r="100" spans="1:18" ht="12.75" customHeight="1" x14ac:dyDescent="0.25">
      <c r="A100" s="181"/>
      <c r="B100" s="181"/>
      <c r="C100" s="172"/>
      <c r="D100" s="172"/>
      <c r="E100" s="204"/>
      <c r="F100" s="206"/>
      <c r="G100" s="206"/>
      <c r="H100" s="206"/>
      <c r="I100" s="206"/>
      <c r="J100" s="206"/>
      <c r="K100" s="172"/>
      <c r="L100" s="206"/>
      <c r="M100" s="206"/>
      <c r="N100" s="204"/>
      <c r="O100" s="172"/>
      <c r="P100" s="172"/>
      <c r="Q100" s="172"/>
      <c r="R100" s="204"/>
    </row>
    <row r="101" spans="1:18" ht="12.75" customHeight="1" x14ac:dyDescent="0.25">
      <c r="A101" s="181"/>
      <c r="B101" s="181"/>
      <c r="C101" s="172"/>
      <c r="D101" s="172"/>
      <c r="E101" s="204"/>
      <c r="F101" s="206"/>
      <c r="G101" s="206"/>
      <c r="H101" s="206"/>
      <c r="I101" s="206"/>
      <c r="J101" s="206"/>
      <c r="K101" s="172"/>
      <c r="L101" s="206"/>
      <c r="M101" s="206"/>
      <c r="N101" s="204"/>
      <c r="O101" s="172"/>
      <c r="P101" s="172"/>
      <c r="Q101" s="172"/>
      <c r="R101" s="204"/>
    </row>
    <row r="102" spans="1:18" ht="12.75" customHeight="1" x14ac:dyDescent="0.25">
      <c r="A102" s="181"/>
      <c r="B102" s="181"/>
      <c r="C102" s="172"/>
      <c r="D102" s="172"/>
      <c r="E102" s="204"/>
      <c r="F102" s="206"/>
      <c r="G102" s="206"/>
      <c r="H102" s="206"/>
      <c r="I102" s="206"/>
      <c r="J102" s="206"/>
      <c r="K102" s="172"/>
      <c r="L102" s="206"/>
      <c r="M102" s="206"/>
      <c r="N102" s="204"/>
      <c r="O102" s="172"/>
      <c r="P102" s="172"/>
      <c r="Q102" s="172"/>
      <c r="R102" s="204"/>
    </row>
    <row r="103" spans="1:18" ht="12.75" customHeight="1" x14ac:dyDescent="0.25">
      <c r="A103" s="181"/>
      <c r="B103" s="181"/>
      <c r="C103" s="172"/>
      <c r="D103" s="172"/>
      <c r="E103" s="204"/>
      <c r="F103" s="206"/>
      <c r="G103" s="206"/>
      <c r="H103" s="206"/>
      <c r="I103" s="206"/>
      <c r="J103" s="206"/>
      <c r="K103" s="172"/>
      <c r="L103" s="206"/>
      <c r="M103" s="206"/>
      <c r="N103" s="204"/>
      <c r="O103" s="172"/>
      <c r="P103" s="172"/>
      <c r="Q103" s="172"/>
      <c r="R103" s="204"/>
    </row>
    <row r="104" spans="1:18" ht="12.75" customHeight="1" x14ac:dyDescent="0.25">
      <c r="A104" s="181"/>
      <c r="B104" s="181"/>
      <c r="C104" s="172"/>
      <c r="D104" s="172"/>
      <c r="E104" s="204"/>
      <c r="F104" s="206"/>
      <c r="G104" s="206"/>
      <c r="H104" s="206"/>
      <c r="I104" s="206"/>
      <c r="J104" s="206"/>
      <c r="K104" s="172"/>
      <c r="L104" s="206"/>
      <c r="M104" s="206"/>
      <c r="N104" s="204"/>
      <c r="O104" s="172"/>
      <c r="P104" s="172"/>
      <c r="Q104" s="172"/>
      <c r="R104" s="204"/>
    </row>
    <row r="105" spans="1:18" ht="12.75" customHeight="1" x14ac:dyDescent="0.25">
      <c r="A105" s="181"/>
      <c r="B105" s="181"/>
      <c r="C105" s="172"/>
      <c r="D105" s="172"/>
      <c r="E105" s="204"/>
      <c r="F105" s="206"/>
      <c r="G105" s="206"/>
      <c r="H105" s="206"/>
      <c r="I105" s="206"/>
      <c r="J105" s="206"/>
      <c r="K105" s="172"/>
      <c r="L105" s="206"/>
      <c r="M105" s="206"/>
      <c r="N105" s="204"/>
      <c r="O105" s="172"/>
      <c r="P105" s="172"/>
      <c r="Q105" s="172"/>
      <c r="R105" s="204"/>
    </row>
    <row r="106" spans="1:18" ht="12.75" customHeight="1" x14ac:dyDescent="0.25">
      <c r="A106" s="181"/>
      <c r="B106" s="181"/>
      <c r="C106" s="172"/>
      <c r="D106" s="172"/>
      <c r="E106" s="204"/>
      <c r="F106" s="206"/>
      <c r="G106" s="206"/>
      <c r="H106" s="206"/>
      <c r="I106" s="206"/>
      <c r="J106" s="206"/>
      <c r="K106" s="172"/>
      <c r="L106" s="206"/>
      <c r="M106" s="206"/>
      <c r="N106" s="204"/>
      <c r="O106" s="172"/>
      <c r="P106" s="172"/>
      <c r="Q106" s="172"/>
      <c r="R106" s="204"/>
    </row>
    <row r="107" spans="1:18" ht="12.75" customHeight="1" x14ac:dyDescent="0.25">
      <c r="A107" s="181"/>
      <c r="B107" s="181"/>
      <c r="C107" s="172"/>
      <c r="D107" s="172"/>
      <c r="E107" s="204"/>
      <c r="F107" s="206"/>
      <c r="G107" s="206"/>
      <c r="H107" s="206"/>
      <c r="I107" s="206"/>
      <c r="J107" s="206"/>
      <c r="K107" s="172"/>
      <c r="L107" s="206"/>
      <c r="M107" s="206"/>
      <c r="N107" s="204"/>
      <c r="O107" s="172"/>
      <c r="P107" s="172"/>
      <c r="Q107" s="172"/>
      <c r="R107" s="204"/>
    </row>
    <row r="108" spans="1:18" ht="12.75" customHeight="1" x14ac:dyDescent="0.25">
      <c r="A108" s="181"/>
      <c r="B108" s="181"/>
      <c r="C108" s="172"/>
      <c r="D108" s="172"/>
      <c r="E108" s="204"/>
      <c r="F108" s="206"/>
      <c r="G108" s="206"/>
      <c r="H108" s="206"/>
      <c r="I108" s="206"/>
      <c r="J108" s="206"/>
      <c r="K108" s="172"/>
      <c r="L108" s="206"/>
      <c r="M108" s="206"/>
      <c r="N108" s="204"/>
      <c r="O108" s="172"/>
      <c r="P108" s="172"/>
      <c r="Q108" s="172"/>
      <c r="R108" s="204"/>
    </row>
    <row r="109" spans="1:18" ht="12.75" customHeight="1" x14ac:dyDescent="0.25">
      <c r="A109" s="181"/>
      <c r="B109" s="181"/>
      <c r="C109" s="172"/>
      <c r="D109" s="172"/>
      <c r="E109" s="204"/>
      <c r="F109" s="206"/>
      <c r="G109" s="206"/>
      <c r="H109" s="206"/>
      <c r="I109" s="206"/>
      <c r="J109" s="206"/>
      <c r="K109" s="172"/>
      <c r="L109" s="206"/>
      <c r="M109" s="206"/>
      <c r="N109" s="204"/>
      <c r="O109" s="172"/>
      <c r="P109" s="172"/>
      <c r="Q109" s="172"/>
      <c r="R109" s="204"/>
    </row>
    <row r="110" spans="1:18" ht="12.75" customHeight="1" x14ac:dyDescent="0.25">
      <c r="A110" s="181"/>
      <c r="B110" s="181"/>
      <c r="C110" s="172"/>
      <c r="D110" s="172"/>
      <c r="E110" s="204"/>
      <c r="F110" s="206"/>
      <c r="G110" s="206"/>
      <c r="H110" s="206"/>
      <c r="I110" s="206"/>
      <c r="J110" s="206"/>
      <c r="K110" s="172"/>
      <c r="L110" s="206"/>
      <c r="M110" s="206"/>
      <c r="N110" s="204"/>
      <c r="O110" s="172"/>
      <c r="P110" s="172"/>
      <c r="Q110" s="172"/>
      <c r="R110" s="204"/>
    </row>
    <row r="111" spans="1:18" ht="12.75" customHeight="1" x14ac:dyDescent="0.25">
      <c r="A111" s="181"/>
      <c r="B111" s="181"/>
      <c r="C111" s="172"/>
      <c r="D111" s="172"/>
      <c r="E111" s="204"/>
      <c r="F111" s="206"/>
      <c r="G111" s="206"/>
      <c r="H111" s="206"/>
      <c r="I111" s="206"/>
      <c r="J111" s="206"/>
      <c r="K111" s="172"/>
      <c r="L111" s="206"/>
      <c r="M111" s="206"/>
      <c r="N111" s="204"/>
      <c r="O111" s="172"/>
      <c r="P111" s="172"/>
      <c r="Q111" s="172"/>
      <c r="R111" s="204"/>
    </row>
    <row r="112" spans="1:18" ht="12.75" customHeight="1" x14ac:dyDescent="0.25">
      <c r="A112" s="181"/>
      <c r="B112" s="181"/>
      <c r="C112" s="172"/>
      <c r="D112" s="172"/>
      <c r="E112" s="204"/>
      <c r="F112" s="206"/>
      <c r="G112" s="206"/>
      <c r="H112" s="206"/>
      <c r="I112" s="206"/>
      <c r="J112" s="206"/>
      <c r="K112" s="172"/>
      <c r="L112" s="206"/>
      <c r="M112" s="206"/>
      <c r="N112" s="204"/>
      <c r="O112" s="172"/>
      <c r="P112" s="172"/>
      <c r="Q112" s="172"/>
      <c r="R112" s="204"/>
    </row>
    <row r="113" spans="1:18" ht="12.75" customHeight="1" x14ac:dyDescent="0.25">
      <c r="A113" s="181"/>
      <c r="B113" s="181"/>
      <c r="C113" s="172"/>
      <c r="D113" s="172"/>
      <c r="E113" s="204"/>
      <c r="F113" s="206"/>
      <c r="G113" s="206"/>
      <c r="H113" s="206"/>
      <c r="I113" s="206"/>
      <c r="J113" s="206"/>
      <c r="K113" s="172"/>
      <c r="L113" s="206"/>
      <c r="M113" s="206"/>
      <c r="N113" s="204"/>
      <c r="O113" s="172"/>
      <c r="P113" s="172"/>
      <c r="Q113" s="172"/>
      <c r="R113" s="204"/>
    </row>
    <row r="114" spans="1:18" ht="12.75" customHeight="1" x14ac:dyDescent="0.25">
      <c r="A114" s="181"/>
      <c r="B114" s="181"/>
      <c r="C114" s="172"/>
      <c r="D114" s="172"/>
      <c r="E114" s="204"/>
      <c r="F114" s="206"/>
      <c r="G114" s="206"/>
      <c r="H114" s="206"/>
      <c r="I114" s="206"/>
      <c r="J114" s="206"/>
      <c r="K114" s="172"/>
      <c r="L114" s="206"/>
      <c r="M114" s="206"/>
      <c r="N114" s="204"/>
      <c r="O114" s="172"/>
      <c r="P114" s="172"/>
      <c r="Q114" s="172"/>
      <c r="R114" s="204"/>
    </row>
    <row r="115" spans="1:18" ht="12.75" customHeight="1" x14ac:dyDescent="0.25">
      <c r="A115" s="181"/>
      <c r="B115" s="181"/>
      <c r="C115" s="172"/>
      <c r="D115" s="172"/>
      <c r="E115" s="204"/>
      <c r="F115" s="206"/>
      <c r="G115" s="206"/>
      <c r="H115" s="206"/>
      <c r="I115" s="206"/>
      <c r="J115" s="206"/>
      <c r="K115" s="172"/>
      <c r="L115" s="206"/>
      <c r="M115" s="206"/>
      <c r="N115" s="204"/>
      <c r="O115" s="172"/>
      <c r="P115" s="172"/>
      <c r="Q115" s="172"/>
      <c r="R115" s="204"/>
    </row>
    <row r="116" spans="1:18" ht="12.75" customHeight="1" x14ac:dyDescent="0.25">
      <c r="A116" s="181"/>
      <c r="B116" s="181"/>
      <c r="C116" s="172"/>
      <c r="D116" s="172"/>
      <c r="E116" s="204"/>
      <c r="F116" s="206"/>
      <c r="G116" s="206"/>
      <c r="H116" s="206"/>
      <c r="I116" s="206"/>
      <c r="J116" s="206"/>
      <c r="K116" s="172"/>
      <c r="L116" s="206"/>
      <c r="M116" s="206"/>
      <c r="N116" s="204"/>
      <c r="O116" s="172"/>
      <c r="P116" s="172"/>
      <c r="Q116" s="172"/>
      <c r="R116" s="204"/>
    </row>
    <row r="117" spans="1:18" ht="12.75" customHeight="1" x14ac:dyDescent="0.25">
      <c r="A117" s="181"/>
      <c r="B117" s="181"/>
      <c r="C117" s="172"/>
      <c r="D117" s="172"/>
      <c r="E117" s="204"/>
      <c r="F117" s="206"/>
      <c r="G117" s="206"/>
      <c r="H117" s="206"/>
      <c r="I117" s="206"/>
      <c r="J117" s="206"/>
      <c r="K117" s="172"/>
      <c r="L117" s="206"/>
      <c r="M117" s="206"/>
      <c r="N117" s="204"/>
      <c r="O117" s="172"/>
      <c r="P117" s="172"/>
      <c r="Q117" s="172"/>
      <c r="R117" s="204"/>
    </row>
    <row r="118" spans="1:18" ht="12.75" customHeight="1" x14ac:dyDescent="0.25">
      <c r="A118" s="181"/>
      <c r="B118" s="181"/>
      <c r="C118" s="172"/>
      <c r="D118" s="172"/>
      <c r="E118" s="204"/>
      <c r="F118" s="206"/>
      <c r="G118" s="206"/>
      <c r="H118" s="206"/>
      <c r="I118" s="206"/>
      <c r="J118" s="206"/>
      <c r="K118" s="172"/>
      <c r="L118" s="206"/>
      <c r="M118" s="206"/>
      <c r="N118" s="204"/>
      <c r="O118" s="172"/>
      <c r="P118" s="172"/>
      <c r="Q118" s="172"/>
      <c r="R118" s="204"/>
    </row>
    <row r="119" spans="1:18" ht="12.75" customHeight="1" x14ac:dyDescent="0.25">
      <c r="A119" s="181"/>
      <c r="B119" s="181"/>
      <c r="C119" s="172"/>
      <c r="D119" s="172"/>
      <c r="E119" s="204"/>
      <c r="F119" s="206"/>
      <c r="G119" s="206"/>
      <c r="H119" s="206"/>
      <c r="I119" s="206"/>
      <c r="J119" s="206"/>
      <c r="K119" s="172"/>
      <c r="L119" s="206"/>
      <c r="M119" s="206"/>
      <c r="N119" s="204"/>
      <c r="O119" s="172"/>
      <c r="P119" s="172"/>
      <c r="Q119" s="172"/>
      <c r="R119" s="204"/>
    </row>
    <row r="120" spans="1:18" ht="12.75" customHeight="1" x14ac:dyDescent="0.25">
      <c r="A120" s="181"/>
      <c r="B120" s="181"/>
      <c r="C120" s="172"/>
      <c r="D120" s="172"/>
      <c r="E120" s="204"/>
      <c r="F120" s="206"/>
      <c r="G120" s="206"/>
      <c r="H120" s="206"/>
      <c r="I120" s="206"/>
      <c r="J120" s="206"/>
      <c r="K120" s="172"/>
      <c r="L120" s="206"/>
      <c r="M120" s="206"/>
      <c r="N120" s="204"/>
      <c r="O120" s="172"/>
      <c r="P120" s="172"/>
      <c r="Q120" s="172"/>
      <c r="R120" s="204"/>
    </row>
    <row r="121" spans="1:18" ht="12.75" customHeight="1" x14ac:dyDescent="0.25">
      <c r="A121" s="181"/>
      <c r="B121" s="181"/>
      <c r="C121" s="172"/>
      <c r="D121" s="172"/>
      <c r="E121" s="204"/>
      <c r="F121" s="206"/>
      <c r="G121" s="206"/>
      <c r="H121" s="206"/>
      <c r="I121" s="206"/>
      <c r="J121" s="206"/>
      <c r="K121" s="172"/>
      <c r="L121" s="206"/>
      <c r="M121" s="206"/>
      <c r="N121" s="204"/>
      <c r="O121" s="172"/>
      <c r="P121" s="172"/>
      <c r="Q121" s="172"/>
      <c r="R121" s="204"/>
    </row>
    <row r="122" spans="1:18" ht="12.75" customHeight="1" x14ac:dyDescent="0.25">
      <c r="A122" s="181"/>
      <c r="B122" s="181"/>
      <c r="C122" s="172"/>
      <c r="D122" s="172"/>
      <c r="E122" s="204"/>
      <c r="F122" s="206"/>
      <c r="G122" s="206"/>
      <c r="H122" s="206"/>
      <c r="I122" s="206"/>
      <c r="J122" s="206"/>
      <c r="K122" s="172"/>
      <c r="L122" s="206"/>
      <c r="M122" s="206"/>
      <c r="N122" s="204"/>
      <c r="O122" s="172"/>
      <c r="P122" s="172"/>
      <c r="Q122" s="172"/>
      <c r="R122" s="204"/>
    </row>
    <row r="123" spans="1:18" ht="12.75" customHeight="1" x14ac:dyDescent="0.25">
      <c r="A123" s="181"/>
      <c r="B123" s="181"/>
      <c r="C123" s="172"/>
      <c r="D123" s="172"/>
      <c r="E123" s="204"/>
      <c r="F123" s="206"/>
      <c r="G123" s="206"/>
      <c r="H123" s="206"/>
      <c r="I123" s="206"/>
      <c r="J123" s="206"/>
      <c r="K123" s="172"/>
      <c r="L123" s="206"/>
      <c r="M123" s="206"/>
      <c r="N123" s="204"/>
      <c r="O123" s="172"/>
      <c r="P123" s="172"/>
      <c r="Q123" s="172"/>
      <c r="R123" s="204"/>
    </row>
    <row r="124" spans="1:18" ht="12.75" customHeight="1" x14ac:dyDescent="0.25">
      <c r="A124" s="181"/>
      <c r="B124" s="181"/>
      <c r="C124" s="172"/>
      <c r="D124" s="172"/>
      <c r="E124" s="204"/>
      <c r="F124" s="206"/>
      <c r="G124" s="206"/>
      <c r="H124" s="206"/>
      <c r="I124" s="206"/>
      <c r="J124" s="206"/>
      <c r="K124" s="172"/>
      <c r="L124" s="206"/>
      <c r="M124" s="206"/>
      <c r="N124" s="204"/>
      <c r="O124" s="172"/>
      <c r="P124" s="172"/>
      <c r="Q124" s="172"/>
      <c r="R124" s="204"/>
    </row>
    <row r="125" spans="1:18" ht="12.75" customHeight="1" x14ac:dyDescent="0.25">
      <c r="A125" s="181"/>
      <c r="B125" s="181"/>
      <c r="C125" s="172"/>
      <c r="D125" s="172"/>
      <c r="E125" s="204"/>
      <c r="F125" s="206"/>
      <c r="G125" s="206"/>
      <c r="H125" s="206"/>
      <c r="I125" s="206"/>
      <c r="J125" s="206"/>
      <c r="K125" s="172"/>
      <c r="L125" s="206"/>
      <c r="M125" s="206"/>
      <c r="N125" s="204"/>
      <c r="O125" s="172"/>
      <c r="P125" s="172"/>
      <c r="Q125" s="172"/>
      <c r="R125" s="204"/>
    </row>
    <row r="126" spans="1:18" ht="12.75" customHeight="1" x14ac:dyDescent="0.25">
      <c r="A126" s="181"/>
      <c r="B126" s="181"/>
      <c r="C126" s="172"/>
      <c r="D126" s="172"/>
      <c r="E126" s="204"/>
      <c r="F126" s="206"/>
      <c r="G126" s="206"/>
      <c r="H126" s="206"/>
      <c r="I126" s="206"/>
      <c r="J126" s="206"/>
      <c r="K126" s="172"/>
      <c r="L126" s="206"/>
      <c r="M126" s="206"/>
      <c r="N126" s="204"/>
      <c r="O126" s="172"/>
      <c r="P126" s="172"/>
      <c r="Q126" s="172"/>
      <c r="R126" s="204"/>
    </row>
    <row r="127" spans="1:18" ht="12.75" customHeight="1" x14ac:dyDescent="0.25">
      <c r="A127" s="181"/>
      <c r="B127" s="181"/>
      <c r="C127" s="172"/>
      <c r="D127" s="172"/>
      <c r="E127" s="204"/>
      <c r="F127" s="206"/>
      <c r="G127" s="206"/>
      <c r="H127" s="206"/>
      <c r="I127" s="206"/>
      <c r="J127" s="206"/>
      <c r="K127" s="172"/>
      <c r="L127" s="206"/>
      <c r="M127" s="206"/>
      <c r="N127" s="204"/>
      <c r="O127" s="172"/>
      <c r="P127" s="172"/>
      <c r="Q127" s="172"/>
      <c r="R127" s="204"/>
    </row>
    <row r="128" spans="1:18" ht="12.75" customHeight="1" x14ac:dyDescent="0.25">
      <c r="A128" s="181"/>
      <c r="B128" s="181"/>
      <c r="C128" s="172"/>
      <c r="D128" s="172"/>
      <c r="E128" s="204"/>
      <c r="F128" s="206"/>
      <c r="G128" s="206"/>
      <c r="H128" s="206"/>
      <c r="I128" s="206"/>
      <c r="J128" s="206"/>
      <c r="K128" s="172"/>
      <c r="L128" s="206"/>
      <c r="M128" s="206"/>
      <c r="N128" s="204"/>
      <c r="O128" s="172"/>
      <c r="P128" s="172"/>
      <c r="Q128" s="172"/>
      <c r="R128" s="204"/>
    </row>
    <row r="129" spans="1:18" ht="12.75" customHeight="1" x14ac:dyDescent="0.25">
      <c r="A129" s="181"/>
      <c r="B129" s="181"/>
      <c r="C129" s="172"/>
      <c r="D129" s="172"/>
      <c r="E129" s="204"/>
      <c r="F129" s="206"/>
      <c r="G129" s="206"/>
      <c r="H129" s="206"/>
      <c r="I129" s="206"/>
      <c r="J129" s="206"/>
      <c r="K129" s="172"/>
      <c r="L129" s="206"/>
      <c r="M129" s="206"/>
      <c r="N129" s="204"/>
      <c r="O129" s="172"/>
      <c r="P129" s="172"/>
      <c r="Q129" s="172"/>
      <c r="R129" s="204"/>
    </row>
    <row r="130" spans="1:18" ht="12.75" customHeight="1" x14ac:dyDescent="0.25">
      <c r="A130" s="181"/>
      <c r="B130" s="181"/>
      <c r="C130" s="172"/>
      <c r="D130" s="172"/>
      <c r="E130" s="204"/>
      <c r="F130" s="206"/>
      <c r="G130" s="206"/>
      <c r="H130" s="206"/>
      <c r="I130" s="206"/>
      <c r="J130" s="206"/>
      <c r="K130" s="172"/>
      <c r="L130" s="206"/>
      <c r="M130" s="206"/>
      <c r="N130" s="204"/>
      <c r="O130" s="172"/>
      <c r="P130" s="172"/>
      <c r="Q130" s="172"/>
      <c r="R130" s="204"/>
    </row>
    <row r="131" spans="1:18" ht="12.75" customHeight="1" x14ac:dyDescent="0.25">
      <c r="A131" s="181"/>
      <c r="B131" s="181"/>
      <c r="C131" s="172"/>
      <c r="D131" s="172"/>
      <c r="E131" s="204"/>
      <c r="F131" s="206"/>
      <c r="G131" s="206"/>
      <c r="H131" s="206"/>
      <c r="I131" s="206"/>
      <c r="J131" s="206"/>
      <c r="K131" s="172"/>
      <c r="L131" s="206"/>
      <c r="M131" s="206"/>
      <c r="N131" s="204"/>
      <c r="O131" s="172"/>
      <c r="P131" s="172"/>
      <c r="Q131" s="172"/>
      <c r="R131" s="204"/>
    </row>
    <row r="132" spans="1:18" ht="12.75" customHeight="1" x14ac:dyDescent="0.25">
      <c r="A132" s="181"/>
      <c r="B132" s="181"/>
      <c r="C132" s="172"/>
      <c r="D132" s="172"/>
      <c r="E132" s="204"/>
      <c r="F132" s="206"/>
      <c r="G132" s="206"/>
      <c r="H132" s="206"/>
      <c r="I132" s="206"/>
      <c r="J132" s="206"/>
      <c r="K132" s="172"/>
      <c r="L132" s="206"/>
      <c r="M132" s="206"/>
      <c r="N132" s="204"/>
      <c r="O132" s="172"/>
      <c r="P132" s="172"/>
      <c r="Q132" s="172"/>
      <c r="R132" s="204"/>
    </row>
    <row r="133" spans="1:18" ht="12.75" customHeight="1" x14ac:dyDescent="0.25">
      <c r="A133" s="181"/>
      <c r="B133" s="181"/>
      <c r="C133" s="172"/>
      <c r="D133" s="172"/>
      <c r="E133" s="204"/>
      <c r="F133" s="206"/>
      <c r="G133" s="206"/>
      <c r="H133" s="206"/>
      <c r="I133" s="206"/>
      <c r="J133" s="206"/>
      <c r="K133" s="172"/>
      <c r="L133" s="206"/>
      <c r="M133" s="206"/>
      <c r="N133" s="204"/>
      <c r="O133" s="172"/>
      <c r="P133" s="172"/>
      <c r="Q133" s="172"/>
      <c r="R133" s="204"/>
    </row>
    <row r="134" spans="1:18" ht="12.75" customHeight="1" x14ac:dyDescent="0.25">
      <c r="A134" s="181"/>
      <c r="B134" s="181"/>
      <c r="C134" s="172"/>
      <c r="D134" s="172"/>
      <c r="E134" s="204"/>
      <c r="F134" s="206"/>
      <c r="G134" s="206"/>
      <c r="H134" s="206"/>
      <c r="I134" s="206"/>
      <c r="J134" s="206"/>
      <c r="K134" s="172"/>
      <c r="L134" s="206"/>
      <c r="M134" s="206"/>
      <c r="N134" s="204"/>
      <c r="O134" s="172"/>
      <c r="P134" s="172"/>
      <c r="Q134" s="172"/>
      <c r="R134" s="204"/>
    </row>
    <row r="135" spans="1:18" ht="12.75" customHeight="1" x14ac:dyDescent="0.25">
      <c r="A135" s="181"/>
      <c r="B135" s="181"/>
      <c r="C135" s="172"/>
      <c r="D135" s="172"/>
      <c r="E135" s="204"/>
      <c r="F135" s="206"/>
      <c r="G135" s="206"/>
      <c r="H135" s="206"/>
      <c r="I135" s="206"/>
      <c r="J135" s="206"/>
      <c r="K135" s="172"/>
      <c r="L135" s="206"/>
      <c r="M135" s="206"/>
      <c r="N135" s="204"/>
      <c r="O135" s="172"/>
      <c r="P135" s="172"/>
      <c r="Q135" s="172"/>
      <c r="R135" s="204"/>
    </row>
    <row r="136" spans="1:18" ht="12.75" customHeight="1" x14ac:dyDescent="0.25">
      <c r="A136" s="181"/>
      <c r="B136" s="181"/>
      <c r="C136" s="172"/>
      <c r="D136" s="172"/>
      <c r="E136" s="204"/>
      <c r="F136" s="206"/>
      <c r="G136" s="206"/>
      <c r="H136" s="206"/>
      <c r="I136" s="206"/>
      <c r="J136" s="206"/>
      <c r="K136" s="172"/>
      <c r="L136" s="206"/>
      <c r="M136" s="206"/>
      <c r="N136" s="204"/>
      <c r="O136" s="172"/>
      <c r="P136" s="172"/>
      <c r="Q136" s="172"/>
      <c r="R136" s="204"/>
    </row>
    <row r="137" spans="1:18" ht="12.75" customHeight="1" x14ac:dyDescent="0.25">
      <c r="A137" s="181"/>
      <c r="B137" s="181"/>
      <c r="C137" s="172"/>
      <c r="D137" s="172"/>
      <c r="E137" s="204"/>
      <c r="F137" s="206"/>
      <c r="G137" s="206"/>
      <c r="H137" s="206"/>
      <c r="I137" s="206"/>
      <c r="J137" s="206"/>
      <c r="K137" s="172"/>
      <c r="L137" s="206"/>
      <c r="M137" s="206"/>
      <c r="N137" s="204"/>
      <c r="O137" s="172"/>
      <c r="P137" s="172"/>
      <c r="Q137" s="172"/>
      <c r="R137" s="204"/>
    </row>
    <row r="138" spans="1:18" ht="12.75" customHeight="1" x14ac:dyDescent="0.25">
      <c r="A138" s="181"/>
      <c r="B138" s="181"/>
      <c r="C138" s="172"/>
      <c r="D138" s="172"/>
      <c r="E138" s="204"/>
      <c r="F138" s="206"/>
      <c r="G138" s="206"/>
      <c r="H138" s="206"/>
      <c r="I138" s="206"/>
      <c r="J138" s="206"/>
      <c r="K138" s="172"/>
      <c r="L138" s="206"/>
      <c r="M138" s="206"/>
      <c r="N138" s="204"/>
      <c r="O138" s="172"/>
      <c r="P138" s="172"/>
      <c r="Q138" s="172"/>
      <c r="R138" s="204"/>
    </row>
    <row r="139" spans="1:18" ht="12.75" customHeight="1" x14ac:dyDescent="0.25">
      <c r="A139" s="181"/>
      <c r="B139" s="181"/>
      <c r="C139" s="172"/>
      <c r="D139" s="172"/>
      <c r="E139" s="204"/>
      <c r="F139" s="206"/>
      <c r="G139" s="206"/>
      <c r="H139" s="206"/>
      <c r="I139" s="206"/>
      <c r="J139" s="206"/>
      <c r="K139" s="172"/>
      <c r="L139" s="206"/>
      <c r="M139" s="206"/>
      <c r="N139" s="204"/>
      <c r="O139" s="172"/>
      <c r="P139" s="172"/>
      <c r="Q139" s="172"/>
      <c r="R139" s="204"/>
    </row>
    <row r="140" spans="1:18" ht="12.75" customHeight="1" x14ac:dyDescent="0.25">
      <c r="A140" s="181"/>
      <c r="B140" s="181"/>
      <c r="C140" s="172"/>
      <c r="D140" s="172"/>
      <c r="E140" s="204"/>
      <c r="F140" s="206"/>
      <c r="G140" s="206"/>
      <c r="H140" s="206"/>
      <c r="I140" s="206"/>
      <c r="J140" s="206"/>
      <c r="K140" s="172"/>
      <c r="L140" s="206"/>
      <c r="M140" s="206"/>
      <c r="N140" s="204"/>
      <c r="O140" s="172"/>
      <c r="P140" s="172"/>
      <c r="Q140" s="172"/>
      <c r="R140" s="204"/>
    </row>
    <row r="141" spans="1:18" ht="12.75" customHeight="1" x14ac:dyDescent="0.25">
      <c r="A141" s="181"/>
      <c r="B141" s="181"/>
      <c r="C141" s="172"/>
      <c r="D141" s="172"/>
      <c r="E141" s="204"/>
      <c r="F141" s="206"/>
      <c r="G141" s="206"/>
      <c r="H141" s="206"/>
      <c r="I141" s="206"/>
      <c r="J141" s="206"/>
      <c r="K141" s="172"/>
      <c r="L141" s="206"/>
      <c r="M141" s="206"/>
      <c r="N141" s="204"/>
      <c r="O141" s="172"/>
      <c r="P141" s="172"/>
      <c r="Q141" s="172"/>
      <c r="R141" s="204"/>
    </row>
    <row r="142" spans="1:18" ht="12.75" customHeight="1" x14ac:dyDescent="0.25">
      <c r="A142" s="181"/>
      <c r="B142" s="181"/>
      <c r="C142" s="172"/>
      <c r="D142" s="172"/>
      <c r="E142" s="204"/>
      <c r="F142" s="206"/>
      <c r="G142" s="206"/>
      <c r="H142" s="206"/>
      <c r="I142" s="206"/>
      <c r="J142" s="206"/>
      <c r="K142" s="172"/>
      <c r="L142" s="206"/>
      <c r="M142" s="206"/>
      <c r="N142" s="204"/>
      <c r="O142" s="172"/>
      <c r="P142" s="172"/>
      <c r="Q142" s="172"/>
      <c r="R142" s="204"/>
    </row>
    <row r="143" spans="1:18" ht="12.75" customHeight="1" x14ac:dyDescent="0.25">
      <c r="A143" s="181"/>
      <c r="B143" s="181"/>
      <c r="C143" s="172"/>
      <c r="D143" s="172"/>
      <c r="E143" s="204"/>
      <c r="F143" s="206"/>
      <c r="G143" s="206"/>
      <c r="H143" s="206"/>
      <c r="I143" s="206"/>
      <c r="J143" s="206"/>
      <c r="K143" s="172"/>
      <c r="L143" s="206"/>
      <c r="M143" s="206"/>
      <c r="N143" s="204"/>
      <c r="O143" s="172"/>
      <c r="P143" s="172"/>
      <c r="Q143" s="172"/>
      <c r="R143" s="204"/>
    </row>
    <row r="144" spans="1:18" ht="12.75" customHeight="1" x14ac:dyDescent="0.25">
      <c r="A144" s="181"/>
      <c r="B144" s="181"/>
      <c r="C144" s="172"/>
      <c r="D144" s="172"/>
      <c r="E144" s="204"/>
      <c r="F144" s="206"/>
      <c r="G144" s="206"/>
      <c r="H144" s="206"/>
      <c r="I144" s="206"/>
      <c r="J144" s="206"/>
      <c r="K144" s="172"/>
      <c r="L144" s="206"/>
      <c r="M144" s="206"/>
      <c r="N144" s="204"/>
      <c r="O144" s="172"/>
      <c r="P144" s="172"/>
      <c r="Q144" s="172"/>
      <c r="R144" s="204"/>
    </row>
    <row r="145" spans="1:18" ht="12.75" customHeight="1" x14ac:dyDescent="0.25">
      <c r="A145" s="181"/>
      <c r="B145" s="181"/>
      <c r="C145" s="172"/>
      <c r="D145" s="172"/>
      <c r="E145" s="204"/>
      <c r="F145" s="206"/>
      <c r="G145" s="206"/>
      <c r="H145" s="206"/>
      <c r="I145" s="206"/>
      <c r="J145" s="206"/>
      <c r="K145" s="172"/>
      <c r="L145" s="206"/>
      <c r="M145" s="206"/>
      <c r="N145" s="204"/>
      <c r="O145" s="172"/>
      <c r="P145" s="172"/>
      <c r="Q145" s="172"/>
      <c r="R145" s="204"/>
    </row>
    <row r="146" spans="1:18" ht="12.75" customHeight="1" x14ac:dyDescent="0.25">
      <c r="A146" s="181"/>
      <c r="B146" s="181"/>
      <c r="C146" s="172"/>
      <c r="D146" s="172"/>
      <c r="E146" s="204"/>
      <c r="F146" s="206"/>
      <c r="G146" s="206"/>
      <c r="H146" s="206"/>
      <c r="I146" s="206"/>
      <c r="J146" s="206"/>
      <c r="K146" s="172"/>
      <c r="L146" s="206"/>
      <c r="M146" s="206"/>
      <c r="N146" s="204"/>
      <c r="O146" s="172"/>
      <c r="P146" s="172"/>
      <c r="Q146" s="172"/>
      <c r="R146" s="204"/>
    </row>
    <row r="147" spans="1:18" ht="12.75" customHeight="1" x14ac:dyDescent="0.25">
      <c r="A147" s="181"/>
      <c r="B147" s="181"/>
      <c r="C147" s="172"/>
      <c r="D147" s="172"/>
      <c r="E147" s="204"/>
      <c r="F147" s="206"/>
      <c r="G147" s="206"/>
      <c r="H147" s="206"/>
      <c r="I147" s="206"/>
      <c r="J147" s="206"/>
      <c r="K147" s="172"/>
      <c r="L147" s="206"/>
      <c r="M147" s="206"/>
      <c r="N147" s="204"/>
      <c r="O147" s="172"/>
      <c r="P147" s="172"/>
      <c r="Q147" s="172"/>
      <c r="R147" s="204"/>
    </row>
    <row r="148" spans="1:18" ht="12.75" customHeight="1" x14ac:dyDescent="0.25">
      <c r="A148" s="181"/>
      <c r="B148" s="181"/>
      <c r="C148" s="172"/>
      <c r="D148" s="172"/>
      <c r="E148" s="204"/>
      <c r="F148" s="206"/>
      <c r="G148" s="206"/>
      <c r="H148" s="206"/>
      <c r="I148" s="206"/>
      <c r="J148" s="206"/>
      <c r="K148" s="172"/>
      <c r="L148" s="206"/>
      <c r="M148" s="206"/>
      <c r="N148" s="204"/>
      <c r="O148" s="172"/>
      <c r="P148" s="172"/>
      <c r="Q148" s="172"/>
      <c r="R148" s="204"/>
    </row>
    <row r="149" spans="1:18" ht="12.75" customHeight="1" x14ac:dyDescent="0.25">
      <c r="A149" s="181"/>
      <c r="B149" s="181"/>
      <c r="C149" s="172"/>
      <c r="D149" s="172"/>
      <c r="E149" s="204"/>
      <c r="F149" s="206"/>
      <c r="G149" s="206"/>
      <c r="H149" s="206"/>
      <c r="I149" s="206"/>
      <c r="J149" s="206"/>
      <c r="K149" s="172"/>
      <c r="L149" s="206"/>
      <c r="M149" s="206"/>
      <c r="N149" s="204"/>
      <c r="O149" s="172"/>
      <c r="P149" s="172"/>
      <c r="Q149" s="172"/>
      <c r="R149" s="204"/>
    </row>
    <row r="150" spans="1:18" ht="12.75" customHeight="1" x14ac:dyDescent="0.25">
      <c r="A150" s="181"/>
      <c r="B150" s="181"/>
      <c r="C150" s="172"/>
      <c r="D150" s="172"/>
      <c r="E150" s="204"/>
      <c r="F150" s="206"/>
      <c r="G150" s="206"/>
      <c r="H150" s="206"/>
      <c r="I150" s="206"/>
      <c r="J150" s="206"/>
      <c r="K150" s="172"/>
      <c r="L150" s="206"/>
      <c r="M150" s="206"/>
      <c r="N150" s="204"/>
      <c r="O150" s="172"/>
      <c r="P150" s="172"/>
      <c r="Q150" s="172"/>
      <c r="R150" s="204"/>
    </row>
    <row r="151" spans="1:18" ht="12.75" customHeight="1" x14ac:dyDescent="0.25">
      <c r="A151" s="181"/>
      <c r="B151" s="181"/>
      <c r="C151" s="172"/>
      <c r="D151" s="172"/>
      <c r="E151" s="204"/>
      <c r="F151" s="206"/>
      <c r="G151" s="206"/>
      <c r="H151" s="206"/>
      <c r="I151" s="206"/>
      <c r="J151" s="206"/>
      <c r="K151" s="172"/>
      <c r="L151" s="206"/>
      <c r="M151" s="206"/>
      <c r="N151" s="204"/>
      <c r="O151" s="172"/>
      <c r="P151" s="172"/>
      <c r="Q151" s="172"/>
      <c r="R151" s="204"/>
    </row>
    <row r="152" spans="1:18" ht="12.75" customHeight="1" x14ac:dyDescent="0.25">
      <c r="A152" s="181"/>
      <c r="B152" s="181"/>
      <c r="C152" s="172"/>
      <c r="D152" s="172"/>
      <c r="E152" s="204"/>
      <c r="F152" s="206"/>
      <c r="G152" s="206"/>
      <c r="H152" s="206"/>
      <c r="I152" s="206"/>
      <c r="J152" s="206"/>
      <c r="K152" s="172"/>
      <c r="L152" s="206"/>
      <c r="M152" s="206"/>
      <c r="N152" s="204"/>
      <c r="O152" s="172"/>
      <c r="P152" s="172"/>
      <c r="Q152" s="172"/>
      <c r="R152" s="204"/>
    </row>
    <row r="153" spans="1:18" ht="12.75" customHeight="1" x14ac:dyDescent="0.25">
      <c r="A153" s="181"/>
      <c r="B153" s="181"/>
      <c r="C153" s="172"/>
      <c r="D153" s="172"/>
      <c r="E153" s="204"/>
      <c r="F153" s="206"/>
      <c r="G153" s="206"/>
      <c r="H153" s="206"/>
      <c r="I153" s="206"/>
      <c r="J153" s="206"/>
      <c r="K153" s="172"/>
      <c r="L153" s="206"/>
      <c r="M153" s="206"/>
      <c r="N153" s="204"/>
      <c r="O153" s="172"/>
      <c r="P153" s="172"/>
      <c r="Q153" s="172"/>
      <c r="R153" s="204"/>
    </row>
    <row r="154" spans="1:18" ht="12.75" customHeight="1" x14ac:dyDescent="0.25">
      <c r="A154" s="181"/>
      <c r="B154" s="181"/>
      <c r="C154" s="172"/>
      <c r="D154" s="172"/>
      <c r="E154" s="204"/>
      <c r="F154" s="206"/>
      <c r="G154" s="206"/>
      <c r="H154" s="206"/>
      <c r="I154" s="206"/>
      <c r="J154" s="206"/>
      <c r="K154" s="172"/>
      <c r="L154" s="206"/>
      <c r="M154" s="206"/>
      <c r="N154" s="204"/>
      <c r="O154" s="172"/>
      <c r="P154" s="172"/>
      <c r="Q154" s="172"/>
      <c r="R154" s="204"/>
    </row>
    <row r="155" spans="1:18" ht="12.75" customHeight="1" x14ac:dyDescent="0.25">
      <c r="A155" s="181"/>
      <c r="B155" s="181"/>
      <c r="C155" s="172"/>
      <c r="D155" s="172"/>
      <c r="E155" s="204"/>
      <c r="F155" s="206"/>
      <c r="G155" s="206"/>
      <c r="H155" s="206"/>
      <c r="I155" s="206"/>
      <c r="J155" s="206"/>
      <c r="K155" s="172"/>
      <c r="L155" s="206"/>
      <c r="M155" s="206"/>
      <c r="N155" s="204"/>
      <c r="O155" s="172"/>
      <c r="P155" s="172"/>
      <c r="Q155" s="172"/>
      <c r="R155" s="204"/>
    </row>
    <row r="156" spans="1:18" ht="12.75" customHeight="1" x14ac:dyDescent="0.25">
      <c r="A156" s="181"/>
      <c r="B156" s="181"/>
      <c r="C156" s="172"/>
      <c r="D156" s="172"/>
      <c r="E156" s="204"/>
      <c r="F156" s="206"/>
      <c r="G156" s="206"/>
      <c r="H156" s="206"/>
      <c r="I156" s="206"/>
      <c r="J156" s="206"/>
      <c r="K156" s="172"/>
      <c r="L156" s="206"/>
      <c r="M156" s="206"/>
      <c r="N156" s="204"/>
      <c r="O156" s="172"/>
      <c r="P156" s="172"/>
      <c r="Q156" s="172"/>
      <c r="R156" s="204"/>
    </row>
    <row r="157" spans="1:18" ht="12.75" customHeight="1" x14ac:dyDescent="0.25">
      <c r="A157" s="181"/>
      <c r="B157" s="181"/>
      <c r="C157" s="172"/>
      <c r="D157" s="172"/>
      <c r="E157" s="204"/>
      <c r="F157" s="206"/>
      <c r="G157" s="206"/>
      <c r="H157" s="206"/>
      <c r="I157" s="206"/>
      <c r="J157" s="206"/>
      <c r="K157" s="172"/>
      <c r="L157" s="206"/>
      <c r="M157" s="206"/>
      <c r="N157" s="204"/>
      <c r="O157" s="172"/>
      <c r="P157" s="172"/>
      <c r="Q157" s="172"/>
      <c r="R157" s="204"/>
    </row>
    <row r="158" spans="1:18" ht="12.75" customHeight="1" x14ac:dyDescent="0.25">
      <c r="A158" s="181"/>
      <c r="B158" s="181"/>
      <c r="C158" s="172"/>
      <c r="D158" s="172"/>
      <c r="E158" s="204"/>
      <c r="F158" s="206"/>
      <c r="G158" s="206"/>
      <c r="H158" s="206"/>
      <c r="I158" s="206"/>
      <c r="J158" s="206"/>
      <c r="K158" s="172"/>
      <c r="L158" s="206"/>
      <c r="M158" s="206"/>
      <c r="N158" s="204"/>
      <c r="O158" s="172"/>
      <c r="P158" s="172"/>
      <c r="Q158" s="172"/>
      <c r="R158" s="204"/>
    </row>
    <row r="159" spans="1:18" ht="12.75" customHeight="1" x14ac:dyDescent="0.25">
      <c r="A159" s="181"/>
      <c r="B159" s="181"/>
      <c r="C159" s="172"/>
      <c r="D159" s="172"/>
      <c r="E159" s="204"/>
      <c r="F159" s="206"/>
      <c r="G159" s="206"/>
      <c r="H159" s="206"/>
      <c r="I159" s="206"/>
      <c r="J159" s="206"/>
      <c r="K159" s="172"/>
      <c r="L159" s="206"/>
      <c r="M159" s="206"/>
      <c r="N159" s="204"/>
      <c r="O159" s="172"/>
      <c r="P159" s="172"/>
      <c r="Q159" s="172"/>
      <c r="R159" s="204"/>
    </row>
    <row r="160" spans="1:18" ht="12.75" customHeight="1" x14ac:dyDescent="0.25">
      <c r="A160" s="181"/>
      <c r="B160" s="181"/>
      <c r="C160" s="172"/>
      <c r="D160" s="172"/>
      <c r="E160" s="204"/>
      <c r="F160" s="206"/>
      <c r="G160" s="206"/>
      <c r="H160" s="206"/>
      <c r="I160" s="206"/>
      <c r="J160" s="206"/>
      <c r="K160" s="172"/>
      <c r="L160" s="206"/>
      <c r="M160" s="206"/>
      <c r="N160" s="204"/>
      <c r="O160" s="172"/>
      <c r="P160" s="172"/>
      <c r="Q160" s="172"/>
      <c r="R160" s="204"/>
    </row>
    <row r="161" spans="1:18" ht="12.75" customHeight="1" x14ac:dyDescent="0.25">
      <c r="A161" s="181"/>
      <c r="B161" s="181"/>
      <c r="C161" s="172"/>
      <c r="D161" s="172"/>
      <c r="E161" s="204"/>
      <c r="F161" s="206"/>
      <c r="G161" s="206"/>
      <c r="H161" s="206"/>
      <c r="I161" s="206"/>
      <c r="J161" s="206"/>
      <c r="K161" s="172"/>
      <c r="L161" s="206"/>
      <c r="M161" s="206"/>
      <c r="N161" s="204"/>
      <c r="O161" s="172"/>
      <c r="P161" s="172"/>
      <c r="Q161" s="172"/>
      <c r="R161" s="204"/>
    </row>
    <row r="162" spans="1:18" ht="12.75" customHeight="1" x14ac:dyDescent="0.25">
      <c r="A162" s="181"/>
      <c r="B162" s="181"/>
      <c r="C162" s="172"/>
      <c r="D162" s="172"/>
      <c r="E162" s="204"/>
      <c r="F162" s="206"/>
      <c r="G162" s="206"/>
      <c r="H162" s="206"/>
      <c r="I162" s="206"/>
      <c r="J162" s="206"/>
      <c r="K162" s="172"/>
      <c r="L162" s="206"/>
      <c r="M162" s="206"/>
      <c r="N162" s="204"/>
      <c r="O162" s="172"/>
      <c r="P162" s="172"/>
      <c r="Q162" s="172"/>
      <c r="R162" s="204"/>
    </row>
    <row r="163" spans="1:18" ht="12.75" customHeight="1" x14ac:dyDescent="0.25">
      <c r="A163" s="181"/>
      <c r="B163" s="181"/>
      <c r="C163" s="172"/>
      <c r="D163" s="172"/>
      <c r="E163" s="204"/>
      <c r="F163" s="206"/>
      <c r="G163" s="206"/>
      <c r="H163" s="206"/>
      <c r="I163" s="206"/>
      <c r="J163" s="206"/>
      <c r="K163" s="172"/>
      <c r="L163" s="206"/>
      <c r="M163" s="206"/>
      <c r="N163" s="204"/>
      <c r="O163" s="172"/>
      <c r="P163" s="172"/>
      <c r="Q163" s="172"/>
      <c r="R163" s="204"/>
    </row>
    <row r="164" spans="1:18" ht="12.75" customHeight="1" x14ac:dyDescent="0.25">
      <c r="A164" s="181"/>
      <c r="B164" s="181"/>
      <c r="C164" s="172"/>
      <c r="D164" s="172"/>
      <c r="E164" s="204"/>
      <c r="F164" s="206"/>
      <c r="G164" s="206"/>
      <c r="H164" s="206"/>
      <c r="I164" s="206"/>
      <c r="J164" s="206"/>
      <c r="K164" s="172"/>
      <c r="L164" s="206"/>
      <c r="M164" s="206"/>
      <c r="N164" s="204"/>
      <c r="O164" s="172"/>
      <c r="P164" s="172"/>
      <c r="Q164" s="172"/>
      <c r="R164" s="204"/>
    </row>
    <row r="165" spans="1:18" ht="12.75" customHeight="1" x14ac:dyDescent="0.25">
      <c r="A165" s="181"/>
      <c r="B165" s="181"/>
      <c r="C165" s="172"/>
      <c r="D165" s="172"/>
      <c r="E165" s="204"/>
      <c r="F165" s="206"/>
      <c r="G165" s="206"/>
      <c r="H165" s="206"/>
      <c r="I165" s="206"/>
      <c r="J165" s="206"/>
      <c r="K165" s="172"/>
      <c r="L165" s="206"/>
      <c r="M165" s="206"/>
      <c r="N165" s="204"/>
      <c r="O165" s="172"/>
      <c r="P165" s="172"/>
      <c r="Q165" s="172"/>
      <c r="R165" s="204"/>
    </row>
    <row r="166" spans="1:18" ht="12.75" customHeight="1" x14ac:dyDescent="0.25">
      <c r="A166" s="181"/>
      <c r="B166" s="181"/>
      <c r="C166" s="172"/>
      <c r="D166" s="172"/>
      <c r="E166" s="204"/>
      <c r="F166" s="206"/>
      <c r="G166" s="206"/>
      <c r="H166" s="206"/>
      <c r="I166" s="206"/>
      <c r="J166" s="206"/>
      <c r="K166" s="172"/>
      <c r="L166" s="206"/>
      <c r="M166" s="206"/>
      <c r="N166" s="204"/>
      <c r="O166" s="172"/>
      <c r="P166" s="172"/>
      <c r="Q166" s="172"/>
      <c r="R166" s="204"/>
    </row>
    <row r="167" spans="1:18" ht="12.75" customHeight="1" x14ac:dyDescent="0.25">
      <c r="A167" s="181"/>
      <c r="B167" s="181"/>
      <c r="C167" s="172"/>
      <c r="D167" s="172"/>
      <c r="E167" s="204"/>
      <c r="F167" s="206"/>
      <c r="G167" s="206"/>
      <c r="H167" s="206"/>
      <c r="I167" s="206"/>
      <c r="J167" s="206"/>
      <c r="K167" s="172"/>
      <c r="L167" s="206"/>
      <c r="M167" s="206"/>
      <c r="N167" s="204"/>
      <c r="O167" s="172"/>
      <c r="P167" s="172"/>
      <c r="Q167" s="172"/>
      <c r="R167" s="204"/>
    </row>
    <row r="168" spans="1:18" ht="12.75" customHeight="1" x14ac:dyDescent="0.25">
      <c r="A168" s="181"/>
      <c r="B168" s="181"/>
      <c r="C168" s="172"/>
      <c r="D168" s="172"/>
      <c r="E168" s="204"/>
      <c r="F168" s="206"/>
      <c r="G168" s="206"/>
      <c r="H168" s="206"/>
      <c r="I168" s="206"/>
      <c r="J168" s="206"/>
      <c r="K168" s="172"/>
      <c r="L168" s="206"/>
      <c r="M168" s="206"/>
      <c r="N168" s="204"/>
      <c r="O168" s="172"/>
      <c r="P168" s="172"/>
      <c r="Q168" s="172"/>
      <c r="R168" s="204"/>
    </row>
    <row r="169" spans="1:18" ht="12.75" customHeight="1" x14ac:dyDescent="0.25">
      <c r="A169" s="181"/>
      <c r="B169" s="181"/>
      <c r="C169" s="172"/>
      <c r="D169" s="172"/>
      <c r="E169" s="204"/>
      <c r="F169" s="206"/>
      <c r="G169" s="206"/>
      <c r="H169" s="206"/>
      <c r="I169" s="206"/>
      <c r="J169" s="206"/>
      <c r="K169" s="172"/>
      <c r="L169" s="206"/>
      <c r="M169" s="206"/>
      <c r="N169" s="204"/>
      <c r="O169" s="172"/>
      <c r="P169" s="172"/>
      <c r="Q169" s="172"/>
      <c r="R169" s="204"/>
    </row>
    <row r="170" spans="1:18" ht="12.75" customHeight="1" x14ac:dyDescent="0.25">
      <c r="A170" s="181"/>
      <c r="B170" s="181"/>
      <c r="C170" s="172"/>
      <c r="D170" s="172"/>
      <c r="E170" s="204"/>
      <c r="F170" s="206"/>
      <c r="G170" s="206"/>
      <c r="H170" s="206"/>
      <c r="I170" s="206"/>
      <c r="J170" s="206"/>
      <c r="K170" s="172"/>
      <c r="L170" s="206"/>
      <c r="M170" s="206"/>
      <c r="N170" s="204"/>
      <c r="O170" s="172"/>
      <c r="P170" s="172"/>
      <c r="Q170" s="172"/>
      <c r="R170" s="204"/>
    </row>
    <row r="171" spans="1:18" ht="12.75" customHeight="1" x14ac:dyDescent="0.25">
      <c r="A171" s="181"/>
      <c r="B171" s="181"/>
      <c r="C171" s="172"/>
      <c r="D171" s="172"/>
      <c r="E171" s="204"/>
      <c r="F171" s="206"/>
      <c r="G171" s="206"/>
      <c r="H171" s="206"/>
      <c r="I171" s="206"/>
      <c r="J171" s="206"/>
      <c r="K171" s="172"/>
      <c r="L171" s="206"/>
      <c r="M171" s="206"/>
      <c r="N171" s="204"/>
      <c r="O171" s="172"/>
      <c r="P171" s="172"/>
      <c r="Q171" s="172"/>
      <c r="R171" s="204"/>
    </row>
    <row r="172" spans="1:18" ht="12.75" customHeight="1" x14ac:dyDescent="0.25">
      <c r="A172" s="181"/>
      <c r="B172" s="181"/>
      <c r="C172" s="172"/>
      <c r="D172" s="172"/>
      <c r="E172" s="204"/>
      <c r="F172" s="206"/>
      <c r="G172" s="206"/>
      <c r="H172" s="206"/>
      <c r="I172" s="206"/>
      <c r="J172" s="206"/>
      <c r="K172" s="172"/>
      <c r="L172" s="206"/>
      <c r="M172" s="206"/>
      <c r="N172" s="204"/>
      <c r="O172" s="172"/>
      <c r="P172" s="172"/>
      <c r="Q172" s="172"/>
      <c r="R172" s="204"/>
    </row>
    <row r="173" spans="1:18" ht="12.75" customHeight="1" x14ac:dyDescent="0.25">
      <c r="A173" s="181"/>
      <c r="B173" s="181"/>
      <c r="C173" s="172"/>
      <c r="D173" s="172"/>
      <c r="E173" s="204"/>
      <c r="F173" s="206"/>
      <c r="G173" s="206"/>
      <c r="H173" s="206"/>
      <c r="I173" s="206"/>
      <c r="J173" s="206"/>
      <c r="K173" s="172"/>
      <c r="L173" s="206"/>
      <c r="M173" s="206"/>
      <c r="N173" s="204"/>
      <c r="O173" s="172"/>
      <c r="P173" s="172"/>
      <c r="Q173" s="172"/>
      <c r="R173" s="204"/>
    </row>
    <row r="174" spans="1:18" ht="12.75" customHeight="1" x14ac:dyDescent="0.25">
      <c r="A174" s="181"/>
      <c r="B174" s="181"/>
      <c r="C174" s="172"/>
      <c r="D174" s="172"/>
      <c r="E174" s="204"/>
      <c r="F174" s="206"/>
      <c r="G174" s="206"/>
      <c r="H174" s="206"/>
      <c r="I174" s="206"/>
      <c r="J174" s="206"/>
      <c r="K174" s="172"/>
      <c r="L174" s="206"/>
      <c r="M174" s="206"/>
      <c r="N174" s="204"/>
      <c r="O174" s="172"/>
      <c r="P174" s="172"/>
      <c r="Q174" s="172"/>
      <c r="R174" s="204"/>
    </row>
    <row r="175" spans="1:18" ht="12.75" customHeight="1" x14ac:dyDescent="0.25">
      <c r="A175" s="181"/>
      <c r="B175" s="181"/>
      <c r="C175" s="172"/>
      <c r="D175" s="172"/>
      <c r="E175" s="204"/>
      <c r="F175" s="206"/>
      <c r="G175" s="206"/>
      <c r="H175" s="206"/>
      <c r="I175" s="206"/>
      <c r="J175" s="206"/>
      <c r="K175" s="172"/>
      <c r="L175" s="206"/>
      <c r="M175" s="206"/>
      <c r="N175" s="204"/>
      <c r="O175" s="172"/>
      <c r="P175" s="172"/>
      <c r="Q175" s="172"/>
      <c r="R175" s="204"/>
    </row>
    <row r="176" spans="1:18" ht="12.75" customHeight="1" x14ac:dyDescent="0.25">
      <c r="A176" s="181"/>
      <c r="B176" s="181"/>
      <c r="C176" s="172"/>
      <c r="D176" s="172"/>
      <c r="E176" s="204"/>
      <c r="F176" s="206"/>
      <c r="G176" s="206"/>
      <c r="H176" s="206"/>
      <c r="I176" s="206"/>
      <c r="J176" s="206"/>
      <c r="K176" s="172"/>
      <c r="L176" s="206"/>
      <c r="M176" s="206"/>
      <c r="N176" s="204"/>
      <c r="O176" s="172"/>
      <c r="P176" s="172"/>
      <c r="Q176" s="172"/>
      <c r="R176" s="204"/>
    </row>
    <row r="177" spans="1:18" ht="12.75" customHeight="1" x14ac:dyDescent="0.25">
      <c r="A177" s="181"/>
      <c r="B177" s="181"/>
      <c r="C177" s="172"/>
      <c r="D177" s="172"/>
      <c r="E177" s="204"/>
      <c r="F177" s="206"/>
      <c r="G177" s="206"/>
      <c r="H177" s="206"/>
      <c r="I177" s="206"/>
      <c r="J177" s="206"/>
      <c r="K177" s="172"/>
      <c r="L177" s="206"/>
      <c r="M177" s="206"/>
      <c r="N177" s="204"/>
      <c r="O177" s="172"/>
      <c r="P177" s="172"/>
      <c r="Q177" s="172"/>
      <c r="R177" s="204"/>
    </row>
    <row r="178" spans="1:18" ht="12.75" customHeight="1" x14ac:dyDescent="0.25">
      <c r="A178" s="181"/>
      <c r="B178" s="181"/>
      <c r="C178" s="172"/>
      <c r="D178" s="172"/>
      <c r="E178" s="204"/>
      <c r="F178" s="206"/>
      <c r="G178" s="206"/>
      <c r="H178" s="206"/>
      <c r="I178" s="206"/>
      <c r="J178" s="206"/>
      <c r="K178" s="172"/>
      <c r="L178" s="206"/>
      <c r="M178" s="206"/>
      <c r="N178" s="204"/>
      <c r="O178" s="172"/>
      <c r="P178" s="172"/>
      <c r="Q178" s="172"/>
      <c r="R178" s="204"/>
    </row>
    <row r="179" spans="1:18" ht="12.75" customHeight="1" x14ac:dyDescent="0.25">
      <c r="A179" s="181"/>
      <c r="B179" s="181"/>
      <c r="C179" s="172"/>
      <c r="D179" s="172"/>
      <c r="E179" s="204"/>
      <c r="F179" s="206"/>
      <c r="G179" s="206"/>
      <c r="H179" s="206"/>
      <c r="I179" s="206"/>
      <c r="J179" s="206"/>
      <c r="K179" s="172"/>
      <c r="L179" s="206"/>
      <c r="M179" s="206"/>
      <c r="N179" s="204"/>
      <c r="O179" s="172"/>
      <c r="P179" s="172"/>
      <c r="Q179" s="172"/>
      <c r="R179" s="204"/>
    </row>
    <row r="180" spans="1:18" ht="12.75" customHeight="1" x14ac:dyDescent="0.25">
      <c r="A180" s="181"/>
      <c r="B180" s="181"/>
      <c r="C180" s="172"/>
      <c r="D180" s="172"/>
      <c r="E180" s="204"/>
      <c r="F180" s="206"/>
      <c r="G180" s="206"/>
      <c r="H180" s="206"/>
      <c r="I180" s="206"/>
      <c r="J180" s="206"/>
      <c r="K180" s="172"/>
      <c r="L180" s="206"/>
      <c r="M180" s="206"/>
      <c r="N180" s="204"/>
      <c r="O180" s="172"/>
      <c r="P180" s="172"/>
      <c r="Q180" s="172"/>
      <c r="R180" s="204"/>
    </row>
    <row r="181" spans="1:18" ht="12.75" customHeight="1" x14ac:dyDescent="0.25">
      <c r="A181" s="181"/>
      <c r="B181" s="181"/>
      <c r="C181" s="172"/>
      <c r="D181" s="172"/>
      <c r="E181" s="204"/>
      <c r="F181" s="206"/>
      <c r="G181" s="206"/>
      <c r="H181" s="206"/>
      <c r="I181" s="206"/>
      <c r="J181" s="206"/>
      <c r="K181" s="172"/>
      <c r="L181" s="206"/>
      <c r="M181" s="206"/>
      <c r="N181" s="204"/>
      <c r="O181" s="172"/>
      <c r="P181" s="172"/>
      <c r="Q181" s="172"/>
      <c r="R181" s="204"/>
    </row>
    <row r="182" spans="1:18" ht="12.75" customHeight="1" x14ac:dyDescent="0.25">
      <c r="A182" s="181"/>
      <c r="B182" s="181"/>
      <c r="C182" s="172"/>
      <c r="D182" s="172"/>
      <c r="E182" s="204"/>
      <c r="F182" s="206"/>
      <c r="G182" s="206"/>
      <c r="H182" s="206"/>
      <c r="I182" s="206"/>
      <c r="J182" s="206"/>
      <c r="K182" s="172"/>
      <c r="L182" s="206"/>
      <c r="M182" s="206"/>
      <c r="N182" s="204"/>
      <c r="O182" s="172"/>
      <c r="P182" s="172"/>
      <c r="Q182" s="172"/>
      <c r="R182" s="204"/>
    </row>
    <row r="183" spans="1:18" ht="12.75" customHeight="1" x14ac:dyDescent="0.25">
      <c r="A183" s="181"/>
      <c r="B183" s="181"/>
      <c r="C183" s="172"/>
      <c r="D183" s="172"/>
      <c r="E183" s="204"/>
      <c r="F183" s="206"/>
      <c r="G183" s="206"/>
      <c r="H183" s="206"/>
      <c r="I183" s="206"/>
      <c r="J183" s="206"/>
      <c r="K183" s="172"/>
      <c r="L183" s="206"/>
      <c r="M183" s="206"/>
      <c r="N183" s="204"/>
      <c r="O183" s="172"/>
      <c r="P183" s="172"/>
      <c r="Q183" s="172"/>
      <c r="R183" s="204"/>
    </row>
    <row r="184" spans="1:18" ht="12.75" customHeight="1" x14ac:dyDescent="0.25">
      <c r="A184" s="181"/>
      <c r="B184" s="181"/>
      <c r="C184" s="172"/>
      <c r="D184" s="172"/>
      <c r="E184" s="204"/>
      <c r="F184" s="206"/>
      <c r="G184" s="206"/>
      <c r="H184" s="206"/>
      <c r="I184" s="206"/>
      <c r="J184" s="206"/>
      <c r="K184" s="172"/>
      <c r="L184" s="206"/>
      <c r="M184" s="206"/>
      <c r="N184" s="204"/>
      <c r="O184" s="172"/>
      <c r="P184" s="172"/>
      <c r="Q184" s="172"/>
      <c r="R184" s="204"/>
    </row>
    <row r="185" spans="1:18" ht="12.75" customHeight="1" x14ac:dyDescent="0.25">
      <c r="A185" s="181"/>
      <c r="B185" s="181"/>
      <c r="C185" s="172"/>
      <c r="D185" s="172"/>
      <c r="E185" s="204"/>
      <c r="F185" s="206"/>
      <c r="G185" s="206"/>
      <c r="H185" s="206"/>
      <c r="I185" s="206"/>
      <c r="J185" s="206"/>
      <c r="K185" s="172"/>
      <c r="L185" s="206"/>
      <c r="M185" s="206"/>
      <c r="N185" s="204"/>
      <c r="O185" s="172"/>
      <c r="P185" s="172"/>
      <c r="Q185" s="172"/>
      <c r="R185" s="204"/>
    </row>
    <row r="186" spans="1:18" ht="12.75" customHeight="1" x14ac:dyDescent="0.25">
      <c r="A186" s="181"/>
      <c r="B186" s="181"/>
      <c r="C186" s="172"/>
      <c r="D186" s="172"/>
      <c r="E186" s="204"/>
      <c r="F186" s="206"/>
      <c r="G186" s="206"/>
      <c r="H186" s="206"/>
      <c r="I186" s="206"/>
      <c r="J186" s="206"/>
      <c r="K186" s="172"/>
      <c r="L186" s="206"/>
      <c r="M186" s="206"/>
      <c r="N186" s="204"/>
      <c r="O186" s="172"/>
      <c r="P186" s="172"/>
      <c r="Q186" s="172"/>
      <c r="R186" s="204"/>
    </row>
    <row r="187" spans="1:18" ht="12.75" customHeight="1" x14ac:dyDescent="0.25">
      <c r="A187" s="181"/>
      <c r="B187" s="181"/>
      <c r="C187" s="172"/>
      <c r="D187" s="172"/>
      <c r="E187" s="204"/>
      <c r="F187" s="206"/>
      <c r="G187" s="206"/>
      <c r="H187" s="206"/>
      <c r="I187" s="206"/>
      <c r="J187" s="206"/>
      <c r="K187" s="172"/>
      <c r="L187" s="206"/>
      <c r="M187" s="206"/>
      <c r="N187" s="204"/>
      <c r="O187" s="172"/>
      <c r="P187" s="172"/>
      <c r="Q187" s="172"/>
      <c r="R187" s="204"/>
    </row>
    <row r="188" spans="1:18" ht="12.75" customHeight="1" x14ac:dyDescent="0.25">
      <c r="A188" s="181"/>
      <c r="B188" s="181"/>
      <c r="C188" s="172"/>
      <c r="D188" s="172"/>
      <c r="E188" s="204"/>
      <c r="F188" s="206"/>
      <c r="G188" s="206"/>
      <c r="H188" s="206"/>
      <c r="I188" s="206"/>
      <c r="J188" s="206"/>
      <c r="K188" s="172"/>
      <c r="L188" s="206"/>
      <c r="M188" s="206"/>
      <c r="N188" s="204"/>
      <c r="O188" s="172"/>
      <c r="P188" s="172"/>
      <c r="Q188" s="172"/>
      <c r="R188" s="204"/>
    </row>
    <row r="189" spans="1:18" ht="12.75" customHeight="1" x14ac:dyDescent="0.25">
      <c r="A189" s="181"/>
      <c r="B189" s="181"/>
      <c r="C189" s="172"/>
      <c r="D189" s="172"/>
      <c r="E189" s="204"/>
      <c r="F189" s="206"/>
      <c r="G189" s="206"/>
      <c r="H189" s="206"/>
      <c r="I189" s="206"/>
      <c r="J189" s="206"/>
      <c r="K189" s="172"/>
      <c r="L189" s="206"/>
      <c r="M189" s="206"/>
      <c r="N189" s="204"/>
      <c r="O189" s="172"/>
      <c r="P189" s="172"/>
      <c r="Q189" s="172"/>
      <c r="R189" s="204"/>
    </row>
    <row r="190" spans="1:18" ht="12.75" customHeight="1" x14ac:dyDescent="0.25">
      <c r="A190" s="181"/>
      <c r="B190" s="181"/>
      <c r="C190" s="172"/>
      <c r="D190" s="172"/>
      <c r="E190" s="204"/>
      <c r="F190" s="206"/>
      <c r="G190" s="206"/>
      <c r="H190" s="206"/>
      <c r="I190" s="206"/>
      <c r="J190" s="206"/>
      <c r="K190" s="172"/>
      <c r="L190" s="206"/>
      <c r="M190" s="206"/>
      <c r="N190" s="204"/>
      <c r="O190" s="172"/>
      <c r="P190" s="172"/>
      <c r="Q190" s="172"/>
      <c r="R190" s="204"/>
    </row>
    <row r="191" spans="1:18" ht="12.75" customHeight="1" x14ac:dyDescent="0.25">
      <c r="A191" s="181"/>
      <c r="B191" s="181"/>
      <c r="C191" s="172"/>
      <c r="D191" s="172"/>
      <c r="E191" s="204"/>
      <c r="F191" s="206"/>
      <c r="G191" s="206"/>
      <c r="H191" s="206"/>
      <c r="I191" s="206"/>
      <c r="J191" s="206"/>
      <c r="K191" s="172"/>
      <c r="L191" s="206"/>
      <c r="M191" s="206"/>
      <c r="N191" s="204"/>
      <c r="O191" s="172"/>
      <c r="P191" s="172"/>
      <c r="Q191" s="172"/>
      <c r="R191" s="204"/>
    </row>
    <row r="192" spans="1:18" ht="12.75" customHeight="1" x14ac:dyDescent="0.25">
      <c r="A192" s="181"/>
      <c r="B192" s="181"/>
      <c r="C192" s="172"/>
      <c r="D192" s="172"/>
      <c r="E192" s="204"/>
      <c r="F192" s="206"/>
      <c r="G192" s="206"/>
      <c r="H192" s="206"/>
      <c r="I192" s="206"/>
      <c r="J192" s="206"/>
      <c r="K192" s="172"/>
      <c r="L192" s="206"/>
      <c r="M192" s="206"/>
      <c r="N192" s="204"/>
      <c r="O192" s="172"/>
      <c r="P192" s="172"/>
      <c r="Q192" s="172"/>
      <c r="R192" s="204"/>
    </row>
    <row r="193" spans="1:18" ht="12.75" customHeight="1" x14ac:dyDescent="0.25">
      <c r="A193" s="181"/>
      <c r="B193" s="181"/>
      <c r="C193" s="172"/>
      <c r="D193" s="172"/>
      <c r="E193" s="204"/>
      <c r="F193" s="206"/>
      <c r="G193" s="206"/>
      <c r="H193" s="206"/>
      <c r="I193" s="206"/>
      <c r="J193" s="206"/>
      <c r="K193" s="172"/>
      <c r="L193" s="206"/>
      <c r="M193" s="206"/>
      <c r="N193" s="204"/>
      <c r="O193" s="172"/>
      <c r="P193" s="172"/>
      <c r="Q193" s="172"/>
      <c r="R193" s="204"/>
    </row>
    <row r="194" spans="1:18" ht="12.75" customHeight="1" x14ac:dyDescent="0.25">
      <c r="A194" s="181"/>
      <c r="B194" s="181"/>
      <c r="C194" s="172"/>
      <c r="D194" s="172"/>
      <c r="E194" s="204"/>
      <c r="F194" s="206"/>
      <c r="G194" s="206"/>
      <c r="H194" s="206"/>
      <c r="I194" s="206"/>
      <c r="J194" s="206"/>
      <c r="K194" s="172"/>
      <c r="L194" s="206"/>
      <c r="M194" s="206"/>
      <c r="N194" s="204"/>
      <c r="O194" s="172"/>
      <c r="P194" s="172"/>
      <c r="Q194" s="172"/>
      <c r="R194" s="204"/>
    </row>
    <row r="195" spans="1:18" ht="12.75" customHeight="1" x14ac:dyDescent="0.25">
      <c r="A195" s="181"/>
      <c r="B195" s="181"/>
      <c r="C195" s="172"/>
      <c r="D195" s="172"/>
      <c r="E195" s="204"/>
      <c r="F195" s="206"/>
      <c r="G195" s="206"/>
      <c r="H195" s="206"/>
      <c r="I195" s="206"/>
      <c r="J195" s="206"/>
      <c r="K195" s="172"/>
      <c r="L195" s="206"/>
      <c r="M195" s="206"/>
      <c r="N195" s="204"/>
      <c r="O195" s="172"/>
      <c r="P195" s="172"/>
      <c r="Q195" s="172"/>
      <c r="R195" s="204"/>
    </row>
    <row r="196" spans="1:18" ht="12.75" customHeight="1" x14ac:dyDescent="0.25">
      <c r="A196" s="181"/>
      <c r="B196" s="181"/>
      <c r="C196" s="172"/>
      <c r="D196" s="172"/>
      <c r="E196" s="204"/>
      <c r="F196" s="206"/>
      <c r="G196" s="206"/>
      <c r="H196" s="206"/>
      <c r="I196" s="206"/>
      <c r="J196" s="206"/>
      <c r="K196" s="172"/>
      <c r="L196" s="206"/>
      <c r="M196" s="206"/>
      <c r="N196" s="204"/>
      <c r="O196" s="172"/>
      <c r="P196" s="172"/>
      <c r="Q196" s="172"/>
      <c r="R196" s="204"/>
    </row>
    <row r="197" spans="1:18" ht="12.75" customHeight="1" x14ac:dyDescent="0.25">
      <c r="A197" s="181"/>
      <c r="B197" s="181"/>
      <c r="C197" s="172"/>
      <c r="D197" s="172"/>
      <c r="E197" s="204"/>
      <c r="F197" s="206"/>
      <c r="G197" s="206"/>
      <c r="H197" s="206"/>
      <c r="I197" s="206"/>
      <c r="J197" s="206"/>
      <c r="K197" s="172"/>
      <c r="L197" s="206"/>
      <c r="M197" s="206"/>
      <c r="N197" s="204"/>
      <c r="O197" s="172"/>
      <c r="P197" s="172"/>
      <c r="Q197" s="172"/>
      <c r="R197" s="204"/>
    </row>
    <row r="198" spans="1:18" ht="12.75" customHeight="1" x14ac:dyDescent="0.25">
      <c r="A198" s="181"/>
      <c r="B198" s="181"/>
      <c r="C198" s="172"/>
      <c r="D198" s="172"/>
      <c r="E198" s="204"/>
      <c r="F198" s="206"/>
      <c r="G198" s="206"/>
      <c r="H198" s="206"/>
      <c r="I198" s="206"/>
      <c r="J198" s="206"/>
      <c r="K198" s="172"/>
      <c r="L198" s="206"/>
      <c r="M198" s="206"/>
      <c r="N198" s="204"/>
      <c r="O198" s="172"/>
      <c r="P198" s="172"/>
      <c r="Q198" s="172"/>
      <c r="R198" s="204"/>
    </row>
    <row r="199" spans="1:18" ht="12.75" customHeight="1" x14ac:dyDescent="0.25">
      <c r="A199" s="181"/>
      <c r="B199" s="181"/>
      <c r="C199" s="172"/>
      <c r="D199" s="172"/>
      <c r="E199" s="204"/>
      <c r="F199" s="206"/>
      <c r="G199" s="206"/>
      <c r="H199" s="206"/>
      <c r="I199" s="206"/>
      <c r="J199" s="206"/>
      <c r="K199" s="172"/>
      <c r="L199" s="206"/>
      <c r="M199" s="206"/>
      <c r="N199" s="204"/>
      <c r="O199" s="172"/>
      <c r="P199" s="172"/>
      <c r="Q199" s="172"/>
      <c r="R199" s="204"/>
    </row>
    <row r="200" spans="1:18" ht="12.75" customHeight="1" x14ac:dyDescent="0.25">
      <c r="A200" s="181"/>
      <c r="B200" s="181"/>
      <c r="C200" s="172"/>
      <c r="D200" s="172"/>
      <c r="E200" s="204"/>
      <c r="F200" s="206"/>
      <c r="G200" s="206"/>
      <c r="H200" s="206"/>
      <c r="I200" s="206"/>
      <c r="J200" s="206"/>
      <c r="K200" s="172"/>
      <c r="L200" s="206"/>
      <c r="M200" s="206"/>
      <c r="N200" s="204"/>
      <c r="O200" s="172"/>
      <c r="P200" s="172"/>
      <c r="Q200" s="172"/>
      <c r="R200" s="204"/>
    </row>
    <row r="201" spans="1:18"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wlEN7XplnV+rl1IcZmB5/bst+70BwFr3de8b++oGsncELc3k0FpoMXW18lUx4bG+XIyNF5VPVRG6fqfNrmTXDw==" saltValue="kYDwmchFoeySdykmZFgGFw==" spinCount="100000" sheet="1" objects="1" scenarios="1" formatCells="0" formatRows="0"/>
  <conditionalFormatting sqref="R13:R200">
    <cfRule type="expression" priority="3">
      <formula>$E13="Cancelled"</formula>
    </cfRule>
    <cfRule type="expression" dxfId="51" priority="4">
      <formula>$E13&lt;&gt;"Cancelled"</formula>
    </cfRule>
  </conditionalFormatting>
  <conditionalFormatting sqref="N13:Q200">
    <cfRule type="expression" priority="1">
      <formula>$E13&lt;&gt;"Not Started"</formula>
    </cfRule>
    <cfRule type="expression" dxfId="5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73A0C01F-02A6-40F9-8959-DD7570CAEC6B}">
      <formula1>80</formula1>
    </dataValidation>
    <dataValidation type="textLength" operator="lessThanOrEqual" allowBlank="1" showInputMessage="1" showErrorMessage="1" errorTitle="Max Length Exceed" error="Value cannot exceed 20 characters." sqref="D13:D200" xr:uid="{096E655B-3869-4233-947C-D0E9DE2F065A}">
      <formula1>20</formula1>
    </dataValidation>
    <dataValidation type="decimal" operator="lessThanOrEqual" allowBlank="1" showInputMessage="1" showErrorMessage="1" errorTitle="Maximum Exceeded" error="Value cannot exceed 999,999,999,999.99" sqref="F13:F200" xr:uid="{5385D434-A66C-46A3-9758-382C0DB60EFC}">
      <formula1>999999999999.99</formula1>
    </dataValidation>
    <dataValidation type="decimal" operator="lessThanOrEqual" allowBlank="1" showInputMessage="1" showErrorMessage="1" errorTitle="Maximum Exceeded" error="Value cannot exceed 999,999,999,999.99" sqref="G13:G200" xr:uid="{7036399A-6D08-41F1-ACC8-FF0C5D56B493}">
      <formula1>999999999999.99</formula1>
    </dataValidation>
    <dataValidation type="decimal" operator="lessThanOrEqual" allowBlank="1" showInputMessage="1" showErrorMessage="1" errorTitle="Maximum Exceeded" error="Value cannot exceed 999,999,999,999.99" sqref="H13:H200" xr:uid="{F5B999B7-55EE-4586-B0C1-512C116AA567}">
      <formula1>999999999999.99</formula1>
    </dataValidation>
    <dataValidation type="decimal" operator="lessThanOrEqual" allowBlank="1" showInputMessage="1" showErrorMessage="1" errorTitle="Maximum Exceeded" error="Value cannot exceed 999,999,999,999.99" sqref="I13:I200" xr:uid="{AFE46272-AB6B-4D20-961B-E8413D77342E}">
      <formula1>999999999999.99</formula1>
    </dataValidation>
    <dataValidation type="decimal" operator="lessThanOrEqual" allowBlank="1" showInputMessage="1" showErrorMessage="1" errorTitle="Maximum Exceeded" error="Value cannot exceed 999,999,999,999.99" sqref="J13:J200" xr:uid="{D218A0FE-35A6-481F-905F-E7C7A8408E3B}">
      <formula1>999999999999.99</formula1>
    </dataValidation>
    <dataValidation type="textLength" operator="lessThanOrEqual" allowBlank="1" showInputMessage="1" showErrorMessage="1" errorTitle="Max Length Exceed" error="Value cannot exceed 1500 characters." sqref="K13:K200" xr:uid="{73DEAF62-C1E5-4CB1-AD1D-27FB68CB9C02}">
      <formula1>1500</formula1>
    </dataValidation>
    <dataValidation type="decimal" operator="lessThanOrEqual" allowBlank="1" showInputMessage="1" showErrorMessage="1" errorTitle="Maximum Exceeded" error="Value cannot exceed 999,999,999,999.99" sqref="L13:L200" xr:uid="{F584BF9F-3667-4AA1-B056-401D293D54BC}">
      <formula1>999999999999.99</formula1>
    </dataValidation>
    <dataValidation type="decimal" operator="lessThanOrEqual" allowBlank="1" showInputMessage="1" showErrorMessage="1" errorTitle="Maximum Exceeded" error="Value cannot exceed 999,999,999,999.99" sqref="M13:M200" xr:uid="{F1003594-BB06-4311-AB7D-F763800F2B4E}">
      <formula1>999999999999.99</formula1>
    </dataValidation>
    <dataValidation type="whole" operator="lessThanOrEqual" allowBlank="1" showInputMessage="1" showErrorMessage="1" errorTitle="Max Length Exceed" error="Value cannot exceed 7 digits." sqref="O13:O200" xr:uid="{26624962-9DED-4238-879E-395CECB7D3EB}">
      <formula1>9999999</formula1>
    </dataValidation>
    <dataValidation type="textLength" operator="lessThanOrEqual" allowBlank="1" showInputMessage="1" showErrorMessage="1" errorTitle="Max Length Exceed" error="Value cannot exceed 3000 characters." sqref="P13:P200" xr:uid="{4BBC2263-ED6C-4DB0-B5BE-C8096DEDBAA7}">
      <formula1>3000</formula1>
    </dataValidation>
    <dataValidation type="whole" operator="lessThanOrEqual" allowBlank="1" showInputMessage="1" showErrorMessage="1" errorTitle="Max Length Exceed" error="Value cannot exceed 10 digits." sqref="Q13:Q200" xr:uid="{4AE65886-949A-4E7A-A3C5-3F45EC3FECE4}">
      <formula1>9999999999</formula1>
    </dataValidation>
    <dataValidation type="textLength" operator="lessThanOrEqual" allowBlank="1" showInputMessage="1" showErrorMessage="1" errorTitle="Max Length Exceed" error="Value cannot exceed 255 characters." sqref="R13:R200" xr:uid="{CD84D5FC-A9B4-4581-B115-35B8EE858A25}">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S200"/>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19.7265625" style="113" customWidth="1"/>
    <col min="5"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16384" width="9.1796875" style="113"/>
  </cols>
  <sheetData>
    <row r="1" spans="1:71" ht="27" hidden="1" customHeight="1" x14ac:dyDescent="0.25">
      <c r="A1" s="62" t="s">
        <v>345</v>
      </c>
      <c r="B1" s="64" t="s">
        <v>455</v>
      </c>
      <c r="C1" s="67" t="s">
        <v>246</v>
      </c>
      <c r="D1" s="67" t="s">
        <v>246</v>
      </c>
      <c r="E1" s="67" t="s">
        <v>246</v>
      </c>
      <c r="F1" s="67" t="s">
        <v>246</v>
      </c>
      <c r="G1" s="67" t="s">
        <v>246</v>
      </c>
      <c r="H1" s="67" t="s">
        <v>246</v>
      </c>
      <c r="I1" s="67" t="s">
        <v>246</v>
      </c>
      <c r="J1" s="67" t="s">
        <v>246</v>
      </c>
      <c r="K1" s="67" t="s">
        <v>246</v>
      </c>
      <c r="L1" s="67" t="s">
        <v>246</v>
      </c>
      <c r="M1" s="67" t="s">
        <v>246</v>
      </c>
      <c r="N1" s="67" t="s">
        <v>246</v>
      </c>
      <c r="O1" s="67" t="s">
        <v>246</v>
      </c>
      <c r="P1" s="67" t="s">
        <v>408</v>
      </c>
      <c r="Q1" s="67" t="s">
        <v>408</v>
      </c>
      <c r="R1" s="67" t="s">
        <v>252</v>
      </c>
      <c r="S1" s="67" t="s">
        <v>252</v>
      </c>
      <c r="T1" s="67" t="s">
        <v>252</v>
      </c>
      <c r="U1" s="67" t="s">
        <v>252</v>
      </c>
      <c r="V1" s="67" t="s">
        <v>252</v>
      </c>
      <c r="W1" s="67" t="s">
        <v>252</v>
      </c>
      <c r="X1" s="67" t="s">
        <v>252</v>
      </c>
      <c r="Y1" s="67" t="s">
        <v>252</v>
      </c>
      <c r="Z1" s="67" t="s">
        <v>252</v>
      </c>
      <c r="AA1" s="67" t="s">
        <v>252</v>
      </c>
      <c r="AB1" s="67" t="s">
        <v>252</v>
      </c>
      <c r="AC1" s="67" t="s">
        <v>252</v>
      </c>
      <c r="AD1" s="67" t="s">
        <v>252</v>
      </c>
      <c r="AE1" s="67" t="s">
        <v>252</v>
      </c>
      <c r="AF1" s="67" t="s">
        <v>408</v>
      </c>
      <c r="AG1" s="67" t="s">
        <v>408</v>
      </c>
      <c r="AH1" s="67" t="s">
        <v>407</v>
      </c>
      <c r="AI1" s="67" t="s">
        <v>407</v>
      </c>
      <c r="AJ1" s="67" t="s">
        <v>407</v>
      </c>
      <c r="AK1" s="67" t="s">
        <v>406</v>
      </c>
      <c r="AL1" s="67" t="s">
        <v>406</v>
      </c>
      <c r="AM1" s="67" t="s">
        <v>791</v>
      </c>
      <c r="AN1" s="67" t="s">
        <v>791</v>
      </c>
      <c r="AO1" s="67" t="s">
        <v>791</v>
      </c>
      <c r="AP1" s="67" t="s">
        <v>791</v>
      </c>
      <c r="AQ1" s="67" t="s">
        <v>791</v>
      </c>
      <c r="AR1" s="67" t="s">
        <v>791</v>
      </c>
      <c r="AS1" s="67" t="s">
        <v>791</v>
      </c>
      <c r="AT1" s="67" t="s">
        <v>791</v>
      </c>
      <c r="AU1" s="67" t="s">
        <v>791</v>
      </c>
      <c r="AV1" s="67" t="s">
        <v>791</v>
      </c>
      <c r="AW1" s="67" t="s">
        <v>791</v>
      </c>
      <c r="AX1" s="67" t="s">
        <v>791</v>
      </c>
      <c r="AY1" s="67" t="s">
        <v>791</v>
      </c>
      <c r="AZ1" s="67" t="s">
        <v>791</v>
      </c>
      <c r="BA1" s="67" t="s">
        <v>791</v>
      </c>
      <c r="BB1" s="67" t="s">
        <v>791</v>
      </c>
      <c r="BC1" s="67" t="s">
        <v>791</v>
      </c>
      <c r="BD1" s="67" t="s">
        <v>791</v>
      </c>
      <c r="BE1" s="67" t="s">
        <v>791</v>
      </c>
      <c r="BF1" s="67" t="s">
        <v>791</v>
      </c>
      <c r="BG1" s="67" t="s">
        <v>791</v>
      </c>
      <c r="BH1" s="67" t="s">
        <v>791</v>
      </c>
      <c r="BI1" s="67" t="s">
        <v>791</v>
      </c>
      <c r="BJ1" s="67" t="s">
        <v>791</v>
      </c>
      <c r="BK1" s="67" t="s">
        <v>791</v>
      </c>
      <c r="BL1" s="67" t="s">
        <v>791</v>
      </c>
      <c r="BM1" s="67" t="s">
        <v>791</v>
      </c>
      <c r="BN1" s="67" t="s">
        <v>791</v>
      </c>
      <c r="BO1" s="67" t="s">
        <v>252</v>
      </c>
      <c r="BP1" s="67" t="s">
        <v>791</v>
      </c>
      <c r="BQ1" s="67" t="s">
        <v>791</v>
      </c>
      <c r="BR1" s="67" t="s">
        <v>791</v>
      </c>
      <c r="BS1" s="67" t="s">
        <v>791</v>
      </c>
    </row>
    <row r="2" spans="1:71" ht="27" hidden="1" customHeight="1" x14ac:dyDescent="0.25">
      <c r="A2" s="62" t="s">
        <v>346</v>
      </c>
      <c r="B2" s="64"/>
      <c r="C2" s="67" t="s">
        <v>585</v>
      </c>
      <c r="D2" s="67" t="s">
        <v>585</v>
      </c>
      <c r="E2" s="67" t="s">
        <v>585</v>
      </c>
      <c r="F2" s="67" t="s">
        <v>585</v>
      </c>
      <c r="G2" s="67" t="s">
        <v>585</v>
      </c>
      <c r="H2" s="67" t="s">
        <v>585</v>
      </c>
      <c r="I2" s="67" t="s">
        <v>585</v>
      </c>
      <c r="J2" s="67" t="s">
        <v>585</v>
      </c>
      <c r="K2" s="67" t="s">
        <v>585</v>
      </c>
      <c r="L2" s="67" t="s">
        <v>585</v>
      </c>
      <c r="M2" s="67" t="s">
        <v>585</v>
      </c>
      <c r="N2" s="67" t="s">
        <v>585</v>
      </c>
      <c r="O2" s="67" t="s">
        <v>585</v>
      </c>
      <c r="P2" s="67" t="s">
        <v>569</v>
      </c>
      <c r="Q2" s="67" t="s">
        <v>569</v>
      </c>
      <c r="R2" s="67" t="s">
        <v>585</v>
      </c>
      <c r="S2" s="67" t="s">
        <v>585</v>
      </c>
      <c r="T2" s="67" t="s">
        <v>585</v>
      </c>
      <c r="U2" s="67" t="s">
        <v>585</v>
      </c>
      <c r="V2" s="67" t="s">
        <v>585</v>
      </c>
      <c r="W2" s="67" t="s">
        <v>585</v>
      </c>
      <c r="X2" s="67" t="s">
        <v>585</v>
      </c>
      <c r="Y2" s="67" t="s">
        <v>585</v>
      </c>
      <c r="Z2" s="67" t="s">
        <v>585</v>
      </c>
      <c r="AA2" s="67" t="s">
        <v>585</v>
      </c>
      <c r="AB2" s="67" t="s">
        <v>585</v>
      </c>
      <c r="AC2" s="67" t="s">
        <v>585</v>
      </c>
      <c r="AD2" s="67" t="s">
        <v>585</v>
      </c>
      <c r="AE2" s="67" t="s">
        <v>585</v>
      </c>
      <c r="AF2" s="67" t="s">
        <v>569</v>
      </c>
      <c r="AG2" s="67" t="s">
        <v>569</v>
      </c>
      <c r="AH2" s="74"/>
      <c r="AI2" s="74"/>
      <c r="AJ2" s="74"/>
      <c r="AK2" s="67" t="s">
        <v>569</v>
      </c>
      <c r="AL2" s="67" t="s">
        <v>569</v>
      </c>
      <c r="AM2" s="67" t="s">
        <v>792</v>
      </c>
      <c r="AN2" s="67" t="s">
        <v>792</v>
      </c>
      <c r="AO2" s="67" t="s">
        <v>792</v>
      </c>
      <c r="AP2" s="67" t="s">
        <v>792</v>
      </c>
      <c r="AQ2" s="67" t="s">
        <v>792</v>
      </c>
      <c r="AR2" s="67" t="s">
        <v>792</v>
      </c>
      <c r="AS2" s="67" t="s">
        <v>792</v>
      </c>
      <c r="AT2" s="67" t="s">
        <v>792</v>
      </c>
      <c r="AU2" s="67" t="s">
        <v>792</v>
      </c>
      <c r="AV2" s="67" t="s">
        <v>792</v>
      </c>
      <c r="AW2" s="67" t="s">
        <v>792</v>
      </c>
      <c r="AX2" s="67" t="s">
        <v>792</v>
      </c>
      <c r="AY2" s="67" t="s">
        <v>792</v>
      </c>
      <c r="AZ2" s="67" t="s">
        <v>792</v>
      </c>
      <c r="BA2" s="67" t="s">
        <v>792</v>
      </c>
      <c r="BB2" s="67" t="s">
        <v>792</v>
      </c>
      <c r="BC2" s="67" t="s">
        <v>792</v>
      </c>
      <c r="BD2" s="67" t="s">
        <v>792</v>
      </c>
      <c r="BE2" s="67" t="s">
        <v>792</v>
      </c>
      <c r="BF2" s="67" t="s">
        <v>792</v>
      </c>
      <c r="BG2" s="67" t="s">
        <v>792</v>
      </c>
      <c r="BH2" s="67" t="s">
        <v>792</v>
      </c>
      <c r="BI2" s="67" t="s">
        <v>792</v>
      </c>
      <c r="BJ2" s="67" t="s">
        <v>792</v>
      </c>
      <c r="BK2" s="67" t="s">
        <v>792</v>
      </c>
      <c r="BL2" s="67" t="s">
        <v>792</v>
      </c>
      <c r="BM2" s="67" t="s">
        <v>792</v>
      </c>
      <c r="BN2" s="67" t="s">
        <v>792</v>
      </c>
      <c r="BO2" s="67" t="s">
        <v>565</v>
      </c>
      <c r="BP2" s="67" t="s">
        <v>792</v>
      </c>
      <c r="BQ2" s="67" t="s">
        <v>792</v>
      </c>
      <c r="BR2" s="67" t="s">
        <v>792</v>
      </c>
      <c r="BS2" s="67" t="s">
        <v>792</v>
      </c>
    </row>
    <row r="3" spans="1:71" s="137" customFormat="1" ht="27" hidden="1" customHeight="1" x14ac:dyDescent="0.2">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97" t="s">
        <v>247</v>
      </c>
      <c r="O3" s="97" t="s">
        <v>248</v>
      </c>
      <c r="P3" s="97" t="s">
        <v>570</v>
      </c>
      <c r="Q3" s="74" t="s">
        <v>571</v>
      </c>
      <c r="R3" s="74" t="s">
        <v>807</v>
      </c>
      <c r="S3" s="74" t="s">
        <v>808</v>
      </c>
      <c r="T3" s="74" t="s">
        <v>809</v>
      </c>
      <c r="U3" s="74" t="s">
        <v>810</v>
      </c>
      <c r="V3" s="74" t="s">
        <v>811</v>
      </c>
      <c r="W3" s="74" t="s">
        <v>812</v>
      </c>
      <c r="X3" s="74" t="s">
        <v>813</v>
      </c>
      <c r="Y3" s="74" t="s">
        <v>814</v>
      </c>
      <c r="Z3" s="74" t="s">
        <v>815</v>
      </c>
      <c r="AA3" s="74" t="s">
        <v>816</v>
      </c>
      <c r="AB3" s="74" t="s">
        <v>817</v>
      </c>
      <c r="AC3" s="74" t="s">
        <v>818</v>
      </c>
      <c r="AD3" s="74" t="s">
        <v>819</v>
      </c>
      <c r="AE3" s="74" t="s">
        <v>820</v>
      </c>
      <c r="AF3" s="67" t="s">
        <v>575</v>
      </c>
      <c r="AG3" s="74" t="s">
        <v>576</v>
      </c>
      <c r="AH3" s="67" t="s">
        <v>586</v>
      </c>
      <c r="AI3" s="67" t="s">
        <v>587</v>
      </c>
      <c r="AJ3" s="67" t="s">
        <v>588</v>
      </c>
      <c r="AK3" s="74" t="s">
        <v>581</v>
      </c>
      <c r="AL3" s="67" t="s">
        <v>582</v>
      </c>
      <c r="AM3" s="74" t="s">
        <v>965</v>
      </c>
      <c r="AN3" s="74" t="s">
        <v>840</v>
      </c>
      <c r="AO3" s="74" t="s">
        <v>841</v>
      </c>
      <c r="AP3" s="74" t="s">
        <v>845</v>
      </c>
      <c r="AQ3" s="74" t="s">
        <v>846</v>
      </c>
      <c r="AR3" s="74" t="s">
        <v>793</v>
      </c>
      <c r="AS3" s="74" t="s">
        <v>848</v>
      </c>
      <c r="AT3" s="74" t="s">
        <v>854</v>
      </c>
      <c r="AU3" s="74" t="s">
        <v>853</v>
      </c>
      <c r="AV3" s="74" t="s">
        <v>855</v>
      </c>
      <c r="AW3" s="74" t="s">
        <v>857</v>
      </c>
      <c r="AX3" s="74" t="s">
        <v>860</v>
      </c>
      <c r="AY3" s="74" t="s">
        <v>861</v>
      </c>
      <c r="AZ3" s="74" t="s">
        <v>863</v>
      </c>
      <c r="BA3" s="74" t="s">
        <v>864</v>
      </c>
      <c r="BB3" s="74" t="s">
        <v>865</v>
      </c>
      <c r="BC3" s="74" t="s">
        <v>866</v>
      </c>
      <c r="BD3" s="74" t="s">
        <v>872</v>
      </c>
      <c r="BE3" s="74" t="s">
        <v>873</v>
      </c>
      <c r="BF3" s="74" t="s">
        <v>879</v>
      </c>
      <c r="BG3" s="74" t="s">
        <v>880</v>
      </c>
      <c r="BH3" s="74" t="s">
        <v>883</v>
      </c>
      <c r="BI3" s="74" t="s">
        <v>884</v>
      </c>
      <c r="BJ3" s="74" t="s">
        <v>887</v>
      </c>
      <c r="BK3" s="74" t="s">
        <v>888</v>
      </c>
      <c r="BL3" s="74" t="s">
        <v>889</v>
      </c>
      <c r="BM3" s="74" t="s">
        <v>890</v>
      </c>
      <c r="BN3" s="74" t="s">
        <v>893</v>
      </c>
      <c r="BO3" s="74" t="s">
        <v>827</v>
      </c>
      <c r="BP3" s="67" t="s">
        <v>967</v>
      </c>
      <c r="BQ3" s="67" t="s">
        <v>968</v>
      </c>
      <c r="BR3" s="67" t="s">
        <v>995</v>
      </c>
      <c r="BS3" s="67" t="s">
        <v>996</v>
      </c>
    </row>
    <row r="4" spans="1:71" s="146" customFormat="1" ht="27" hidden="1" customHeight="1" x14ac:dyDescent="0.2">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96" t="s">
        <v>468</v>
      </c>
      <c r="O4" s="96" t="s">
        <v>468</v>
      </c>
      <c r="P4" s="96" t="s">
        <v>468</v>
      </c>
      <c r="Q4" s="96" t="s">
        <v>468</v>
      </c>
      <c r="R4" s="96" t="s">
        <v>705</v>
      </c>
      <c r="S4" s="109" t="s">
        <v>254</v>
      </c>
      <c r="T4" s="109" t="s">
        <v>254</v>
      </c>
      <c r="U4" s="109" t="s">
        <v>254</v>
      </c>
      <c r="V4" s="109" t="s">
        <v>254</v>
      </c>
      <c r="W4" s="96" t="s">
        <v>705</v>
      </c>
      <c r="X4" s="109" t="s">
        <v>258</v>
      </c>
      <c r="Y4" s="109" t="s">
        <v>258</v>
      </c>
      <c r="Z4" s="109" t="s">
        <v>258</v>
      </c>
      <c r="AA4" s="109" t="s">
        <v>258</v>
      </c>
      <c r="AB4" s="109" t="s">
        <v>258</v>
      </c>
      <c r="AC4" s="96" t="s">
        <v>705</v>
      </c>
      <c r="AD4" s="96" t="s">
        <v>705</v>
      </c>
      <c r="AE4" s="96" t="s">
        <v>705</v>
      </c>
      <c r="AF4" s="67" t="s">
        <v>468</v>
      </c>
      <c r="AG4" s="67" t="s">
        <v>468</v>
      </c>
      <c r="AH4" s="67" t="s">
        <v>120</v>
      </c>
      <c r="AI4" s="67" t="s">
        <v>468</v>
      </c>
      <c r="AJ4" s="67" t="s">
        <v>468</v>
      </c>
      <c r="AK4" s="74" t="s">
        <v>468</v>
      </c>
      <c r="AL4" s="74" t="s">
        <v>468</v>
      </c>
      <c r="AM4" s="74" t="s">
        <v>468</v>
      </c>
      <c r="AN4" s="105" t="s">
        <v>120</v>
      </c>
      <c r="AO4" s="74" t="s">
        <v>468</v>
      </c>
      <c r="AP4" s="74" t="s">
        <v>468</v>
      </c>
      <c r="AQ4" s="74" t="s">
        <v>468</v>
      </c>
      <c r="AR4" s="105" t="s">
        <v>120</v>
      </c>
      <c r="AS4" s="74" t="s">
        <v>468</v>
      </c>
      <c r="AT4" s="105" t="s">
        <v>120</v>
      </c>
      <c r="AU4" s="74" t="s">
        <v>468</v>
      </c>
      <c r="AV4" s="105" t="s">
        <v>120</v>
      </c>
      <c r="AW4" s="105" t="s">
        <v>120</v>
      </c>
      <c r="AX4" s="74" t="s">
        <v>468</v>
      </c>
      <c r="AY4" s="74" t="s">
        <v>468</v>
      </c>
      <c r="AZ4" s="105" t="s">
        <v>120</v>
      </c>
      <c r="BA4" s="74" t="s">
        <v>468</v>
      </c>
      <c r="BB4" s="105" t="s">
        <v>120</v>
      </c>
      <c r="BC4" s="74" t="s">
        <v>468</v>
      </c>
      <c r="BD4" s="105" t="s">
        <v>120</v>
      </c>
      <c r="BE4" s="74" t="s">
        <v>468</v>
      </c>
      <c r="BF4" s="105" t="s">
        <v>120</v>
      </c>
      <c r="BG4" s="74" t="s">
        <v>468</v>
      </c>
      <c r="BH4" s="105" t="s">
        <v>120</v>
      </c>
      <c r="BI4" s="74" t="s">
        <v>468</v>
      </c>
      <c r="BJ4" s="105" t="s">
        <v>120</v>
      </c>
      <c r="BK4" s="74" t="s">
        <v>468</v>
      </c>
      <c r="BL4" s="74" t="s">
        <v>468</v>
      </c>
      <c r="BM4" s="74" t="s">
        <v>468</v>
      </c>
      <c r="BN4" s="74" t="s">
        <v>468</v>
      </c>
      <c r="BO4" s="96" t="s">
        <v>468</v>
      </c>
      <c r="BP4" s="74" t="s">
        <v>468</v>
      </c>
      <c r="BQ4" s="74" t="s">
        <v>468</v>
      </c>
      <c r="BR4" s="74" t="s">
        <v>120</v>
      </c>
      <c r="BS4" s="74" t="s">
        <v>120</v>
      </c>
    </row>
    <row r="5" spans="1:71" s="146" customFormat="1" ht="27" hidden="1" customHeight="1" x14ac:dyDescent="0.2">
      <c r="A5" s="62" t="s">
        <v>347</v>
      </c>
      <c r="B5" s="110"/>
      <c r="C5" s="106" t="s">
        <v>131</v>
      </c>
      <c r="D5" s="68" t="s">
        <v>143</v>
      </c>
      <c r="E5" s="68"/>
      <c r="F5" s="68" t="s">
        <v>146</v>
      </c>
      <c r="G5" s="106" t="s">
        <v>464</v>
      </c>
      <c r="H5" s="106" t="s">
        <v>465</v>
      </c>
      <c r="I5" s="106" t="s">
        <v>466</v>
      </c>
      <c r="J5" s="106" t="s">
        <v>467</v>
      </c>
      <c r="K5" s="68" t="s">
        <v>132</v>
      </c>
      <c r="L5" s="106" t="s">
        <v>151</v>
      </c>
      <c r="M5" s="106" t="s">
        <v>152</v>
      </c>
      <c r="N5" s="69" t="s">
        <v>263</v>
      </c>
      <c r="O5" s="69" t="s">
        <v>263</v>
      </c>
      <c r="P5" s="70" t="s">
        <v>572</v>
      </c>
      <c r="Q5" s="67" t="s">
        <v>573</v>
      </c>
      <c r="R5" s="74"/>
      <c r="S5" s="105" t="s">
        <v>256</v>
      </c>
      <c r="T5" s="105" t="s">
        <v>257</v>
      </c>
      <c r="U5" s="105" t="s">
        <v>255</v>
      </c>
      <c r="V5" s="105" t="s">
        <v>103</v>
      </c>
      <c r="W5" s="74"/>
      <c r="X5" s="105" t="s">
        <v>259</v>
      </c>
      <c r="Y5" s="67" t="s">
        <v>260</v>
      </c>
      <c r="Z5" s="67" t="s">
        <v>261</v>
      </c>
      <c r="AA5" s="67" t="s">
        <v>104</v>
      </c>
      <c r="AB5" s="67" t="s">
        <v>105</v>
      </c>
      <c r="AC5" s="67"/>
      <c r="AD5" s="67"/>
      <c r="AE5" s="67"/>
      <c r="AF5" s="67" t="s">
        <v>579</v>
      </c>
      <c r="AG5" s="67" t="s">
        <v>580</v>
      </c>
      <c r="AH5" s="67" t="s">
        <v>589</v>
      </c>
      <c r="AI5" s="67" t="s">
        <v>590</v>
      </c>
      <c r="AJ5" s="67" t="s">
        <v>591</v>
      </c>
      <c r="AK5" s="74"/>
      <c r="AL5" s="74"/>
      <c r="AM5" s="74" t="s">
        <v>966</v>
      </c>
      <c r="AN5" s="74" t="s">
        <v>795</v>
      </c>
      <c r="AO5" s="74" t="s">
        <v>796</v>
      </c>
      <c r="AP5" s="74"/>
      <c r="AQ5" s="74"/>
      <c r="AR5" s="74" t="s">
        <v>797</v>
      </c>
      <c r="AS5" s="74" t="s">
        <v>850</v>
      </c>
      <c r="AT5" s="74" t="s">
        <v>798</v>
      </c>
      <c r="AU5" s="74" t="s">
        <v>798</v>
      </c>
      <c r="AV5" s="74" t="s">
        <v>799</v>
      </c>
      <c r="AW5" s="74" t="s">
        <v>800</v>
      </c>
      <c r="AX5" s="74" t="s">
        <v>867</v>
      </c>
      <c r="AY5" s="74" t="s">
        <v>868</v>
      </c>
      <c r="AZ5" s="74" t="s">
        <v>859</v>
      </c>
      <c r="BA5" s="74" t="s">
        <v>862</v>
      </c>
      <c r="BB5" s="74" t="s">
        <v>801</v>
      </c>
      <c r="BC5" s="74" t="s">
        <v>801</v>
      </c>
      <c r="BD5" s="74" t="s">
        <v>871</v>
      </c>
      <c r="BE5" s="74" t="s">
        <v>874</v>
      </c>
      <c r="BF5" s="74" t="s">
        <v>877</v>
      </c>
      <c r="BG5" s="74" t="s">
        <v>878</v>
      </c>
      <c r="BH5" s="74" t="s">
        <v>881</v>
      </c>
      <c r="BI5" s="74" t="s">
        <v>882</v>
      </c>
      <c r="BJ5" s="74" t="s">
        <v>885</v>
      </c>
      <c r="BK5" s="74" t="s">
        <v>886</v>
      </c>
      <c r="BL5" s="74" t="s">
        <v>891</v>
      </c>
      <c r="BM5" s="74" t="s">
        <v>892</v>
      </c>
      <c r="BN5" s="74"/>
      <c r="BO5" s="67" t="s">
        <v>828</v>
      </c>
      <c r="BP5" s="67" t="s">
        <v>969</v>
      </c>
      <c r="BQ5" s="67" t="s">
        <v>970</v>
      </c>
      <c r="BR5" s="67"/>
      <c r="BS5" s="67"/>
    </row>
    <row r="6" spans="1:71" s="146" customFormat="1"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74" t="s">
        <v>106</v>
      </c>
      <c r="O6" s="74" t="s">
        <v>106</v>
      </c>
      <c r="P6" s="67" t="s">
        <v>262</v>
      </c>
      <c r="Q6" s="67" t="s">
        <v>106</v>
      </c>
      <c r="R6" s="67" t="s">
        <v>149</v>
      </c>
      <c r="S6" s="74" t="s">
        <v>154</v>
      </c>
      <c r="T6" s="74" t="s">
        <v>154</v>
      </c>
      <c r="U6" s="74" t="s">
        <v>154</v>
      </c>
      <c r="V6" s="67" t="s">
        <v>149</v>
      </c>
      <c r="W6" s="67" t="s">
        <v>149</v>
      </c>
      <c r="X6" s="74" t="s">
        <v>154</v>
      </c>
      <c r="Y6" s="74" t="s">
        <v>154</v>
      </c>
      <c r="Z6" s="74" t="s">
        <v>154</v>
      </c>
      <c r="AA6" s="67" t="s">
        <v>149</v>
      </c>
      <c r="AB6" s="67" t="s">
        <v>149</v>
      </c>
      <c r="AC6" s="67" t="s">
        <v>149</v>
      </c>
      <c r="AD6" s="67" t="s">
        <v>149</v>
      </c>
      <c r="AE6" s="74" t="s">
        <v>154</v>
      </c>
      <c r="AF6" s="67" t="s">
        <v>106</v>
      </c>
      <c r="AG6" s="67" t="s">
        <v>106</v>
      </c>
      <c r="AH6" s="67" t="s">
        <v>149</v>
      </c>
      <c r="AI6" s="67" t="s">
        <v>106</v>
      </c>
      <c r="AJ6" s="67" t="s">
        <v>149</v>
      </c>
      <c r="AK6" s="67" t="s">
        <v>106</v>
      </c>
      <c r="AL6" s="67" t="s">
        <v>106</v>
      </c>
      <c r="AM6" s="67" t="s">
        <v>149</v>
      </c>
      <c r="AN6" s="67" t="s">
        <v>847</v>
      </c>
      <c r="AO6" s="67" t="s">
        <v>106</v>
      </c>
      <c r="AP6" s="67" t="s">
        <v>847</v>
      </c>
      <c r="AQ6" s="67" t="s">
        <v>106</v>
      </c>
      <c r="AR6" s="67" t="s">
        <v>106</v>
      </c>
      <c r="AS6" s="67" t="s">
        <v>106</v>
      </c>
      <c r="AT6" s="67" t="s">
        <v>106</v>
      </c>
      <c r="AU6" s="67" t="s">
        <v>106</v>
      </c>
      <c r="AV6" s="67" t="s">
        <v>106</v>
      </c>
      <c r="AW6" s="67" t="s">
        <v>106</v>
      </c>
      <c r="AX6" s="67" t="s">
        <v>106</v>
      </c>
      <c r="AY6" s="67" t="s">
        <v>106</v>
      </c>
      <c r="AZ6" s="67" t="s">
        <v>106</v>
      </c>
      <c r="BA6" s="67" t="s">
        <v>106</v>
      </c>
      <c r="BB6" s="67" t="s">
        <v>106</v>
      </c>
      <c r="BC6" s="67" t="s">
        <v>106</v>
      </c>
      <c r="BD6" s="67" t="s">
        <v>106</v>
      </c>
      <c r="BE6" s="67" t="s">
        <v>106</v>
      </c>
      <c r="BF6" s="67" t="s">
        <v>106</v>
      </c>
      <c r="BG6" s="67" t="s">
        <v>106</v>
      </c>
      <c r="BH6" s="67" t="s">
        <v>106</v>
      </c>
      <c r="BI6" s="67" t="s">
        <v>106</v>
      </c>
      <c r="BJ6" s="67" t="s">
        <v>106</v>
      </c>
      <c r="BK6" s="67" t="s">
        <v>106</v>
      </c>
      <c r="BL6" s="67" t="s">
        <v>106</v>
      </c>
      <c r="BM6" s="67" t="s">
        <v>106</v>
      </c>
      <c r="BN6" s="67" t="s">
        <v>149</v>
      </c>
      <c r="BO6" s="74" t="s">
        <v>106</v>
      </c>
      <c r="BP6" s="67" t="s">
        <v>106</v>
      </c>
      <c r="BQ6" s="67" t="s">
        <v>106</v>
      </c>
      <c r="BR6" s="67"/>
      <c r="BS6" s="67"/>
    </row>
    <row r="7" spans="1:71" s="146" customFormat="1"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74" t="s">
        <v>2</v>
      </c>
      <c r="O7" s="74" t="s">
        <v>2</v>
      </c>
      <c r="P7" s="74" t="s">
        <v>142</v>
      </c>
      <c r="Q7" s="67" t="s">
        <v>140</v>
      </c>
      <c r="R7" s="67" t="s">
        <v>142</v>
      </c>
      <c r="S7" s="74" t="s">
        <v>154</v>
      </c>
      <c r="T7" s="74" t="s">
        <v>154</v>
      </c>
      <c r="U7" s="74" t="s">
        <v>154</v>
      </c>
      <c r="V7" s="67" t="s">
        <v>142</v>
      </c>
      <c r="W7" s="67" t="s">
        <v>142</v>
      </c>
      <c r="X7" s="74" t="s">
        <v>154</v>
      </c>
      <c r="Y7" s="74" t="s">
        <v>154</v>
      </c>
      <c r="Z7" s="74" t="s">
        <v>154</v>
      </c>
      <c r="AA7" s="74" t="s">
        <v>142</v>
      </c>
      <c r="AB7" s="74" t="s">
        <v>142</v>
      </c>
      <c r="AC7" s="74" t="s">
        <v>142</v>
      </c>
      <c r="AD7" s="74" t="s">
        <v>142</v>
      </c>
      <c r="AE7" s="74" t="s">
        <v>154</v>
      </c>
      <c r="AF7" s="67" t="s">
        <v>140</v>
      </c>
      <c r="AG7" s="67" t="s">
        <v>140</v>
      </c>
      <c r="AH7" s="67" t="s">
        <v>142</v>
      </c>
      <c r="AI7" s="67" t="s">
        <v>140</v>
      </c>
      <c r="AJ7" s="67" t="s">
        <v>142</v>
      </c>
      <c r="AK7" s="67" t="s">
        <v>144</v>
      </c>
      <c r="AL7" s="67" t="s">
        <v>144</v>
      </c>
      <c r="AM7" s="67" t="s">
        <v>142</v>
      </c>
      <c r="AN7" s="67" t="s">
        <v>142</v>
      </c>
      <c r="AO7" s="67" t="s">
        <v>140</v>
      </c>
      <c r="AP7" s="67" t="s">
        <v>142</v>
      </c>
      <c r="AQ7" s="67" t="s">
        <v>140</v>
      </c>
      <c r="AR7" s="67" t="s">
        <v>156</v>
      </c>
      <c r="AS7" s="67" t="s">
        <v>156</v>
      </c>
      <c r="AT7" s="67" t="s">
        <v>156</v>
      </c>
      <c r="AU7" s="67" t="s">
        <v>156</v>
      </c>
      <c r="AV7" s="67" t="s">
        <v>156</v>
      </c>
      <c r="AW7" s="67" t="s">
        <v>156</v>
      </c>
      <c r="AX7" s="67" t="s">
        <v>156</v>
      </c>
      <c r="AY7" s="67" t="s">
        <v>156</v>
      </c>
      <c r="AZ7" s="67" t="s">
        <v>156</v>
      </c>
      <c r="BA7" s="67" t="s">
        <v>156</v>
      </c>
      <c r="BB7" s="67" t="s">
        <v>156</v>
      </c>
      <c r="BC7" s="67" t="s">
        <v>156</v>
      </c>
      <c r="BD7" s="67" t="s">
        <v>156</v>
      </c>
      <c r="BE7" s="67" t="s">
        <v>156</v>
      </c>
      <c r="BF7" s="67" t="s">
        <v>156</v>
      </c>
      <c r="BG7" s="67" t="s">
        <v>156</v>
      </c>
      <c r="BH7" s="67" t="s">
        <v>156</v>
      </c>
      <c r="BI7" s="67" t="s">
        <v>156</v>
      </c>
      <c r="BJ7" s="67" t="s">
        <v>156</v>
      </c>
      <c r="BK7" s="67" t="s">
        <v>156</v>
      </c>
      <c r="BL7" s="67" t="s">
        <v>140</v>
      </c>
      <c r="BM7" s="67" t="s">
        <v>140</v>
      </c>
      <c r="BN7" s="67" t="s">
        <v>142</v>
      </c>
      <c r="BO7" s="74" t="s">
        <v>140</v>
      </c>
      <c r="BP7" s="67" t="s">
        <v>140</v>
      </c>
      <c r="BQ7" s="67" t="s">
        <v>140</v>
      </c>
      <c r="BR7" s="67" t="s">
        <v>156</v>
      </c>
      <c r="BS7" s="67" t="s">
        <v>156</v>
      </c>
    </row>
    <row r="8" spans="1:71" s="146" customFormat="1" ht="27" hidden="1" customHeight="1" x14ac:dyDescent="0.2">
      <c r="A8" s="62" t="s">
        <v>139</v>
      </c>
      <c r="B8" s="64"/>
      <c r="C8" s="67">
        <v>80</v>
      </c>
      <c r="D8" s="67">
        <v>20</v>
      </c>
      <c r="E8" s="67" t="s">
        <v>106</v>
      </c>
      <c r="F8" s="67" t="s">
        <v>145</v>
      </c>
      <c r="G8" s="67" t="s">
        <v>145</v>
      </c>
      <c r="H8" s="67" t="s">
        <v>145</v>
      </c>
      <c r="I8" s="67" t="s">
        <v>145</v>
      </c>
      <c r="J8" s="67" t="s">
        <v>145</v>
      </c>
      <c r="K8" s="67">
        <v>1500</v>
      </c>
      <c r="L8" s="67" t="s">
        <v>145</v>
      </c>
      <c r="M8" s="67" t="s">
        <v>145</v>
      </c>
      <c r="N8" s="74" t="s">
        <v>697</v>
      </c>
      <c r="O8" s="74" t="s">
        <v>697</v>
      </c>
      <c r="P8" s="74" t="s">
        <v>106</v>
      </c>
      <c r="Q8" s="67">
        <v>255</v>
      </c>
      <c r="R8" s="67" t="s">
        <v>106</v>
      </c>
      <c r="S8" s="74" t="s">
        <v>154</v>
      </c>
      <c r="T8" s="74" t="s">
        <v>154</v>
      </c>
      <c r="U8" s="74" t="s">
        <v>154</v>
      </c>
      <c r="V8" s="67" t="s">
        <v>106</v>
      </c>
      <c r="W8" s="67" t="s">
        <v>106</v>
      </c>
      <c r="X8" s="74" t="s">
        <v>154</v>
      </c>
      <c r="Y8" s="74" t="s">
        <v>154</v>
      </c>
      <c r="Z8" s="74" t="s">
        <v>154</v>
      </c>
      <c r="AA8" s="74" t="s">
        <v>106</v>
      </c>
      <c r="AB8" s="74" t="s">
        <v>106</v>
      </c>
      <c r="AC8" s="74" t="s">
        <v>106</v>
      </c>
      <c r="AD8" s="74" t="s">
        <v>106</v>
      </c>
      <c r="AE8" s="74" t="s">
        <v>154</v>
      </c>
      <c r="AF8" s="67">
        <v>50</v>
      </c>
      <c r="AG8" s="67">
        <v>50</v>
      </c>
      <c r="AH8" s="67" t="s">
        <v>106</v>
      </c>
      <c r="AI8" s="67">
        <v>1500</v>
      </c>
      <c r="AJ8" s="67" t="s">
        <v>106</v>
      </c>
      <c r="AK8" s="67" t="s">
        <v>145</v>
      </c>
      <c r="AL8" s="67" t="s">
        <v>145</v>
      </c>
      <c r="AM8" s="67" t="s">
        <v>106</v>
      </c>
      <c r="AN8" s="67" t="s">
        <v>106</v>
      </c>
      <c r="AO8" s="67">
        <v>250</v>
      </c>
      <c r="AP8" s="67" t="s">
        <v>106</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106</v>
      </c>
      <c r="BO8" s="74">
        <v>255</v>
      </c>
      <c r="BP8" s="67">
        <v>1500</v>
      </c>
      <c r="BQ8" s="67">
        <v>1500</v>
      </c>
      <c r="BR8" s="67">
        <v>9999999999</v>
      </c>
      <c r="BS8" s="67">
        <v>999999</v>
      </c>
    </row>
    <row r="9" spans="1:71" s="146" customFormat="1" ht="27" hidden="1" customHeight="1" x14ac:dyDescent="0.2">
      <c r="A9" s="62" t="s">
        <v>348</v>
      </c>
      <c r="B9" s="108"/>
      <c r="C9" s="105"/>
      <c r="D9" s="105"/>
      <c r="E9" s="105"/>
      <c r="F9" s="105"/>
      <c r="G9" s="105"/>
      <c r="H9" s="105"/>
      <c r="I9" s="105"/>
      <c r="J9" s="105"/>
      <c r="K9" s="105"/>
      <c r="L9" s="105"/>
      <c r="M9" s="105"/>
      <c r="N9" s="96" t="s">
        <v>574</v>
      </c>
      <c r="O9" s="96" t="s">
        <v>574</v>
      </c>
      <c r="P9" s="96" t="s">
        <v>574</v>
      </c>
      <c r="Q9" s="96" t="s">
        <v>574</v>
      </c>
      <c r="R9" s="96"/>
      <c r="S9" s="109"/>
      <c r="T9" s="109"/>
      <c r="U9" s="109"/>
      <c r="V9" s="109"/>
      <c r="W9" s="96"/>
      <c r="X9" s="109"/>
      <c r="Y9" s="109"/>
      <c r="Z9" s="109"/>
      <c r="AA9" s="109"/>
      <c r="AB9" s="109"/>
      <c r="AC9" s="96"/>
      <c r="AD9" s="96"/>
      <c r="AE9" s="96"/>
      <c r="AF9" s="96" t="s">
        <v>574</v>
      </c>
      <c r="AG9" s="96" t="s">
        <v>574</v>
      </c>
      <c r="AH9" s="96" t="s">
        <v>574</v>
      </c>
      <c r="AI9" s="96" t="s">
        <v>574</v>
      </c>
      <c r="AJ9" s="96" t="s">
        <v>574</v>
      </c>
      <c r="AK9" s="96" t="s">
        <v>574</v>
      </c>
      <c r="AL9" s="96" t="s">
        <v>574</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829</v>
      </c>
      <c r="BP9" s="96"/>
      <c r="BQ9" s="96"/>
      <c r="BR9" s="96"/>
      <c r="BS9" s="96"/>
    </row>
    <row r="10" spans="1:71" s="146" customFormat="1" ht="35.15" hidden="1" customHeight="1" x14ac:dyDescent="0.2">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2"/>
      <c r="O10" s="42"/>
      <c r="P10" s="42"/>
      <c r="Q10" s="42"/>
      <c r="R10" s="42"/>
      <c r="S10" s="47"/>
      <c r="T10" s="47"/>
      <c r="U10" s="47"/>
      <c r="V10" s="47"/>
      <c r="W10" s="42"/>
      <c r="X10" s="47"/>
      <c r="Y10" s="47"/>
      <c r="Z10" s="47"/>
      <c r="AA10" s="47"/>
      <c r="AB10" s="47"/>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973</v>
      </c>
      <c r="BQ10" s="42" t="s">
        <v>973</v>
      </c>
      <c r="BR10" s="42" t="s">
        <v>999</v>
      </c>
      <c r="BS10" s="42" t="s">
        <v>998</v>
      </c>
    </row>
    <row r="11" spans="1:71"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row>
    <row r="12" spans="1:71" ht="195"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249</v>
      </c>
      <c r="O12" s="184" t="s">
        <v>250</v>
      </c>
      <c r="P12" s="184" t="s">
        <v>651</v>
      </c>
      <c r="Q12" s="184" t="s">
        <v>253</v>
      </c>
      <c r="R12" s="184" t="s">
        <v>331</v>
      </c>
      <c r="S12" s="184" t="s">
        <v>333</v>
      </c>
      <c r="T12" s="184" t="s">
        <v>332</v>
      </c>
      <c r="U12" s="184" t="s">
        <v>336</v>
      </c>
      <c r="V12" s="184" t="s">
        <v>334</v>
      </c>
      <c r="W12" s="184" t="s">
        <v>335</v>
      </c>
      <c r="X12" s="184" t="s">
        <v>337</v>
      </c>
      <c r="Y12" s="184" t="s">
        <v>338</v>
      </c>
      <c r="Z12" s="184" t="s">
        <v>339</v>
      </c>
      <c r="AA12" s="184" t="s">
        <v>340</v>
      </c>
      <c r="AB12" s="184" t="s">
        <v>341</v>
      </c>
      <c r="AC12" s="184" t="s">
        <v>342</v>
      </c>
      <c r="AD12" s="184" t="s">
        <v>344</v>
      </c>
      <c r="AE12" s="184" t="s">
        <v>343</v>
      </c>
      <c r="AF12" s="184" t="s">
        <v>577</v>
      </c>
      <c r="AG12" s="184" t="s">
        <v>578</v>
      </c>
      <c r="AH12" s="184" t="s">
        <v>975</v>
      </c>
      <c r="AI12" s="184" t="s">
        <v>650</v>
      </c>
      <c r="AJ12" s="184" t="s">
        <v>649</v>
      </c>
      <c r="AK12" s="184" t="s">
        <v>583</v>
      </c>
      <c r="AL12" s="184" t="s">
        <v>584</v>
      </c>
      <c r="AM12" s="184" t="s">
        <v>966</v>
      </c>
      <c r="AN12" s="184" t="s">
        <v>839</v>
      </c>
      <c r="AO12" s="184" t="s">
        <v>842</v>
      </c>
      <c r="AP12" s="184" t="s">
        <v>843</v>
      </c>
      <c r="AQ12" s="184" t="s">
        <v>844</v>
      </c>
      <c r="AR12" s="184" t="s">
        <v>849</v>
      </c>
      <c r="AS12" s="184" t="s">
        <v>850</v>
      </c>
      <c r="AT12" s="184" t="s">
        <v>851</v>
      </c>
      <c r="AU12" s="184" t="s">
        <v>852</v>
      </c>
      <c r="AV12" s="184" t="s">
        <v>856</v>
      </c>
      <c r="AW12" s="184" t="s">
        <v>858</v>
      </c>
      <c r="AX12" s="184" t="s">
        <v>867</v>
      </c>
      <c r="AY12" s="184" t="s">
        <v>868</v>
      </c>
      <c r="AZ12" s="184" t="s">
        <v>859</v>
      </c>
      <c r="BA12" s="184" t="s">
        <v>862</v>
      </c>
      <c r="BB12" s="184" t="s">
        <v>870</v>
      </c>
      <c r="BC12" s="184" t="s">
        <v>869</v>
      </c>
      <c r="BD12" s="184" t="s">
        <v>875</v>
      </c>
      <c r="BE12" s="184" t="s">
        <v>876</v>
      </c>
      <c r="BF12" s="184" t="s">
        <v>877</v>
      </c>
      <c r="BG12" s="184" t="s">
        <v>878</v>
      </c>
      <c r="BH12" s="184" t="s">
        <v>881</v>
      </c>
      <c r="BI12" s="184" t="s">
        <v>882</v>
      </c>
      <c r="BJ12" s="184" t="s">
        <v>885</v>
      </c>
      <c r="BK12" s="184" t="s">
        <v>886</v>
      </c>
      <c r="BL12" s="184" t="s">
        <v>891</v>
      </c>
      <c r="BM12" s="184" t="s">
        <v>892</v>
      </c>
      <c r="BN12" s="184" t="s">
        <v>794</v>
      </c>
      <c r="BO12" s="184" t="s">
        <v>828</v>
      </c>
      <c r="BP12" s="184" t="s">
        <v>969</v>
      </c>
      <c r="BQ12" s="184" t="s">
        <v>970</v>
      </c>
      <c r="BR12" s="184" t="s">
        <v>994</v>
      </c>
      <c r="BS12" s="184" t="s">
        <v>997</v>
      </c>
    </row>
    <row r="13" spans="1:71" s="116" customFormat="1" ht="12.75" customHeight="1" x14ac:dyDescent="0.25">
      <c r="A13" s="190" t="s">
        <v>136</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row>
    <row r="14" spans="1:71"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row>
    <row r="15" spans="1:71"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row>
    <row r="16" spans="1:71"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row>
    <row r="17" spans="1:71"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row>
    <row r="18" spans="1:71"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row>
    <row r="19" spans="1:71"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row>
    <row r="20" spans="1:71"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row>
    <row r="21" spans="1:71"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row>
    <row r="22" spans="1:71"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row>
    <row r="23" spans="1:71"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row>
    <row r="24" spans="1:71"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row>
    <row r="25" spans="1:71"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row>
    <row r="26" spans="1:71"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row>
    <row r="27" spans="1:71"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row>
    <row r="28" spans="1:71"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row>
    <row r="29" spans="1:71"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row>
    <row r="30" spans="1:71"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row>
    <row r="31" spans="1:71"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row>
    <row r="32" spans="1:71"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row>
    <row r="33" spans="1:71"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row>
    <row r="34" spans="1:71"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row>
    <row r="35" spans="1:71"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row>
    <row r="36" spans="1:71"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row>
    <row r="37" spans="1:71"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row>
    <row r="38" spans="1:71"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row>
    <row r="39" spans="1:71"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row>
    <row r="40" spans="1:71"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row>
    <row r="41" spans="1:71"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row>
    <row r="42" spans="1:71"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row>
    <row r="43" spans="1:71"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row>
    <row r="44" spans="1:71"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row>
    <row r="45" spans="1:71"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row>
    <row r="46" spans="1:71"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row>
    <row r="47" spans="1:71"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row>
    <row r="48" spans="1:71"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row>
    <row r="49" spans="1:71"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row>
    <row r="50" spans="1:71"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row>
    <row r="51" spans="1:71"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row>
    <row r="52" spans="1:71"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row>
    <row r="53" spans="1:71"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row>
    <row r="54" spans="1:71"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row>
    <row r="55" spans="1:71"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row>
    <row r="56" spans="1:71"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row>
    <row r="57" spans="1:71"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row>
    <row r="58" spans="1:71"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row>
    <row r="59" spans="1:71"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row>
    <row r="60" spans="1:71"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row>
    <row r="61" spans="1:71"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row>
    <row r="62" spans="1:71"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row>
    <row r="63" spans="1:71"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row>
    <row r="64" spans="1:71"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row>
    <row r="65" spans="1:71"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row>
    <row r="66" spans="1:71"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row>
    <row r="67" spans="1:71"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row>
    <row r="68" spans="1:71"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row>
    <row r="69" spans="1:71"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row>
    <row r="70" spans="1:71"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row>
    <row r="71" spans="1:71"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row>
    <row r="72" spans="1:71"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row>
    <row r="73" spans="1:71"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row>
    <row r="74" spans="1:71"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row>
    <row r="75" spans="1:71"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row>
    <row r="76" spans="1:71"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row>
    <row r="77" spans="1:71"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row>
    <row r="78" spans="1:71"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row>
    <row r="79" spans="1:71"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row>
    <row r="80" spans="1:71"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row>
    <row r="81" spans="1:71"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row>
    <row r="82" spans="1:71"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row>
    <row r="83" spans="1:71"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row>
    <row r="84" spans="1:71"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row>
    <row r="85" spans="1:71"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row>
    <row r="86" spans="1:71"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row>
    <row r="87" spans="1:71"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row>
    <row r="88" spans="1:71"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row>
    <row r="89" spans="1:71"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row>
    <row r="90" spans="1:71"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row>
    <row r="91" spans="1:71"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row>
    <row r="92" spans="1:71"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row>
    <row r="93" spans="1:71"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row>
    <row r="94" spans="1:71"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row>
    <row r="95" spans="1:71"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row>
    <row r="96" spans="1:71"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row>
    <row r="97" spans="1:71"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row>
    <row r="98" spans="1:71"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row>
    <row r="99" spans="1:71"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row>
    <row r="100" spans="1:71"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row>
    <row r="101" spans="1:71"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row>
    <row r="102" spans="1:71"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row>
    <row r="103" spans="1:71"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row>
    <row r="104" spans="1:71"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row>
    <row r="105" spans="1:71"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row>
    <row r="106" spans="1:71"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row>
    <row r="107" spans="1:71"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row>
    <row r="108" spans="1:71"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row>
    <row r="109" spans="1:71"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row>
    <row r="110" spans="1:71"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row>
    <row r="111" spans="1:71"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row>
    <row r="112" spans="1:71"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row>
    <row r="113" spans="1:71"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row>
    <row r="114" spans="1:71"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row>
    <row r="115" spans="1:71"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row>
    <row r="116" spans="1:71"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row>
    <row r="117" spans="1:71"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row>
    <row r="118" spans="1:71"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row>
    <row r="119" spans="1:71"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row>
    <row r="120" spans="1:71"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row>
    <row r="121" spans="1:71"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row>
    <row r="122" spans="1:71"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row>
    <row r="123" spans="1:71"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row>
    <row r="124" spans="1:71"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row>
    <row r="125" spans="1:71"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row>
    <row r="126" spans="1:71"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row>
    <row r="127" spans="1:71"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row>
    <row r="128" spans="1:71"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row>
    <row r="129" spans="1:71"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row>
    <row r="130" spans="1:71"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row>
    <row r="131" spans="1:71"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row>
    <row r="132" spans="1:71"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row>
    <row r="133" spans="1:71"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row>
    <row r="134" spans="1:71"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row>
    <row r="135" spans="1:71"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row>
    <row r="136" spans="1:71"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row>
    <row r="137" spans="1:71"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row>
    <row r="138" spans="1:71"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row>
    <row r="139" spans="1:71"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row>
    <row r="140" spans="1:71"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row>
    <row r="141" spans="1:71"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row>
    <row r="142" spans="1:71"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row>
    <row r="143" spans="1:71"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row>
    <row r="144" spans="1:71"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row>
    <row r="145" spans="1:71"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row>
    <row r="146" spans="1:71"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row>
    <row r="147" spans="1:71"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row>
    <row r="148" spans="1:71"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row>
    <row r="149" spans="1:71"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row>
    <row r="150" spans="1:71"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row>
    <row r="151" spans="1:71"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row>
    <row r="152" spans="1:71"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row>
    <row r="153" spans="1:71"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row>
    <row r="154" spans="1:71"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row>
    <row r="155" spans="1:71"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row>
    <row r="156" spans="1:71"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row>
    <row r="157" spans="1:71"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row>
    <row r="158" spans="1:71"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row>
    <row r="159" spans="1:71"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row>
    <row r="160" spans="1:71"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row>
    <row r="161" spans="1:71"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row>
    <row r="162" spans="1:71"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row>
    <row r="163" spans="1:71"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row>
    <row r="164" spans="1:71"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row>
    <row r="165" spans="1:71"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row>
    <row r="166" spans="1:71"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row>
    <row r="167" spans="1:71"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row>
    <row r="168" spans="1:71"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row>
    <row r="169" spans="1:71"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row>
    <row r="170" spans="1:71"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row>
    <row r="171" spans="1:71"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row>
    <row r="172" spans="1:71"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row>
    <row r="173" spans="1:71"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row>
    <row r="174" spans="1:71"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row>
    <row r="175" spans="1:71"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row>
    <row r="176" spans="1:71"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row>
    <row r="177" spans="1:71"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row>
    <row r="178" spans="1:71"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row>
    <row r="179" spans="1:71"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row>
    <row r="180" spans="1:71"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row>
    <row r="181" spans="1:71"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row>
    <row r="182" spans="1:71"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row>
    <row r="183" spans="1:71"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row>
    <row r="184" spans="1:71"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row>
    <row r="185" spans="1:71"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row>
    <row r="186" spans="1:71"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row>
    <row r="187" spans="1:71"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row>
    <row r="188" spans="1:71"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row>
    <row r="189" spans="1:71"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row>
    <row r="190" spans="1:71"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row>
    <row r="191" spans="1:71"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row>
    <row r="192" spans="1:71"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row>
    <row r="193" spans="1:71"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row>
    <row r="194" spans="1:71"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row>
    <row r="195" spans="1:71"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row>
    <row r="196" spans="1:71"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row>
    <row r="197" spans="1:71"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row>
    <row r="198" spans="1:71"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row>
    <row r="199" spans="1:71"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row>
    <row r="200" spans="1:71"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row>
  </sheetData>
  <sheetProtection algorithmName="SHA-512" hashValue="zTWZKbsKfhGYr1VfkHl3KMl/rPD0tJBbYsUDbZ52lIYjAAN1vzSZCSF8T6tZHs+Hu96qUxNUEJgO4//Z2lvrsg==" saltValue="4Vnu00ttd5s/TjuMIcKSxg==" spinCount="100000" sheet="1" objects="1" scenarios="1" formatCells="0" formatRows="0"/>
  <dataConsolidate/>
  <conditionalFormatting sqref="AI13:AI200">
    <cfRule type="expression" dxfId="49" priority="82">
      <formula>$AH13="No"</formula>
    </cfRule>
    <cfRule type="expression" dxfId="48" priority="83">
      <formula>$AH13="Yes"</formula>
    </cfRule>
  </conditionalFormatting>
  <conditionalFormatting sqref="AE13:AE200">
    <cfRule type="expression" dxfId="47" priority="84">
      <formula>AND($F13&gt;=10000000,$AD13="Yes")</formula>
    </cfRule>
    <cfRule type="expression" dxfId="46" priority="85">
      <formula>OR($F13&lt;10000000,$AD13="No")</formula>
    </cfRule>
  </conditionalFormatting>
  <conditionalFormatting sqref="AC13:AD200">
    <cfRule type="expression" dxfId="45" priority="86">
      <formula>$F13&gt;=10000000</formula>
    </cfRule>
    <cfRule type="expression" dxfId="44" priority="88">
      <formula>$F13&lt;10000000</formula>
    </cfRule>
  </conditionalFormatting>
  <conditionalFormatting sqref="X13:AB200">
    <cfRule type="expression" dxfId="43" priority="89">
      <formula>$F13&lt;10000000</formula>
    </cfRule>
    <cfRule type="expression" dxfId="42" priority="90">
      <formula>AND($F13&gt;=10000000,$W13="Yes")</formula>
    </cfRule>
    <cfRule type="expression" dxfId="41" priority="91">
      <formula>AND($F13&gt;=10000000,$W13="No")</formula>
    </cfRule>
  </conditionalFormatting>
  <conditionalFormatting sqref="W13:W200">
    <cfRule type="expression" dxfId="40" priority="92">
      <formula>F13&lt;10000000</formula>
    </cfRule>
    <cfRule type="expression" dxfId="39" priority="93">
      <formula>F13&gt;=10000000</formula>
    </cfRule>
  </conditionalFormatting>
  <conditionalFormatting sqref="R13:R200">
    <cfRule type="expression" dxfId="38" priority="97">
      <formula>F13&gt;=10000000</formula>
    </cfRule>
    <cfRule type="expression" dxfId="37" priority="99">
      <formula>F13&lt;10000000</formula>
    </cfRule>
  </conditionalFormatting>
  <conditionalFormatting sqref="S13:V200">
    <cfRule type="expression" dxfId="36" priority="125">
      <formula>$F13&lt;10000000</formula>
    </cfRule>
    <cfRule type="expression" dxfId="35" priority="126">
      <formula>AND($F13&gt;=10000000,$R13="Yes")</formula>
    </cfRule>
    <cfRule type="expression" dxfId="34" priority="127">
      <formula>AND(F13&gt;=10000000,R13="No")</formula>
    </cfRule>
  </conditionalFormatting>
  <conditionalFormatting sqref="AM13:AM200">
    <cfRule type="expression" dxfId="33" priority="79">
      <formula>$AH13="No"</formula>
    </cfRule>
    <cfRule type="expression" dxfId="32" priority="80">
      <formula>$AH13="Yes"</formula>
    </cfRule>
  </conditionalFormatting>
  <conditionalFormatting sqref="BO13:BO200">
    <cfRule type="expression" priority="8">
      <formula>$E13="Cancelled"</formula>
    </cfRule>
    <cfRule type="expression" dxfId="31" priority="9">
      <formula>$E13&lt;&gt;"Cancelled"</formula>
    </cfRule>
  </conditionalFormatting>
  <conditionalFormatting sqref="AO13:AO200">
    <cfRule type="expression" dxfId="30" priority="52">
      <formula>LEFT($AN13,5)="Other"</formula>
    </cfRule>
    <cfRule type="expression" dxfId="29" priority="53">
      <formula>LEFT($AN13,5)&lt;&gt;"Other"</formula>
    </cfRule>
  </conditionalFormatting>
  <conditionalFormatting sqref="AQ13:AQ200">
    <cfRule type="expression" dxfId="28" priority="6">
      <formula>LEFT($AP13,5)="Other"</formula>
    </cfRule>
    <cfRule type="expression" dxfId="27" priority="7">
      <formula>LEFT($AP13,5)&lt;&gt;"Other"</formula>
    </cfRule>
  </conditionalFormatting>
  <conditionalFormatting sqref="AP13:AP200">
    <cfRule type="expression" priority="4" stopIfTrue="1">
      <formula>$E13="Completed"</formula>
    </cfRule>
    <cfRule type="expression" dxfId="26" priority="5">
      <formula>$E13&lt;&gt;"Completed"</formula>
    </cfRule>
  </conditionalFormatting>
  <conditionalFormatting sqref="AU13:AU200">
    <cfRule type="expression" priority="42">
      <formula>$E13="Completed"</formula>
    </cfRule>
    <cfRule type="expression" dxfId="25" priority="43">
      <formula>$E13&lt;&gt;"Completed"</formula>
    </cfRule>
  </conditionalFormatting>
  <conditionalFormatting sqref="AY13:AY200 BA13:BA200 BC13:BC200">
    <cfRule type="expression" priority="30">
      <formula>$E13="Completed"</formula>
    </cfRule>
    <cfRule type="expression" dxfId="24" priority="31">
      <formula>$E13&lt;&gt;"Completed"</formula>
    </cfRule>
  </conditionalFormatting>
  <conditionalFormatting sqref="BE13:BE200 BG13:BG200 BI13:BI200">
    <cfRule type="expression" priority="22">
      <formula>$E13="Completed"</formula>
    </cfRule>
    <cfRule type="expression" dxfId="23" priority="23">
      <formula>$E13&lt;&gt;"Completed"</formula>
    </cfRule>
  </conditionalFormatting>
  <conditionalFormatting sqref="AS13:AS200">
    <cfRule type="expression" priority="46" stopIfTrue="1">
      <formula>$E13="Completed"</formula>
    </cfRule>
    <cfRule type="expression" dxfId="22" priority="47">
      <formula>$E13&lt;&gt;"Completed"</formula>
    </cfRule>
  </conditionalFormatting>
  <conditionalFormatting sqref="AV13:AX200 AZ13:AZ200">
    <cfRule type="expression" priority="38">
      <formula>$E13&lt;&gt;"Not Started"</formula>
    </cfRule>
    <cfRule type="expression" dxfId="21" priority="39">
      <formula>$E13="Not Started"</formula>
    </cfRule>
  </conditionalFormatting>
  <conditionalFormatting sqref="BN13:BN200">
    <cfRule type="expression" priority="1">
      <formula>$AM13="Yes"</formula>
    </cfRule>
    <cfRule type="expression" dxfId="20" priority="2">
      <formula>$AM13&lt;&gt;"Yes"</formula>
    </cfRule>
  </conditionalFormatting>
  <conditionalFormatting sqref="N13:Q200 AF13:BN200">
    <cfRule type="expression" priority="60" stopIfTrue="1">
      <formula>_xlfn.NUMBERVALUE(MID(MID($C$11,1,FIND("-",$C$11,1)-1),3,2))&gt;=19</formula>
    </cfRule>
    <cfRule type="expression" dxfId="19" priority="61">
      <formula>AND(_xlfn.NUMBERVALUE(MID(MID($C$11,1,FIND("-",$C$11,1)-1),3,2))&lt;19,$E13="Not Started")</formula>
    </cfRule>
  </conditionalFormatting>
  <conditionalFormatting sqref="BK13:BK200 BM13:BM200 BQ13:BQ200">
    <cfRule type="expression" priority="14">
      <formula>$E13="Completed"</formula>
    </cfRule>
    <cfRule type="expression" dxfId="18" priority="15">
      <formula>$E13&lt;&gt;"Completed"</formula>
    </cfRule>
  </conditionalFormatting>
  <dataValidations count="52">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41C87FC0-DA41-4F7D-AD5E-7015A4D67F4B}">
      <formula1>80</formula1>
    </dataValidation>
    <dataValidation type="textLength" operator="lessThanOrEqual" allowBlank="1" showInputMessage="1" showErrorMessage="1" errorTitle="Max Length Exceed" error="Value cannot exceed 20 characters." sqref="D13:D200" xr:uid="{D9F2084E-28CF-4BF3-9FF3-725FF23AF33A}">
      <formula1>20</formula1>
    </dataValidation>
    <dataValidation type="decimal" operator="lessThanOrEqual" allowBlank="1" showInputMessage="1" showErrorMessage="1" errorTitle="Maximum Exceeded" error="Value cannot exceed 999,999,999,999.99" sqref="F13:F200" xr:uid="{CB681400-5427-4DF5-A97A-12DED8EB0833}">
      <formula1>999999999999.99</formula1>
    </dataValidation>
    <dataValidation type="decimal" operator="lessThanOrEqual" allowBlank="1" showInputMessage="1" showErrorMessage="1" errorTitle="Maximum Exceeded" error="Value cannot exceed 999,999,999,999.99" sqref="G13:G200" xr:uid="{5CBC5636-BA76-4CBA-9C66-099FC619283A}">
      <formula1>999999999999.99</formula1>
    </dataValidation>
    <dataValidation type="decimal" operator="lessThanOrEqual" allowBlank="1" showInputMessage="1" showErrorMessage="1" errorTitle="Maximum Exceeded" error="Value cannot exceed 999,999,999,999.99" sqref="H13:H200" xr:uid="{EE134D8F-64B1-461B-9526-D8A94AF5AE42}">
      <formula1>999999999999.99</formula1>
    </dataValidation>
    <dataValidation type="decimal" operator="lessThanOrEqual" allowBlank="1" showInputMessage="1" showErrorMessage="1" errorTitle="Maximum Exceeded" error="Value cannot exceed 999,999,999,999.99" sqref="I13:I200" xr:uid="{D240589C-4DB0-4A60-AF3A-32D40CF5BD4A}">
      <formula1>999999999999.99</formula1>
    </dataValidation>
    <dataValidation type="decimal" operator="lessThanOrEqual" allowBlank="1" showInputMessage="1" showErrorMessage="1" errorTitle="Maximum Exceeded" error="Value cannot exceed 999,999,999,999.99" sqref="J13:J200" xr:uid="{1EA909EA-6981-4C3E-A277-D0F8BC31350A}">
      <formula1>999999999999.99</formula1>
    </dataValidation>
    <dataValidation type="textLength" operator="lessThanOrEqual" allowBlank="1" showInputMessage="1" showErrorMessage="1" errorTitle="Max Length Exceed" error="Value cannot exceed 1500 characters." sqref="K13:K200" xr:uid="{FDE12B08-2F3A-4B7C-BA93-D4AA9B84971F}">
      <formula1>1500</formula1>
    </dataValidation>
    <dataValidation type="decimal" operator="lessThanOrEqual" allowBlank="1" showInputMessage="1" showErrorMessage="1" errorTitle="Maximum Exceeded" error="Value cannot exceed 999,999,999,999.99" sqref="L13:L200" xr:uid="{4B69DE22-D8A3-403D-BAD5-732A09ECDF1A}">
      <formula1>999999999999.99</formula1>
    </dataValidation>
    <dataValidation type="decimal" operator="lessThanOrEqual" allowBlank="1" showInputMessage="1" showErrorMessage="1" errorTitle="Maximum Exceeded" error="Value cannot exceed 999,999,999,999.99" sqref="M13:M200" xr:uid="{825562EC-A5F2-4BD6-ADE0-473CE9A081C5}">
      <formula1>999999999999.99</formula1>
    </dataValidation>
    <dataValidation type="date" operator="lessThan" allowBlank="1" showInputMessage="1" showErrorMessage="1" errorTitle="Date Format" error="Please check the format of the date you entered." sqref="N13:N200" xr:uid="{0019C189-68CB-4A49-A956-BD9D67CA7DE0}">
      <formula1>46753</formula1>
    </dataValidation>
    <dataValidation type="date" operator="lessThan" allowBlank="1" showInputMessage="1" showErrorMessage="1" errorTitle="Date Format" error="Please check the format of the date you entered." sqref="O13:O200" xr:uid="{E675BABB-AC69-43D8-86FF-E1E814CC4961}">
      <formula1>46753</formula1>
    </dataValidation>
    <dataValidation type="textLength" operator="lessThanOrEqual" allowBlank="1" showInputMessage="1" showErrorMessage="1" errorTitle="Max Length Exceed" error="Value cannot exceed 255 characters." sqref="Q13:Q200" xr:uid="{2B5C76E4-98FB-4119-98FF-A124FEAB55BE}">
      <formula1>255</formula1>
    </dataValidation>
    <dataValidation type="textLength" operator="lessThanOrEqual" allowBlank="1" showInputMessage="1" showErrorMessage="1" errorTitle="Max Length Exceed" error="Value cannot exceed 50 characters." sqref="AF13:AF200" xr:uid="{18595B20-465C-4F28-AE8A-E5E9C9306976}">
      <formula1>50</formula1>
    </dataValidation>
    <dataValidation type="textLength" operator="lessThanOrEqual" allowBlank="1" showInputMessage="1" showErrorMessage="1" errorTitle="Max Length Exceed" error="Value cannot exceed 50 characters." sqref="AG13:AG200" xr:uid="{D78ABD36-F05F-49CD-BD54-43658A847F6D}">
      <formula1>50</formula1>
    </dataValidation>
    <dataValidation type="textLength" operator="lessThanOrEqual" allowBlank="1" showInputMessage="1" showErrorMessage="1" errorTitle="Max Length Exceed" error="Value cannot exceed 1500 characters." sqref="AI13:AI200" xr:uid="{09B23702-504C-47F6-84A3-AE87F7AA3A12}">
      <formula1>1500</formula1>
    </dataValidation>
    <dataValidation type="decimal" operator="lessThanOrEqual" allowBlank="1" showInputMessage="1" showErrorMessage="1" errorTitle="Maximum Exceeded" error="Value cannot exceed 999,999,999,999.99" sqref="AK13:AK200" xr:uid="{BABA7DBD-3530-48AD-BBC8-F2067D5F0FCE}">
      <formula1>999999999999.99</formula1>
    </dataValidation>
    <dataValidation type="decimal" operator="lessThanOrEqual" allowBlank="1" showInputMessage="1" showErrorMessage="1" errorTitle="Maximum Exceeded" error="Value cannot exceed 999,999,999,999.99" sqref="AL13:AL200" xr:uid="{CA81163C-D39D-4E35-864A-05DAFCC510DA}">
      <formula1>999999999999.99</formula1>
    </dataValidation>
    <dataValidation type="textLength" operator="lessThanOrEqual" allowBlank="1" showInputMessage="1" showErrorMessage="1" errorTitle="Max Length Exceed" error="Value cannot exceed 250 characters." sqref="AO13:AO200" xr:uid="{B091412A-DF68-4810-BC97-DB8DA58B178F}">
      <formula1>250</formula1>
    </dataValidation>
    <dataValidation type="textLength" operator="lessThanOrEqual" allowBlank="1" showInputMessage="1" showErrorMessage="1" errorTitle="Max Length Exceed" error="Value cannot exceed 250 characters." sqref="AQ13:AQ200" xr:uid="{D6DB9634-EA85-4C8B-BE6C-1A24ECCD8550}">
      <formula1>250</formula1>
    </dataValidation>
    <dataValidation type="whole" operator="lessThanOrEqual" allowBlank="1" showInputMessage="1" showErrorMessage="1" errorTitle="Max Length Exceed" error="Value cannot exceed 10 digits." sqref="AR13:AR200" xr:uid="{AA2A84A8-3290-468C-9F7D-D51E0BB57B8D}">
      <formula1>9999999999</formula1>
    </dataValidation>
    <dataValidation type="whole" operator="lessThanOrEqual" allowBlank="1" showInputMessage="1" showErrorMessage="1" errorTitle="Max Length Exceed" error="Value cannot exceed 10 digits." sqref="AS13:AS200" xr:uid="{DD7FAF20-5086-4176-99CF-8D1D07B29BDA}">
      <formula1>9999999999</formula1>
    </dataValidation>
    <dataValidation type="whole" operator="lessThanOrEqual" allowBlank="1" showInputMessage="1" showErrorMessage="1" errorTitle="Max Length Exceed" error="Value cannot exceed 10 digits." sqref="AT13:AT200" xr:uid="{AC036856-361D-40B0-AACD-B9D8A27988C7}">
      <formula1>9999999999</formula1>
    </dataValidation>
    <dataValidation type="whole" operator="lessThanOrEqual" allowBlank="1" showInputMessage="1" showErrorMessage="1" errorTitle="Max Length Exceed" error="Value cannot exceed 10 digits." sqref="AU13:AU200" xr:uid="{4FD81100-909C-4387-9E5B-2B96CD1EA559}">
      <formula1>9999999999</formula1>
    </dataValidation>
    <dataValidation type="whole" operator="lessThanOrEqual" allowBlank="1" showInputMessage="1" showErrorMessage="1" errorTitle="Max Length Exceed" error="Value cannot exceed 10 digits." sqref="AV13:AV200" xr:uid="{E3DF5CEA-EB32-4FF6-8BE0-36076B356785}">
      <formula1>9999999999</formula1>
    </dataValidation>
    <dataValidation type="whole" operator="lessThanOrEqual" allowBlank="1" showInputMessage="1" showErrorMessage="1" errorTitle="Max Length Exceed" error="Value cannot exceed 10 digits." sqref="AW13:AW200" xr:uid="{B2339935-704F-4E72-9EBE-49EB46B3FD56}">
      <formula1>9999999999</formula1>
    </dataValidation>
    <dataValidation type="whole" operator="lessThanOrEqual" allowBlank="1" showInputMessage="1" showErrorMessage="1" errorTitle="Max Length Exceed" error="Value cannot exceed 10 digits." sqref="AX13:AX200" xr:uid="{9335F681-335A-4184-B6C9-B03C410FA2B0}">
      <formula1>9999999999</formula1>
    </dataValidation>
    <dataValidation type="whole" operator="lessThanOrEqual" allowBlank="1" showInputMessage="1" showErrorMessage="1" errorTitle="Max Length Exceed" error="Value cannot exceed 10 digits." sqref="AY13:AY200" xr:uid="{130D54F3-D40F-4E0E-A123-494EFCF2B97F}">
      <formula1>9999999999</formula1>
    </dataValidation>
    <dataValidation type="whole" operator="lessThanOrEqual" allowBlank="1" showInputMessage="1" showErrorMessage="1" errorTitle="Max Length Exceed" error="Value cannot exceed 10 digits." sqref="AZ13:AZ200" xr:uid="{B54AE87B-6F34-44F4-8B26-CAB3FA92385F}">
      <formula1>9999999999</formula1>
    </dataValidation>
    <dataValidation type="whole" operator="lessThanOrEqual" allowBlank="1" showInputMessage="1" showErrorMessage="1" errorTitle="Max Length Exceed" error="Value cannot exceed 10 digits." sqref="BA13:BA200" xr:uid="{8C2733AC-85B9-4B38-A99B-7ED7BF4F16BE}">
      <formula1>9999999999</formula1>
    </dataValidation>
    <dataValidation type="whole" operator="lessThanOrEqual" allowBlank="1" showInputMessage="1" showErrorMessage="1" errorTitle="Max Length Exceed" error="Value cannot exceed 10 digits." sqref="BB13:BB200" xr:uid="{4C7551D2-D929-4E38-9952-F3888C07809C}">
      <formula1>9999999999</formula1>
    </dataValidation>
    <dataValidation type="whole" operator="lessThanOrEqual" allowBlank="1" showInputMessage="1" showErrorMessage="1" errorTitle="Max Length Exceed" error="Value cannot exceed 10 digits." sqref="BC13:BC200" xr:uid="{6F9FA381-AB60-471F-BF6B-F74B792290C8}">
      <formula1>9999999999</formula1>
    </dataValidation>
    <dataValidation type="whole" operator="lessThanOrEqual" allowBlank="1" showInputMessage="1" showErrorMessage="1" errorTitle="Max Length Exceed" error="Value cannot exceed 10 digits." sqref="BD13:BD200" xr:uid="{17C13E80-7601-4396-A8D2-674B2BFBA4AA}">
      <formula1>9999999999</formula1>
    </dataValidation>
    <dataValidation type="whole" operator="lessThanOrEqual" allowBlank="1" showInputMessage="1" showErrorMessage="1" errorTitle="Max Length Exceed" error="Value cannot exceed 10 digits." sqref="BE13:BE200" xr:uid="{6D1796E5-3043-4356-8C2D-CC3D037BAC8C}">
      <formula1>9999999999</formula1>
    </dataValidation>
    <dataValidation type="whole" operator="lessThanOrEqual" allowBlank="1" showInputMessage="1" showErrorMessage="1" errorTitle="Max Length Exceed" error="Value cannot exceed 10 digits." sqref="BF13:BF200" xr:uid="{BB2E0479-E484-4AD3-A6E2-0305EEF79546}">
      <formula1>9999999999</formula1>
    </dataValidation>
    <dataValidation type="whole" operator="lessThanOrEqual" allowBlank="1" showInputMessage="1" showErrorMessage="1" errorTitle="Max Length Exceed" error="Value cannot exceed 10 digits." sqref="BG13:BG200" xr:uid="{99644AA8-3D30-4994-8409-47C5A3B19406}">
      <formula1>9999999999</formula1>
    </dataValidation>
    <dataValidation type="whole" operator="lessThanOrEqual" allowBlank="1" showInputMessage="1" showErrorMessage="1" errorTitle="Max Length Exceed" error="Value cannot exceed 10 digits." sqref="BH13:BH200" xr:uid="{6E6B96A8-D09E-4107-96A8-FA8A55E43ACA}">
      <formula1>9999999999</formula1>
    </dataValidation>
    <dataValidation type="whole" operator="lessThanOrEqual" allowBlank="1" showInputMessage="1" showErrorMessage="1" errorTitle="Max Length Exceed" error="Value cannot exceed 10 digits." sqref="BI13:BI200" xr:uid="{70E95909-5A4A-4DFB-B8EC-8B5CE3AD8A90}">
      <formula1>9999999999</formula1>
    </dataValidation>
    <dataValidation type="whole" operator="lessThanOrEqual" allowBlank="1" showInputMessage="1" showErrorMessage="1" errorTitle="Max Length Exceed" error="Value cannot exceed 10 digits." sqref="BJ13:BJ200" xr:uid="{B8EE5E98-B07E-49CA-897A-5BA2F8DF5A45}">
      <formula1>9999999999</formula1>
    </dataValidation>
    <dataValidation type="whole" operator="lessThanOrEqual" allowBlank="1" showInputMessage="1" showErrorMessage="1" errorTitle="Max Length Exceed" error="Value cannot exceed 10 digits." sqref="BK13:BK200" xr:uid="{129BDAF6-2EDD-4467-B332-B9A49CC44F1E}">
      <formula1>9999999999</formula1>
    </dataValidation>
    <dataValidation type="textLength" operator="lessThanOrEqual" allowBlank="1" showInputMessage="1" showErrorMessage="1" errorTitle="Max Length Exceed" error="Value cannot exceed 250 characters." sqref="BL13:BL200" xr:uid="{94EDA82C-6DF6-4C84-A2E4-2B8A88004447}">
      <formula1>250</formula1>
    </dataValidation>
    <dataValidation type="textLength" operator="lessThanOrEqual" allowBlank="1" showInputMessage="1" showErrorMessage="1" errorTitle="Max Length Exceed" error="Value cannot exceed 250 characters." sqref="BM13:BM200" xr:uid="{DE12A0FF-FD52-4DD7-AE57-2F23D7362DF1}">
      <formula1>250</formula1>
    </dataValidation>
    <dataValidation type="textLength" operator="lessThanOrEqual" allowBlank="1" showInputMessage="1" showErrorMessage="1" errorTitle="Max Length Exceed" error="Value cannot exceed 255 characters." sqref="BO13:BO200" xr:uid="{55B07728-07E5-4EE9-83C1-D9A22FF90F87}">
      <formula1>255</formula1>
    </dataValidation>
    <dataValidation type="textLength" operator="lessThanOrEqual" allowBlank="1" showInputMessage="1" showErrorMessage="1" errorTitle="Max Length Exceed" error="Value cannot exceed 1500 characters." sqref="BP13:BP200" xr:uid="{89BF9D8D-5341-4A24-928E-2AB83B9E93B2}">
      <formula1>1500</formula1>
    </dataValidation>
    <dataValidation type="textLength" operator="lessThanOrEqual" allowBlank="1" showInputMessage="1" showErrorMessage="1" errorTitle="Max Length Exceed" error="Value cannot exceed 1500 characters." sqref="BQ13:BQ200" xr:uid="{DA3ED478-AA8D-4386-B4FF-DEF42BFE67CC}">
      <formula1>1500</formula1>
    </dataValidation>
    <dataValidation type="whole" operator="lessThanOrEqual" allowBlank="1" showInputMessage="1" showErrorMessage="1" errorTitle="Max Length Exceed" error="Value cannot exceed 10 digits." sqref="BR13:BR200" xr:uid="{90E06A92-257A-4B41-9740-724EC5977299}">
      <formula1>9999999999</formula1>
    </dataValidation>
    <dataValidation type="whole" operator="lessThanOrEqual" allowBlank="1" showInputMessage="1" showErrorMessage="1" errorTitle="Max Length Exceed" error="Value cannot exceed 6 digits." sqref="BS13:BS200" xr:uid="{3B0643E9-0D80-4AF6-AEEF-38B3BED3C4B0}">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19.7265625" style="113" customWidth="1"/>
    <col min="5"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69" width="15.1796875" style="113" customWidth="1"/>
    <col min="70" max="16384" width="15.1796875" style="113"/>
  </cols>
  <sheetData>
    <row r="1" spans="1:27" ht="27" hidden="1" customHeight="1" x14ac:dyDescent="0.25">
      <c r="A1" s="208" t="s">
        <v>345</v>
      </c>
      <c r="B1" s="67" t="s">
        <v>455</v>
      </c>
      <c r="C1" s="67" t="s">
        <v>564</v>
      </c>
      <c r="D1" s="67" t="s">
        <v>564</v>
      </c>
      <c r="E1" s="67" t="s">
        <v>564</v>
      </c>
      <c r="F1" s="67" t="s">
        <v>564</v>
      </c>
      <c r="G1" s="67" t="s">
        <v>564</v>
      </c>
      <c r="H1" s="67" t="s">
        <v>564</v>
      </c>
      <c r="I1" s="67" t="s">
        <v>564</v>
      </c>
      <c r="J1" s="67" t="s">
        <v>564</v>
      </c>
      <c r="K1" s="67" t="s">
        <v>564</v>
      </c>
      <c r="L1" s="67" t="s">
        <v>564</v>
      </c>
      <c r="M1" s="67" t="s">
        <v>564</v>
      </c>
      <c r="N1" s="67" t="s">
        <v>564</v>
      </c>
      <c r="O1" s="67" t="s">
        <v>564</v>
      </c>
      <c r="P1" s="67" t="s">
        <v>564</v>
      </c>
      <c r="Q1" s="67" t="s">
        <v>564</v>
      </c>
      <c r="R1" s="67" t="s">
        <v>564</v>
      </c>
      <c r="S1" s="67" t="s">
        <v>564</v>
      </c>
      <c r="T1" s="67" t="s">
        <v>564</v>
      </c>
      <c r="U1" s="67" t="s">
        <v>564</v>
      </c>
      <c r="V1" s="67" t="s">
        <v>564</v>
      </c>
      <c r="W1" s="67" t="s">
        <v>564</v>
      </c>
      <c r="X1" s="67" t="s">
        <v>564</v>
      </c>
      <c r="Y1" s="67" t="s">
        <v>564</v>
      </c>
      <c r="Z1" s="67" t="s">
        <v>564</v>
      </c>
      <c r="AA1" s="67" t="s">
        <v>833</v>
      </c>
    </row>
    <row r="2" spans="1:27" ht="27" hidden="1" customHeight="1" x14ac:dyDescent="0.25">
      <c r="A2" s="208" t="s">
        <v>346</v>
      </c>
      <c r="B2" s="67"/>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565</v>
      </c>
      <c r="S2" s="67" t="s">
        <v>565</v>
      </c>
      <c r="T2" s="67" t="s">
        <v>565</v>
      </c>
      <c r="U2" s="67" t="s">
        <v>565</v>
      </c>
      <c r="V2" s="67" t="s">
        <v>565</v>
      </c>
      <c r="W2" s="67" t="s">
        <v>565</v>
      </c>
      <c r="X2" s="67" t="s">
        <v>565</v>
      </c>
      <c r="Y2" s="67" t="s">
        <v>565</v>
      </c>
      <c r="Z2" s="67" t="s">
        <v>565</v>
      </c>
      <c r="AA2" s="67" t="s">
        <v>565</v>
      </c>
    </row>
    <row r="3" spans="1:27" ht="27" hidden="1" customHeight="1" x14ac:dyDescent="0.25">
      <c r="A3" s="208" t="s">
        <v>134</v>
      </c>
      <c r="B3" s="105"/>
      <c r="C3" s="105" t="s">
        <v>109</v>
      </c>
      <c r="D3" s="105" t="s">
        <v>110</v>
      </c>
      <c r="E3" s="105" t="s">
        <v>111</v>
      </c>
      <c r="F3" s="105" t="s">
        <v>112</v>
      </c>
      <c r="G3" s="105" t="s">
        <v>113</v>
      </c>
      <c r="H3" s="105" t="s">
        <v>114</v>
      </c>
      <c r="I3" s="105" t="s">
        <v>458</v>
      </c>
      <c r="J3" s="105" t="s">
        <v>459</v>
      </c>
      <c r="K3" s="68" t="s">
        <v>115</v>
      </c>
      <c r="L3" s="105" t="s">
        <v>116</v>
      </c>
      <c r="M3" s="105" t="s">
        <v>518</v>
      </c>
      <c r="N3" s="105" t="s">
        <v>519</v>
      </c>
      <c r="O3" s="105" t="s">
        <v>520</v>
      </c>
      <c r="P3" s="105" t="s">
        <v>117</v>
      </c>
      <c r="Q3" s="105" t="s">
        <v>118</v>
      </c>
      <c r="R3" s="105" t="s">
        <v>119</v>
      </c>
      <c r="S3" s="106" t="s">
        <v>470</v>
      </c>
      <c r="T3" s="106" t="s">
        <v>471</v>
      </c>
      <c r="U3" s="106" t="s">
        <v>472</v>
      </c>
      <c r="V3" s="106" t="s">
        <v>473</v>
      </c>
      <c r="W3" s="106" t="s">
        <v>474</v>
      </c>
      <c r="X3" s="106" t="s">
        <v>475</v>
      </c>
      <c r="Y3" s="106" t="s">
        <v>512</v>
      </c>
      <c r="Z3" s="106" t="s">
        <v>513</v>
      </c>
      <c r="AA3" s="74" t="s">
        <v>827</v>
      </c>
    </row>
    <row r="4" spans="1:27" ht="27" hidden="1" customHeight="1" x14ac:dyDescent="0.25">
      <c r="A4" s="208" t="s">
        <v>133</v>
      </c>
      <c r="B4" s="105"/>
      <c r="C4" s="105" t="s">
        <v>120</v>
      </c>
      <c r="D4" s="105" t="s">
        <v>120</v>
      </c>
      <c r="E4" s="105" t="s">
        <v>120</v>
      </c>
      <c r="F4" s="105" t="s">
        <v>120</v>
      </c>
      <c r="G4" s="105" t="s">
        <v>120</v>
      </c>
      <c r="H4" s="105" t="s">
        <v>120</v>
      </c>
      <c r="I4" s="105" t="s">
        <v>120</v>
      </c>
      <c r="J4" s="105" t="s">
        <v>120</v>
      </c>
      <c r="K4" s="105" t="s">
        <v>468</v>
      </c>
      <c r="L4" s="105" t="s">
        <v>468</v>
      </c>
      <c r="M4" s="105" t="s">
        <v>468</v>
      </c>
      <c r="N4" s="105" t="s">
        <v>468</v>
      </c>
      <c r="O4" s="105" t="s">
        <v>468</v>
      </c>
      <c r="P4" s="105" t="s">
        <v>120</v>
      </c>
      <c r="Q4" s="105" t="s">
        <v>121</v>
      </c>
      <c r="R4" s="105" t="s">
        <v>121</v>
      </c>
      <c r="S4" s="105" t="s">
        <v>468</v>
      </c>
      <c r="T4" s="106" t="s">
        <v>468</v>
      </c>
      <c r="U4" s="106" t="s">
        <v>121</v>
      </c>
      <c r="V4" s="106" t="s">
        <v>468</v>
      </c>
      <c r="W4" s="106" t="s">
        <v>121</v>
      </c>
      <c r="X4" s="106" t="s">
        <v>468</v>
      </c>
      <c r="Y4" s="105" t="s">
        <v>468</v>
      </c>
      <c r="Z4" s="105" t="s">
        <v>468</v>
      </c>
      <c r="AA4" s="96" t="s">
        <v>468</v>
      </c>
    </row>
    <row r="5" spans="1:27" ht="27" hidden="1" customHeight="1" x14ac:dyDescent="0.25">
      <c r="A5" s="208" t="s">
        <v>347</v>
      </c>
      <c r="B5" s="107"/>
      <c r="C5" s="106" t="s">
        <v>131</v>
      </c>
      <c r="D5" s="68" t="s">
        <v>143</v>
      </c>
      <c r="E5" s="68"/>
      <c r="F5" s="68" t="s">
        <v>457</v>
      </c>
      <c r="G5" s="68" t="s">
        <v>464</v>
      </c>
      <c r="H5" s="68" t="s">
        <v>465</v>
      </c>
      <c r="I5" s="68" t="s">
        <v>466</v>
      </c>
      <c r="J5" s="68" t="s">
        <v>467</v>
      </c>
      <c r="K5" s="68" t="s">
        <v>469</v>
      </c>
      <c r="L5" s="106" t="s">
        <v>150</v>
      </c>
      <c r="M5" s="67" t="s">
        <v>524</v>
      </c>
      <c r="N5" s="67" t="s">
        <v>525</v>
      </c>
      <c r="O5" s="67" t="s">
        <v>526</v>
      </c>
      <c r="P5" s="68" t="s">
        <v>132</v>
      </c>
      <c r="Q5" s="106" t="s">
        <v>151</v>
      </c>
      <c r="R5" s="106" t="s">
        <v>152</v>
      </c>
      <c r="S5" s="106" t="s">
        <v>480</v>
      </c>
      <c r="T5" s="106" t="s">
        <v>481</v>
      </c>
      <c r="U5" s="106" t="s">
        <v>480</v>
      </c>
      <c r="V5" s="106" t="s">
        <v>481</v>
      </c>
      <c r="W5" s="106" t="s">
        <v>480</v>
      </c>
      <c r="X5" s="106" t="s">
        <v>481</v>
      </c>
      <c r="Y5" s="106" t="s">
        <v>516</v>
      </c>
      <c r="Z5" s="106" t="s">
        <v>517</v>
      </c>
      <c r="AA5" s="67" t="s">
        <v>828</v>
      </c>
    </row>
    <row r="6" spans="1:27" ht="27" hidden="1" customHeight="1" x14ac:dyDescent="0.25">
      <c r="A6" s="208" t="s">
        <v>137</v>
      </c>
      <c r="B6" s="67"/>
      <c r="C6" s="67" t="s">
        <v>106</v>
      </c>
      <c r="D6" s="67" t="s">
        <v>106</v>
      </c>
      <c r="E6" s="67" t="s">
        <v>291</v>
      </c>
      <c r="F6" s="67" t="s">
        <v>106</v>
      </c>
      <c r="G6" s="67" t="s">
        <v>106</v>
      </c>
      <c r="H6" s="67" t="s">
        <v>106</v>
      </c>
      <c r="I6" s="67" t="s">
        <v>106</v>
      </c>
      <c r="J6" s="67" t="s">
        <v>106</v>
      </c>
      <c r="K6" s="106" t="s">
        <v>149</v>
      </c>
      <c r="L6" s="67" t="s">
        <v>106</v>
      </c>
      <c r="M6" s="106" t="s">
        <v>549</v>
      </c>
      <c r="N6" s="67" t="s">
        <v>106</v>
      </c>
      <c r="O6" s="67" t="s">
        <v>106</v>
      </c>
      <c r="P6" s="67" t="s">
        <v>106</v>
      </c>
      <c r="Q6" s="67" t="s">
        <v>106</v>
      </c>
      <c r="R6" s="67" t="s">
        <v>106</v>
      </c>
      <c r="S6" s="106" t="s">
        <v>626</v>
      </c>
      <c r="T6" s="67" t="s">
        <v>106</v>
      </c>
      <c r="U6" s="106" t="s">
        <v>626</v>
      </c>
      <c r="V6" s="67" t="s">
        <v>106</v>
      </c>
      <c r="W6" s="106" t="s">
        <v>626</v>
      </c>
      <c r="X6" s="67" t="s">
        <v>106</v>
      </c>
      <c r="Y6" s="67" t="s">
        <v>106</v>
      </c>
      <c r="Z6" s="67" t="s">
        <v>106</v>
      </c>
      <c r="AA6" s="74" t="s">
        <v>106</v>
      </c>
    </row>
    <row r="7" spans="1:27" ht="27" hidden="1" customHeight="1" x14ac:dyDescent="0.25">
      <c r="A7" s="208" t="s">
        <v>138</v>
      </c>
      <c r="B7" s="67"/>
      <c r="C7" s="67" t="s">
        <v>140</v>
      </c>
      <c r="D7" s="67" t="s">
        <v>140</v>
      </c>
      <c r="E7" s="67" t="s">
        <v>142</v>
      </c>
      <c r="F7" s="67" t="s">
        <v>144</v>
      </c>
      <c r="G7" s="67" t="s">
        <v>144</v>
      </c>
      <c r="H7" s="67" t="s">
        <v>144</v>
      </c>
      <c r="I7" s="67" t="s">
        <v>144</v>
      </c>
      <c r="J7" s="67" t="s">
        <v>144</v>
      </c>
      <c r="K7" s="106" t="s">
        <v>142</v>
      </c>
      <c r="L7" s="67" t="s">
        <v>144</v>
      </c>
      <c r="M7" s="106" t="s">
        <v>142</v>
      </c>
      <c r="N7" s="67" t="s">
        <v>140</v>
      </c>
      <c r="O7" s="67" t="s">
        <v>140</v>
      </c>
      <c r="P7" s="67" t="s">
        <v>140</v>
      </c>
      <c r="Q7" s="67" t="s">
        <v>144</v>
      </c>
      <c r="R7" s="67" t="s">
        <v>144</v>
      </c>
      <c r="S7" s="106" t="s">
        <v>142</v>
      </c>
      <c r="T7" s="67" t="s">
        <v>140</v>
      </c>
      <c r="U7" s="106" t="s">
        <v>142</v>
      </c>
      <c r="V7" s="67" t="s">
        <v>140</v>
      </c>
      <c r="W7" s="106" t="s">
        <v>142</v>
      </c>
      <c r="X7" s="67" t="s">
        <v>140</v>
      </c>
      <c r="Y7" s="67" t="s">
        <v>140</v>
      </c>
      <c r="Z7" s="67" t="s">
        <v>140</v>
      </c>
      <c r="AA7" s="74" t="s">
        <v>140</v>
      </c>
    </row>
    <row r="8" spans="1:27" ht="27" hidden="1" customHeight="1" x14ac:dyDescent="0.25">
      <c r="A8" s="208" t="s">
        <v>139</v>
      </c>
      <c r="B8" s="67"/>
      <c r="C8" s="67">
        <v>80</v>
      </c>
      <c r="D8" s="67">
        <v>20</v>
      </c>
      <c r="E8" s="67" t="s">
        <v>106</v>
      </c>
      <c r="F8" s="67" t="s">
        <v>145</v>
      </c>
      <c r="G8" s="67" t="s">
        <v>145</v>
      </c>
      <c r="H8" s="67" t="s">
        <v>145</v>
      </c>
      <c r="I8" s="67" t="s">
        <v>145</v>
      </c>
      <c r="J8" s="67" t="s">
        <v>145</v>
      </c>
      <c r="K8" s="106" t="s">
        <v>106</v>
      </c>
      <c r="L8" s="67" t="s">
        <v>145</v>
      </c>
      <c r="M8" s="106" t="s">
        <v>106</v>
      </c>
      <c r="N8" s="67">
        <v>255</v>
      </c>
      <c r="O8" s="67">
        <v>1500</v>
      </c>
      <c r="P8" s="67">
        <v>1500</v>
      </c>
      <c r="Q8" s="67" t="s">
        <v>145</v>
      </c>
      <c r="R8" s="67" t="s">
        <v>145</v>
      </c>
      <c r="S8" s="106" t="s">
        <v>106</v>
      </c>
      <c r="T8" s="67">
        <v>250</v>
      </c>
      <c r="U8" s="106" t="s">
        <v>106</v>
      </c>
      <c r="V8" s="67">
        <v>250</v>
      </c>
      <c r="W8" s="106" t="s">
        <v>106</v>
      </c>
      <c r="X8" s="67">
        <v>250</v>
      </c>
      <c r="Y8" s="67">
        <v>250</v>
      </c>
      <c r="Z8" s="67">
        <v>250</v>
      </c>
      <c r="AA8" s="74">
        <v>255</v>
      </c>
    </row>
    <row r="9" spans="1:27" ht="27" hidden="1" customHeight="1" x14ac:dyDescent="0.25">
      <c r="A9" s="208" t="s">
        <v>348</v>
      </c>
      <c r="B9" s="105"/>
      <c r="C9" s="105"/>
      <c r="D9" s="105"/>
      <c r="E9" s="105"/>
      <c r="F9" s="105"/>
      <c r="G9" s="105"/>
      <c r="H9" s="105"/>
      <c r="I9" s="68"/>
      <c r="J9" s="105"/>
      <c r="K9" s="105" t="s">
        <v>562</v>
      </c>
      <c r="L9" s="105" t="s">
        <v>562</v>
      </c>
      <c r="M9" s="105" t="s">
        <v>563</v>
      </c>
      <c r="N9" s="105" t="s">
        <v>561</v>
      </c>
      <c r="O9" s="105"/>
      <c r="P9" s="74"/>
      <c r="Q9" s="74"/>
      <c r="R9" s="74"/>
      <c r="S9" s="74"/>
      <c r="T9" s="74"/>
      <c r="U9" s="74"/>
      <c r="V9" s="74"/>
      <c r="W9" s="74"/>
      <c r="X9" s="74"/>
      <c r="Y9" s="74"/>
      <c r="Z9" s="74"/>
      <c r="AA9" s="96" t="s">
        <v>829</v>
      </c>
    </row>
    <row r="10" spans="1:27" ht="35.15" hidden="1" customHeight="1" x14ac:dyDescent="0.25">
      <c r="A10" s="209" t="s">
        <v>704</v>
      </c>
      <c r="B10" s="210"/>
      <c r="C10" s="211" t="s">
        <v>989</v>
      </c>
      <c r="D10" s="211" t="s">
        <v>708</v>
      </c>
      <c r="E10" s="211" t="s">
        <v>709</v>
      </c>
      <c r="F10" s="211" t="s">
        <v>948</v>
      </c>
      <c r="G10" s="211" t="s">
        <v>949</v>
      </c>
      <c r="H10" s="212" t="s">
        <v>950</v>
      </c>
      <c r="I10" s="212" t="s">
        <v>951</v>
      </c>
      <c r="J10" s="212" t="s">
        <v>952</v>
      </c>
      <c r="K10" s="211"/>
      <c r="L10" s="211"/>
      <c r="M10" s="211"/>
      <c r="N10" s="211"/>
      <c r="O10" s="210"/>
      <c r="P10" s="211" t="s">
        <v>712</v>
      </c>
      <c r="Q10" s="211" t="s">
        <v>713</v>
      </c>
      <c r="R10" s="211" t="s">
        <v>714</v>
      </c>
      <c r="S10" s="213"/>
      <c r="T10" s="213"/>
      <c r="U10" s="213"/>
      <c r="V10" s="213"/>
      <c r="W10" s="213"/>
      <c r="X10" s="213"/>
      <c r="Y10" s="213"/>
      <c r="Z10" s="213"/>
      <c r="AA10" s="214"/>
    </row>
    <row r="11" spans="1:27" ht="12.5"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row>
    <row r="12" spans="1:27" ht="46" x14ac:dyDescent="0.25">
      <c r="A12" s="221" t="s">
        <v>135</v>
      </c>
      <c r="B12" s="222"/>
      <c r="C12" s="223" t="s">
        <v>6</v>
      </c>
      <c r="D12" s="223" t="s">
        <v>123</v>
      </c>
      <c r="E12" s="223" t="s">
        <v>124</v>
      </c>
      <c r="F12" s="223" t="s">
        <v>125</v>
      </c>
      <c r="G12" s="223" t="s">
        <v>460</v>
      </c>
      <c r="H12" s="223" t="s">
        <v>461</v>
      </c>
      <c r="I12" s="223" t="s">
        <v>462</v>
      </c>
      <c r="J12" s="223" t="s">
        <v>463</v>
      </c>
      <c r="K12" s="223" t="s">
        <v>126</v>
      </c>
      <c r="L12" s="223" t="s">
        <v>127</v>
      </c>
      <c r="M12" s="223" t="s">
        <v>521</v>
      </c>
      <c r="N12" s="223" t="s">
        <v>522</v>
      </c>
      <c r="O12" s="223" t="s">
        <v>523</v>
      </c>
      <c r="P12" s="223" t="s">
        <v>128</v>
      </c>
      <c r="Q12" s="261" t="s">
        <v>129</v>
      </c>
      <c r="R12" s="261" t="s">
        <v>130</v>
      </c>
      <c r="S12" s="223" t="s">
        <v>627</v>
      </c>
      <c r="T12" s="223" t="s">
        <v>476</v>
      </c>
      <c r="U12" s="261" t="s">
        <v>693</v>
      </c>
      <c r="V12" s="223" t="s">
        <v>478</v>
      </c>
      <c r="W12" s="261" t="s">
        <v>694</v>
      </c>
      <c r="X12" s="223" t="s">
        <v>479</v>
      </c>
      <c r="Y12" s="223" t="s">
        <v>514</v>
      </c>
      <c r="Z12" s="223" t="s">
        <v>515</v>
      </c>
      <c r="AA12" s="223" t="s">
        <v>828</v>
      </c>
    </row>
    <row r="13" spans="1:27" ht="12.75" customHeight="1" x14ac:dyDescent="0.3">
      <c r="A13" s="181" t="s">
        <v>136</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row>
    <row r="14" spans="1:27"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row>
    <row r="15" spans="1:27"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row>
    <row r="16" spans="1:27"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row>
    <row r="17" spans="1:27"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row>
    <row r="18" spans="1:27"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row>
    <row r="19" spans="1:27"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row>
    <row r="20" spans="1:27"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row>
    <row r="21" spans="1:27"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row>
    <row r="22" spans="1:27"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row>
    <row r="23" spans="1:27"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row>
    <row r="24" spans="1:27"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row>
    <row r="25" spans="1:27"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row>
    <row r="26" spans="1:27"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row>
    <row r="27" spans="1:27"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row>
    <row r="28" spans="1:27"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row>
    <row r="29" spans="1:27"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row>
    <row r="30" spans="1:27"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row>
    <row r="31" spans="1:27"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row>
    <row r="32" spans="1:27"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row>
    <row r="33" spans="1:27"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row>
    <row r="34" spans="1:27"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row>
    <row r="35" spans="1:27"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row>
    <row r="36" spans="1:27"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row>
    <row r="37" spans="1:27"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row>
    <row r="38" spans="1:27"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row>
    <row r="39" spans="1:27"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row>
    <row r="40" spans="1:27"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row>
    <row r="41" spans="1:27"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row>
    <row r="42" spans="1:27"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row>
    <row r="43" spans="1:27"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row>
    <row r="44" spans="1:27"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row>
    <row r="45" spans="1:27"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row>
    <row r="46" spans="1:27"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row>
    <row r="47" spans="1:27"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row>
    <row r="48" spans="1:27"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row>
    <row r="49" spans="1:27"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row>
    <row r="50" spans="1:27"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row>
    <row r="51" spans="1:27"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row>
    <row r="52" spans="1:27"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row>
    <row r="53" spans="1:27"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row>
    <row r="54" spans="1:27"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row>
    <row r="55" spans="1:27"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row>
    <row r="56" spans="1:27"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row>
    <row r="57" spans="1:27"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row>
    <row r="58" spans="1:27"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row>
    <row r="59" spans="1:27"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row>
    <row r="60" spans="1:27"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row>
    <row r="61" spans="1:27"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row>
    <row r="62" spans="1:27"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row>
    <row r="63" spans="1:27"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row>
    <row r="64" spans="1:27"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row>
    <row r="65" spans="1:27"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row>
    <row r="66" spans="1:27"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row>
    <row r="67" spans="1:27"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row>
    <row r="68" spans="1:27"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row>
    <row r="69" spans="1:27"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row>
    <row r="70" spans="1:27"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row>
    <row r="71" spans="1:27"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row>
    <row r="72" spans="1:27"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row>
    <row r="73" spans="1:27"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row>
    <row r="74" spans="1:27"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row>
    <row r="75" spans="1:27"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row>
    <row r="76" spans="1:27"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row>
    <row r="77" spans="1:27"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row>
    <row r="78" spans="1:27"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row>
    <row r="79" spans="1:27"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row>
    <row r="80" spans="1:27"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row>
    <row r="81" spans="1:27"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row>
    <row r="82" spans="1:27"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row>
    <row r="83" spans="1:27"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row>
    <row r="84" spans="1:27"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row>
    <row r="85" spans="1:27"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row>
    <row r="86" spans="1:27"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row>
    <row r="87" spans="1:27"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row>
    <row r="88" spans="1:27"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row>
    <row r="89" spans="1:27"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row>
    <row r="90" spans="1:27"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row>
    <row r="91" spans="1:27"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row>
    <row r="92" spans="1:27"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row>
    <row r="93" spans="1:27"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row>
    <row r="94" spans="1:27"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row>
    <row r="95" spans="1:27"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row>
    <row r="96" spans="1:27"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row>
    <row r="97" spans="1:27"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row>
    <row r="98" spans="1:27"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row>
    <row r="99" spans="1:27"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row>
    <row r="100" spans="1:27"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row>
    <row r="101" spans="1:27"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row>
    <row r="102" spans="1:27"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row>
    <row r="103" spans="1:27"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row>
    <row r="104" spans="1:27"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row>
    <row r="105" spans="1:27"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row>
    <row r="106" spans="1:27"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row>
    <row r="107" spans="1:27"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row>
    <row r="108" spans="1:27"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row>
    <row r="109" spans="1:27"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row>
    <row r="110" spans="1:27"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row>
    <row r="111" spans="1:27"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row>
    <row r="112" spans="1:27"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row>
    <row r="113" spans="1:27"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row>
    <row r="114" spans="1:27"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row>
    <row r="115" spans="1:27"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row>
    <row r="116" spans="1:27"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row>
    <row r="117" spans="1:27"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row>
    <row r="118" spans="1:27"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row>
    <row r="119" spans="1:27"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row>
    <row r="120" spans="1:27"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row>
    <row r="121" spans="1:27"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row>
    <row r="122" spans="1:27"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row>
    <row r="123" spans="1:27"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row>
    <row r="124" spans="1:27"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row>
    <row r="125" spans="1:27"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row>
    <row r="126" spans="1:27"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row>
    <row r="127" spans="1:27"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row>
    <row r="128" spans="1:27"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row>
    <row r="129" spans="1:27"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row>
    <row r="130" spans="1:27"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row>
    <row r="131" spans="1:27"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row>
    <row r="132" spans="1:27"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row>
    <row r="133" spans="1:27"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row>
    <row r="134" spans="1:27"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row>
    <row r="135" spans="1:27"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row>
    <row r="136" spans="1:27"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row>
    <row r="137" spans="1:27"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row>
    <row r="138" spans="1:27"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row>
    <row r="139" spans="1:27"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row>
    <row r="140" spans="1:27"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row>
    <row r="141" spans="1:27"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row>
    <row r="142" spans="1:27"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row>
    <row r="143" spans="1:27"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row>
    <row r="144" spans="1:27"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row>
    <row r="145" spans="1:27"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row>
    <row r="146" spans="1:27"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row>
    <row r="147" spans="1:27"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row>
    <row r="148" spans="1:27"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row>
    <row r="149" spans="1:27"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row>
    <row r="150" spans="1:27"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row>
    <row r="151" spans="1:27"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row>
    <row r="152" spans="1:27"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row>
    <row r="153" spans="1:27"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row>
    <row r="154" spans="1:27"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row>
    <row r="155" spans="1:27"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row>
    <row r="156" spans="1:27"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row>
    <row r="157" spans="1:27"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row>
    <row r="158" spans="1:27"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row>
    <row r="159" spans="1:27"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row>
    <row r="160" spans="1:27"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row>
    <row r="161" spans="1:27"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row>
    <row r="162" spans="1:27"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row>
    <row r="163" spans="1:27"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row>
    <row r="164" spans="1:27"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row>
    <row r="165" spans="1:27"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row>
    <row r="166" spans="1:27"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row>
    <row r="167" spans="1:27"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row>
    <row r="168" spans="1:27"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row>
    <row r="169" spans="1:27"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row>
    <row r="170" spans="1:27"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row>
    <row r="171" spans="1:27"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row>
    <row r="172" spans="1:27"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row>
    <row r="173" spans="1:27"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row>
    <row r="174" spans="1:27"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row>
    <row r="175" spans="1:27"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row>
    <row r="176" spans="1:27"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row>
    <row r="177" spans="1:27"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row>
    <row r="178" spans="1:27"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row>
    <row r="179" spans="1:27"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row>
    <row r="180" spans="1:27"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row>
    <row r="181" spans="1:27"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row>
    <row r="182" spans="1:27"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row>
    <row r="183" spans="1:27"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row>
    <row r="184" spans="1:27"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row>
    <row r="185" spans="1:27"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row>
    <row r="186" spans="1:27"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row>
    <row r="187" spans="1:27"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row>
    <row r="188" spans="1:27"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row>
    <row r="189" spans="1:27"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row>
    <row r="190" spans="1:27"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row>
    <row r="191" spans="1:27"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row>
    <row r="192" spans="1:27"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row>
    <row r="193" spans="1:27"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row>
    <row r="194" spans="1:27"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row>
    <row r="195" spans="1:27"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row>
    <row r="196" spans="1:27"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row>
    <row r="197" spans="1:27"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row>
    <row r="198" spans="1:27"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row>
    <row r="199" spans="1:27"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row>
    <row r="200" spans="1:27"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row>
    <row r="201" spans="1:27"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AZ/S0WAMoagso2gfKVcf/TggPSYtk7NO2aPay3s+7iHc6gwmMC/bLMJuvgL3HQ83gUOWggMu5nKet6QF8f/M/w==" saltValue="U0wppCP7S7D3zKN5gg4bBw==" spinCount="100000" sheet="1" objects="1" scenarios="1" formatCells="0" formatRows="0"/>
  <dataConsolidate/>
  <conditionalFormatting sqref="X13:X200">
    <cfRule type="expression" priority="3">
      <formula>RIGHT($W13,7)="specify"</formula>
    </cfRule>
    <cfRule type="expression" dxfId="17" priority="4">
      <formula>RIGHT($W13,7)&lt;&gt;"specify"</formula>
    </cfRule>
  </conditionalFormatting>
  <conditionalFormatting sqref="V13:V200">
    <cfRule type="expression" priority="5">
      <formula>RIGHT($U13,7)="specify"</formula>
    </cfRule>
    <cfRule type="expression" dxfId="16" priority="6">
      <formula>RIGHT($U13,7)&lt;&gt;"specify"</formula>
    </cfRule>
  </conditionalFormatting>
  <conditionalFormatting sqref="T13:T200">
    <cfRule type="expression" priority="7">
      <formula>RIGHT($S13,7)="specify"</formula>
    </cfRule>
    <cfRule type="expression" dxfId="15" priority="8">
      <formula>RIGHT($S13,7)&lt;&gt;"specify"</formula>
    </cfRule>
  </conditionalFormatting>
  <conditionalFormatting sqref="O13:O200">
    <cfRule type="expression" priority="9" stopIfTrue="1">
      <formula>AND($L13&gt;=1000000,LEFT($M13,5)="Other")</formula>
    </cfRule>
    <cfRule type="expression" dxfId="14" priority="10">
      <formula>$L13&lt;10000000</formula>
    </cfRule>
    <cfRule type="expression" priority="11">
      <formula>$L13&gt;=10000000</formula>
    </cfRule>
  </conditionalFormatting>
  <conditionalFormatting sqref="N13:N200">
    <cfRule type="expression" priority="12">
      <formula>LEFT($M13,5)="Other"</formula>
    </cfRule>
    <cfRule type="expression" dxfId="13" priority="13">
      <formula>LEFT($M13,5)&lt;&gt;"Other"</formula>
    </cfRule>
  </conditionalFormatting>
  <conditionalFormatting sqref="L13:M200">
    <cfRule type="expression" priority="14">
      <formula>$K13="Yes"</formula>
    </cfRule>
    <cfRule type="expression" dxfId="12" priority="15">
      <formula>$K13&lt;&gt;"Yes"</formula>
    </cfRule>
  </conditionalFormatting>
  <conditionalFormatting sqref="J13:J200">
    <cfRule type="expression" dxfId="11" priority="16">
      <formula>I13="No"</formula>
    </cfRule>
    <cfRule type="expression" dxfId="10" priority="17">
      <formula>I13="Yes"</formula>
    </cfRule>
  </conditionalFormatting>
  <conditionalFormatting sqref="AA13:AA200">
    <cfRule type="expression" priority="1">
      <formula>$E13="Cancelled"</formula>
    </cfRule>
    <cfRule type="expression" dxfId="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46D7EC53-98DA-41BF-B13E-F22A85379FDC}">
      <formula1>80</formula1>
    </dataValidation>
    <dataValidation type="textLength" operator="lessThanOrEqual" allowBlank="1" showInputMessage="1" showErrorMessage="1" errorTitle="Max Length Exceed" error="Value cannot exceed 20 characters." sqref="D13:D200" xr:uid="{4F049E94-1A29-45DD-B333-9DB7036201BB}">
      <formula1>20</formula1>
    </dataValidation>
    <dataValidation type="decimal" operator="lessThanOrEqual" allowBlank="1" showInputMessage="1" showErrorMessage="1" errorTitle="Maximum Exceeded" error="Value cannot exceed 999,999,999,999.99" sqref="F13:F200" xr:uid="{1C1775F8-EEBB-4934-B29F-17E0837C7A9D}">
      <formula1>999999999999.99</formula1>
    </dataValidation>
    <dataValidation type="decimal" operator="lessThanOrEqual" allowBlank="1" showInputMessage="1" showErrorMessage="1" errorTitle="Maximum Exceeded" error="Value cannot exceed 999,999,999,999.99" sqref="G13:G200" xr:uid="{18B414C7-E2AE-41A1-88F0-E3FEB0323ED6}">
      <formula1>999999999999.99</formula1>
    </dataValidation>
    <dataValidation type="decimal" operator="lessThanOrEqual" allowBlank="1" showInputMessage="1" showErrorMessage="1" errorTitle="Maximum Exceeded" error="Value cannot exceed 999,999,999,999.99" sqref="H13:H200" xr:uid="{08B062A2-57E7-4967-BB42-E17E84E5BF76}">
      <formula1>999999999999.99</formula1>
    </dataValidation>
    <dataValidation type="decimal" operator="lessThanOrEqual" allowBlank="1" showInputMessage="1" showErrorMessage="1" errorTitle="Maximum Exceeded" error="Value cannot exceed 999,999,999,999.99" sqref="I13:I200" xr:uid="{E5752C32-A203-4AB2-B7FB-90B3A25AD3EA}">
      <formula1>999999999999.99</formula1>
    </dataValidation>
    <dataValidation type="decimal" operator="lessThanOrEqual" allowBlank="1" showInputMessage="1" showErrorMessage="1" errorTitle="Maximum Exceeded" error="Value cannot exceed 999,999,999,999.99" sqref="J13:J200" xr:uid="{1093FAFB-7C41-4F52-8414-DA86879EE60F}">
      <formula1>999999999999.99</formula1>
    </dataValidation>
    <dataValidation type="decimal" operator="lessThanOrEqual" allowBlank="1" showInputMessage="1" showErrorMessage="1" errorTitle="Maximum Exceeded" error="Value cannot exceed 999,999,999,999.99" sqref="L13:L200" xr:uid="{1D81BD67-1025-4FCD-AA28-F88F0A949FAD}">
      <formula1>999999999999.99</formula1>
    </dataValidation>
    <dataValidation type="textLength" operator="lessThanOrEqual" allowBlank="1" showInputMessage="1" showErrorMessage="1" errorTitle="Max Length Exceed" error="Value cannot exceed 255 characters." sqref="N13:N200" xr:uid="{3A12216B-53F6-4EDD-A312-E42806BE0E8A}">
      <formula1>255</formula1>
    </dataValidation>
    <dataValidation type="textLength" operator="lessThanOrEqual" allowBlank="1" showInputMessage="1" showErrorMessage="1" errorTitle="Max Length Exceed" error="Value cannot exceed 1500 characters." sqref="O13:O200" xr:uid="{5D57E3EF-383A-4061-81FD-D9387CBA3AFC}">
      <formula1>1500</formula1>
    </dataValidation>
    <dataValidation type="textLength" operator="lessThanOrEqual" allowBlank="1" showInputMessage="1" showErrorMessage="1" errorTitle="Max Length Exceed" error="Value cannot exceed 1500 characters." sqref="P13:P200" xr:uid="{EF8FB212-F59E-445E-80D4-D971E4ED1054}">
      <formula1>1500</formula1>
    </dataValidation>
    <dataValidation type="decimal" operator="lessThanOrEqual" allowBlank="1" showInputMessage="1" showErrorMessage="1" errorTitle="Maximum Exceeded" error="Value cannot exceed 999,999,999,999.99" sqref="Q13:Q200" xr:uid="{F7BD07A8-EF6B-4AE8-A906-970F0B074081}">
      <formula1>999999999999.99</formula1>
    </dataValidation>
    <dataValidation type="decimal" operator="lessThanOrEqual" allowBlank="1" showInputMessage="1" showErrorMessage="1" errorTitle="Maximum Exceeded" error="Value cannot exceed 999,999,999,999.99" sqref="R13:R200" xr:uid="{69806B46-733A-4EB1-8207-6639B0A8D131}">
      <formula1>999999999999.99</formula1>
    </dataValidation>
    <dataValidation type="textLength" operator="lessThanOrEqual" allowBlank="1" showInputMessage="1" showErrorMessage="1" errorTitle="Max Length Exceed" error="Value cannot exceed 250 characters." sqref="T13:T200" xr:uid="{6CE5359B-A414-407D-8648-A99529F1C5A1}">
      <formula1>250</formula1>
    </dataValidation>
    <dataValidation type="textLength" operator="lessThanOrEqual" allowBlank="1" showInputMessage="1" showErrorMessage="1" errorTitle="Max Length Exceed" error="Value cannot exceed 250 characters." sqref="V13:V200" xr:uid="{826637FA-68A3-4E65-8E80-8C23EEF99A16}">
      <formula1>250</formula1>
    </dataValidation>
    <dataValidation type="textLength" operator="lessThanOrEqual" allowBlank="1" showInputMessage="1" showErrorMessage="1" errorTitle="Max Length Exceed" error="Value cannot exceed 250 characters." sqref="X13:X200" xr:uid="{6C60197E-ABED-4B47-8F07-1F43EFA9A9AD}">
      <formula1>250</formula1>
    </dataValidation>
    <dataValidation type="textLength" operator="lessThanOrEqual" allowBlank="1" showInputMessage="1" showErrorMessage="1" errorTitle="Max Length Exceed" error="Value cannot exceed 250 characters." sqref="Y13:Y200" xr:uid="{93640121-2799-4142-A33C-0FD637C7603C}">
      <formula1>250</formula1>
    </dataValidation>
    <dataValidation type="textLength" operator="lessThanOrEqual" allowBlank="1" showInputMessage="1" showErrorMessage="1" errorTitle="Max Length Exceed" error="Value cannot exceed 250 characters." sqref="Z13:Z200" xr:uid="{5C78FF30-8CC3-4CD5-8AC3-D9CA613B116E}">
      <formula1>250</formula1>
    </dataValidation>
    <dataValidation type="textLength" operator="lessThanOrEqual" allowBlank="1" showInputMessage="1" showErrorMessage="1" errorTitle="Max Length Exceed" error="Value cannot exceed 255 characters." sqref="AA13:AA200" xr:uid="{06542672-AAEF-4980-8378-5BDB4DA191C3}">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G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346</v>
      </c>
      <c r="B2" s="75"/>
      <c r="C2" s="96" t="s">
        <v>349</v>
      </c>
      <c r="D2" s="96" t="s">
        <v>349</v>
      </c>
      <c r="E2" s="96" t="s">
        <v>349</v>
      </c>
      <c r="F2" s="96" t="s">
        <v>349</v>
      </c>
      <c r="G2" s="96" t="s">
        <v>349</v>
      </c>
      <c r="H2" s="96" t="s">
        <v>349</v>
      </c>
      <c r="I2" s="96" t="s">
        <v>349</v>
      </c>
      <c r="J2" s="96" t="s">
        <v>349</v>
      </c>
      <c r="K2" s="96" t="s">
        <v>349</v>
      </c>
      <c r="L2" s="96" t="s">
        <v>349</v>
      </c>
      <c r="M2" s="96" t="s">
        <v>349</v>
      </c>
      <c r="N2" s="96" t="s">
        <v>349</v>
      </c>
      <c r="O2" s="96" t="s">
        <v>349</v>
      </c>
      <c r="P2" s="96" t="s">
        <v>349</v>
      </c>
      <c r="Q2" s="96" t="s">
        <v>349</v>
      </c>
      <c r="R2" s="96" t="s">
        <v>349</v>
      </c>
      <c r="S2" s="96" t="s">
        <v>349</v>
      </c>
      <c r="T2" s="96" t="s">
        <v>349</v>
      </c>
      <c r="U2" s="96" t="s">
        <v>349</v>
      </c>
      <c r="V2" s="96" t="s">
        <v>349</v>
      </c>
      <c r="W2" s="96" t="s">
        <v>349</v>
      </c>
      <c r="X2" s="96" t="s">
        <v>349</v>
      </c>
      <c r="Y2" s="96" t="s">
        <v>349</v>
      </c>
      <c r="Z2" s="96" t="s">
        <v>349</v>
      </c>
      <c r="AA2" s="96" t="s">
        <v>349</v>
      </c>
      <c r="AB2" s="96" t="s">
        <v>349</v>
      </c>
      <c r="AC2" s="96" t="s">
        <v>349</v>
      </c>
    </row>
    <row r="3" spans="1:29" ht="27" hidden="1" customHeight="1" x14ac:dyDescent="0.25">
      <c r="A3" s="61" t="s">
        <v>134</v>
      </c>
      <c r="B3" s="75"/>
      <c r="C3" s="88" t="s">
        <v>175</v>
      </c>
      <c r="D3" s="103" t="s">
        <v>618</v>
      </c>
      <c r="E3" s="96" t="s">
        <v>109</v>
      </c>
      <c r="F3" s="104" t="s">
        <v>824</v>
      </c>
      <c r="G3" s="88" t="s">
        <v>176</v>
      </c>
      <c r="H3" s="88" t="s">
        <v>177</v>
      </c>
      <c r="I3" s="88" t="s">
        <v>178</v>
      </c>
      <c r="J3" s="88" t="s">
        <v>179</v>
      </c>
      <c r="K3" s="88" t="s">
        <v>180</v>
      </c>
      <c r="L3" s="88" t="s">
        <v>181</v>
      </c>
      <c r="M3" s="88" t="s">
        <v>182</v>
      </c>
      <c r="N3" s="88" t="s">
        <v>183</v>
      </c>
      <c r="O3" s="88" t="s">
        <v>990</v>
      </c>
      <c r="P3" s="88" t="s">
        <v>184</v>
      </c>
      <c r="Q3" s="97" t="s">
        <v>185</v>
      </c>
      <c r="R3" s="97" t="s">
        <v>186</v>
      </c>
      <c r="S3" s="97" t="s">
        <v>187</v>
      </c>
      <c r="T3" s="97" t="s">
        <v>188</v>
      </c>
      <c r="U3" s="97" t="s">
        <v>189</v>
      </c>
      <c r="V3" s="97" t="s">
        <v>190</v>
      </c>
      <c r="W3" s="97" t="s">
        <v>191</v>
      </c>
      <c r="X3" s="97" t="s">
        <v>192</v>
      </c>
      <c r="Y3" s="97" t="s">
        <v>193</v>
      </c>
      <c r="Z3" s="97" t="s">
        <v>194</v>
      </c>
      <c r="AA3" s="97" t="s">
        <v>195</v>
      </c>
      <c r="AB3" s="97" t="s">
        <v>196</v>
      </c>
      <c r="AC3" s="97" t="s">
        <v>197</v>
      </c>
    </row>
    <row r="4" spans="1:29" ht="27" hidden="1" customHeight="1" x14ac:dyDescent="0.25">
      <c r="A4" s="61" t="s">
        <v>133</v>
      </c>
      <c r="B4" s="75"/>
      <c r="C4" s="187" t="s">
        <v>953</v>
      </c>
      <c r="D4" s="187" t="s">
        <v>953</v>
      </c>
      <c r="E4" s="99" t="s">
        <v>120</v>
      </c>
      <c r="F4" s="104" t="s">
        <v>120</v>
      </c>
      <c r="G4" s="99" t="s">
        <v>121</v>
      </c>
      <c r="H4" s="99" t="s">
        <v>120</v>
      </c>
      <c r="I4" s="99" t="s">
        <v>121</v>
      </c>
      <c r="J4" s="99" t="s">
        <v>121</v>
      </c>
      <c r="K4" s="99" t="s">
        <v>120</v>
      </c>
      <c r="L4" s="99" t="s">
        <v>120</v>
      </c>
      <c r="M4" s="99" t="s">
        <v>120</v>
      </c>
      <c r="N4" s="99" t="s">
        <v>121</v>
      </c>
      <c r="O4" s="99" t="s">
        <v>121</v>
      </c>
      <c r="P4" s="74" t="s">
        <v>120</v>
      </c>
      <c r="Q4" s="97" t="s">
        <v>468</v>
      </c>
      <c r="R4" s="97" t="s">
        <v>468</v>
      </c>
      <c r="S4" s="97" t="s">
        <v>468</v>
      </c>
      <c r="T4" s="97" t="s">
        <v>468</v>
      </c>
      <c r="U4" s="97" t="s">
        <v>468</v>
      </c>
      <c r="V4" s="97" t="s">
        <v>468</v>
      </c>
      <c r="W4" s="97" t="s">
        <v>468</v>
      </c>
      <c r="X4" s="97" t="s">
        <v>468</v>
      </c>
      <c r="Y4" s="97" t="s">
        <v>468</v>
      </c>
      <c r="Z4" s="97" t="s">
        <v>468</v>
      </c>
      <c r="AA4" s="97" t="s">
        <v>468</v>
      </c>
      <c r="AB4" s="97" t="s">
        <v>468</v>
      </c>
      <c r="AC4" s="97" t="s">
        <v>468</v>
      </c>
    </row>
    <row r="5" spans="1:29" ht="27" hidden="1" customHeight="1" x14ac:dyDescent="0.25">
      <c r="A5" s="61" t="s">
        <v>347</v>
      </c>
      <c r="B5" s="75"/>
      <c r="C5" s="71" t="s">
        <v>606</v>
      </c>
      <c r="D5" s="71" t="s">
        <v>607</v>
      </c>
      <c r="E5" s="72" t="s">
        <v>608</v>
      </c>
      <c r="F5" s="72" t="s">
        <v>609</v>
      </c>
      <c r="G5" s="72" t="s">
        <v>609</v>
      </c>
      <c r="H5" s="72" t="s">
        <v>610</v>
      </c>
      <c r="I5" s="72" t="s">
        <v>611</v>
      </c>
      <c r="J5" s="72" t="s">
        <v>612</v>
      </c>
      <c r="K5" s="72" t="s">
        <v>613</v>
      </c>
      <c r="L5" s="72" t="s">
        <v>614</v>
      </c>
      <c r="M5" s="72" t="s">
        <v>615</v>
      </c>
      <c r="N5" s="72" t="s">
        <v>616</v>
      </c>
      <c r="O5" s="72" t="s">
        <v>986</v>
      </c>
      <c r="P5" s="72" t="s">
        <v>617</v>
      </c>
      <c r="Q5" s="96" t="s">
        <v>210</v>
      </c>
      <c r="R5" s="96" t="s">
        <v>211</v>
      </c>
      <c r="S5" s="96" t="s">
        <v>212</v>
      </c>
      <c r="T5" s="97" t="s">
        <v>213</v>
      </c>
      <c r="U5" s="96" t="s">
        <v>214</v>
      </c>
      <c r="V5" s="97" t="s">
        <v>215</v>
      </c>
      <c r="W5" s="96" t="s">
        <v>216</v>
      </c>
      <c r="X5" s="97" t="s">
        <v>215</v>
      </c>
      <c r="Y5" s="96" t="s">
        <v>216</v>
      </c>
      <c r="Z5" s="97" t="s">
        <v>215</v>
      </c>
      <c r="AA5" s="96" t="s">
        <v>216</v>
      </c>
      <c r="AB5" s="97" t="s">
        <v>215</v>
      </c>
      <c r="AC5" s="96" t="s">
        <v>216</v>
      </c>
    </row>
    <row r="6" spans="1:29" ht="27" hidden="1" customHeight="1" x14ac:dyDescent="0.25">
      <c r="A6" s="61" t="s">
        <v>137</v>
      </c>
      <c r="B6" s="75"/>
      <c r="C6" s="100" t="s">
        <v>106</v>
      </c>
      <c r="D6" s="100" t="s">
        <v>106</v>
      </c>
      <c r="E6" s="100" t="s">
        <v>106</v>
      </c>
      <c r="F6" s="67" t="s">
        <v>620</v>
      </c>
      <c r="G6" s="100" t="s">
        <v>106</v>
      </c>
      <c r="H6" s="100" t="s">
        <v>106</v>
      </c>
      <c r="I6" s="100" t="s">
        <v>106</v>
      </c>
      <c r="J6" s="100" t="s">
        <v>106</v>
      </c>
      <c r="K6" s="100" t="s">
        <v>106</v>
      </c>
      <c r="L6" s="100" t="s">
        <v>217</v>
      </c>
      <c r="M6" s="100" t="s">
        <v>106</v>
      </c>
      <c r="N6" s="100" t="s">
        <v>106</v>
      </c>
      <c r="O6" s="100" t="s">
        <v>106</v>
      </c>
      <c r="P6" s="67" t="s">
        <v>149</v>
      </c>
      <c r="Q6" s="67" t="s">
        <v>149</v>
      </c>
      <c r="R6" s="67" t="s">
        <v>149</v>
      </c>
      <c r="S6" s="67" t="s">
        <v>149</v>
      </c>
      <c r="T6" s="97" t="s">
        <v>106</v>
      </c>
      <c r="U6" s="96" t="s">
        <v>106</v>
      </c>
      <c r="V6" s="97" t="s">
        <v>106</v>
      </c>
      <c r="W6" s="96" t="s">
        <v>106</v>
      </c>
      <c r="X6" s="97" t="s">
        <v>106</v>
      </c>
      <c r="Y6" s="96" t="s">
        <v>106</v>
      </c>
      <c r="Z6" s="97" t="s">
        <v>106</v>
      </c>
      <c r="AA6" s="96" t="s">
        <v>106</v>
      </c>
      <c r="AB6" s="97" t="s">
        <v>106</v>
      </c>
      <c r="AC6" s="96" t="s">
        <v>106</v>
      </c>
    </row>
    <row r="7" spans="1:29" ht="27" hidden="1" customHeight="1" x14ac:dyDescent="0.25">
      <c r="A7" s="61" t="s">
        <v>138</v>
      </c>
      <c r="B7" s="75"/>
      <c r="C7" s="74" t="s">
        <v>978</v>
      </c>
      <c r="D7" s="74" t="s">
        <v>978</v>
      </c>
      <c r="E7" s="74" t="s">
        <v>140</v>
      </c>
      <c r="F7" s="183" t="s">
        <v>696</v>
      </c>
      <c r="G7" s="74" t="s">
        <v>140</v>
      </c>
      <c r="H7" s="74" t="s">
        <v>140</v>
      </c>
      <c r="I7" s="74" t="s">
        <v>140</v>
      </c>
      <c r="J7" s="74" t="s">
        <v>140</v>
      </c>
      <c r="K7" s="74" t="s">
        <v>140</v>
      </c>
      <c r="L7" s="74" t="s">
        <v>142</v>
      </c>
      <c r="M7" s="74" t="s">
        <v>140</v>
      </c>
      <c r="N7" s="74" t="s">
        <v>140</v>
      </c>
      <c r="O7" s="74" t="s">
        <v>140</v>
      </c>
      <c r="P7" s="74" t="s">
        <v>142</v>
      </c>
      <c r="Q7" s="74" t="s">
        <v>142</v>
      </c>
      <c r="R7" s="74" t="s">
        <v>142</v>
      </c>
      <c r="S7" s="74" t="s">
        <v>142</v>
      </c>
      <c r="T7" s="97" t="s">
        <v>140</v>
      </c>
      <c r="U7" s="97" t="s">
        <v>144</v>
      </c>
      <c r="V7" s="97" t="s">
        <v>140</v>
      </c>
      <c r="W7" s="97" t="s">
        <v>144</v>
      </c>
      <c r="X7" s="97" t="s">
        <v>140</v>
      </c>
      <c r="Y7" s="97" t="s">
        <v>144</v>
      </c>
      <c r="Z7" s="97" t="s">
        <v>140</v>
      </c>
      <c r="AA7" s="97" t="s">
        <v>144</v>
      </c>
      <c r="AB7" s="97" t="s">
        <v>140</v>
      </c>
      <c r="AC7" s="97" t="s">
        <v>144</v>
      </c>
    </row>
    <row r="8" spans="1:29" ht="27" hidden="1" customHeight="1" x14ac:dyDescent="0.25">
      <c r="A8" s="61" t="s">
        <v>139</v>
      </c>
      <c r="B8" s="75"/>
      <c r="C8" s="74">
        <v>12</v>
      </c>
      <c r="D8" s="74">
        <v>9</v>
      </c>
      <c r="E8" s="74">
        <v>80</v>
      </c>
      <c r="F8" s="74" t="s">
        <v>106</v>
      </c>
      <c r="G8" s="74">
        <v>40</v>
      </c>
      <c r="H8" s="74">
        <v>255</v>
      </c>
      <c r="I8" s="74">
        <v>255</v>
      </c>
      <c r="J8" s="74">
        <v>255</v>
      </c>
      <c r="K8" s="74">
        <v>100</v>
      </c>
      <c r="L8" s="74" t="s">
        <v>106</v>
      </c>
      <c r="M8" s="74">
        <v>5</v>
      </c>
      <c r="N8" s="74">
        <v>4</v>
      </c>
      <c r="O8" s="74">
        <v>2</v>
      </c>
      <c r="P8" s="74" t="s">
        <v>106</v>
      </c>
      <c r="Q8" s="74" t="s">
        <v>106</v>
      </c>
      <c r="R8" s="74" t="s">
        <v>106</v>
      </c>
      <c r="S8" s="74" t="s">
        <v>106</v>
      </c>
      <c r="T8" s="74">
        <v>80</v>
      </c>
      <c r="U8" s="74" t="s">
        <v>145</v>
      </c>
      <c r="V8" s="74">
        <v>80</v>
      </c>
      <c r="W8" s="74" t="s">
        <v>145</v>
      </c>
      <c r="X8" s="74">
        <v>80</v>
      </c>
      <c r="Y8" s="74" t="s">
        <v>145</v>
      </c>
      <c r="Z8" s="74">
        <v>80</v>
      </c>
      <c r="AA8" s="74" t="s">
        <v>145</v>
      </c>
      <c r="AB8" s="74">
        <v>80</v>
      </c>
      <c r="AC8" s="74" t="s">
        <v>145</v>
      </c>
    </row>
    <row r="9" spans="1:29" ht="27" hidden="1" customHeight="1" x14ac:dyDescent="0.25">
      <c r="A9" s="61" t="s">
        <v>348</v>
      </c>
      <c r="B9" s="75"/>
      <c r="C9" s="88"/>
      <c r="D9" s="88"/>
      <c r="E9" s="96"/>
      <c r="F9" s="96"/>
      <c r="G9" s="88"/>
      <c r="H9" s="88"/>
      <c r="I9" s="88"/>
      <c r="J9" s="88"/>
      <c r="K9" s="88"/>
      <c r="L9" s="88"/>
      <c r="M9" s="88"/>
      <c r="N9" s="88"/>
      <c r="O9" s="88"/>
      <c r="P9" s="88"/>
      <c r="Q9" s="97" t="s">
        <v>622</v>
      </c>
      <c r="R9" s="97" t="s">
        <v>623</v>
      </c>
      <c r="S9" s="97" t="s">
        <v>624</v>
      </c>
      <c r="T9" s="97" t="s">
        <v>625</v>
      </c>
      <c r="U9" s="97" t="s">
        <v>625</v>
      </c>
      <c r="V9" s="97" t="s">
        <v>625</v>
      </c>
      <c r="W9" s="97" t="s">
        <v>625</v>
      </c>
      <c r="X9" s="97" t="s">
        <v>625</v>
      </c>
      <c r="Y9" s="97" t="s">
        <v>625</v>
      </c>
      <c r="Z9" s="97" t="s">
        <v>625</v>
      </c>
      <c r="AA9" s="97" t="s">
        <v>625</v>
      </c>
      <c r="AB9" s="97" t="s">
        <v>625</v>
      </c>
      <c r="AC9" s="97" t="s">
        <v>625</v>
      </c>
    </row>
    <row r="10" spans="1:29" ht="35.15" hidden="1" customHeight="1" x14ac:dyDescent="0.25">
      <c r="A10" s="38" t="s">
        <v>704</v>
      </c>
      <c r="B10" s="44"/>
      <c r="C10" s="79" t="s">
        <v>957</v>
      </c>
      <c r="D10" s="79" t="s">
        <v>958</v>
      </c>
      <c r="E10" s="45" t="s">
        <v>715</v>
      </c>
      <c r="F10" s="45" t="s">
        <v>716</v>
      </c>
      <c r="G10" s="79" t="s">
        <v>717</v>
      </c>
      <c r="H10" s="79" t="s">
        <v>718</v>
      </c>
      <c r="I10" s="79" t="s">
        <v>719</v>
      </c>
      <c r="J10" s="79" t="s">
        <v>720</v>
      </c>
      <c r="K10" s="79" t="s">
        <v>721</v>
      </c>
      <c r="L10" s="79" t="s">
        <v>722</v>
      </c>
      <c r="M10" s="79" t="s">
        <v>723</v>
      </c>
      <c r="N10" s="79" t="s">
        <v>724</v>
      </c>
      <c r="O10" s="79" t="s">
        <v>987</v>
      </c>
      <c r="P10" s="79" t="s">
        <v>725</v>
      </c>
      <c r="Q10" s="79" t="s">
        <v>726</v>
      </c>
      <c r="R10" s="79" t="s">
        <v>727</v>
      </c>
      <c r="S10" s="79" t="s">
        <v>728</v>
      </c>
      <c r="T10" s="79" t="s">
        <v>729</v>
      </c>
      <c r="U10" s="79" t="s">
        <v>730</v>
      </c>
      <c r="V10" s="79" t="s">
        <v>729</v>
      </c>
      <c r="W10" s="79" t="s">
        <v>730</v>
      </c>
      <c r="X10" s="79" t="s">
        <v>729</v>
      </c>
      <c r="Y10" s="79" t="s">
        <v>730</v>
      </c>
      <c r="Z10" s="79" t="s">
        <v>729</v>
      </c>
      <c r="AA10" s="79" t="s">
        <v>730</v>
      </c>
      <c r="AB10" s="79" t="s">
        <v>729</v>
      </c>
      <c r="AC10" s="79" t="s">
        <v>730</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122</v>
      </c>
      <c r="B12" s="5"/>
      <c r="C12" s="262" t="s">
        <v>955</v>
      </c>
      <c r="D12" s="262" t="s">
        <v>956</v>
      </c>
      <c r="E12" s="262" t="s">
        <v>8</v>
      </c>
      <c r="F12" s="262" t="s">
        <v>619</v>
      </c>
      <c r="G12" s="263" t="s">
        <v>280</v>
      </c>
      <c r="H12" s="262" t="s">
        <v>9</v>
      </c>
      <c r="I12" s="263" t="s">
        <v>10</v>
      </c>
      <c r="J12" s="263" t="s">
        <v>11</v>
      </c>
      <c r="K12" s="262" t="s">
        <v>12</v>
      </c>
      <c r="L12" s="262" t="s">
        <v>13</v>
      </c>
      <c r="M12" s="262" t="s">
        <v>14</v>
      </c>
      <c r="N12" s="263" t="s">
        <v>174</v>
      </c>
      <c r="O12" s="263" t="s">
        <v>988</v>
      </c>
      <c r="P12" s="262" t="s">
        <v>281</v>
      </c>
      <c r="Q12" s="262" t="s">
        <v>198</v>
      </c>
      <c r="R12" s="262" t="s">
        <v>199</v>
      </c>
      <c r="S12" s="262" t="s">
        <v>981</v>
      </c>
      <c r="T12" s="262" t="s">
        <v>200</v>
      </c>
      <c r="U12" s="262" t="s">
        <v>201</v>
      </c>
      <c r="V12" s="262" t="s">
        <v>202</v>
      </c>
      <c r="W12" s="262" t="s">
        <v>203</v>
      </c>
      <c r="X12" s="262" t="s">
        <v>204</v>
      </c>
      <c r="Y12" s="262" t="s">
        <v>205</v>
      </c>
      <c r="Z12" s="262" t="s">
        <v>206</v>
      </c>
      <c r="AA12" s="262" t="s">
        <v>207</v>
      </c>
      <c r="AB12" s="262" t="s">
        <v>208</v>
      </c>
      <c r="AC12" s="262" t="s">
        <v>209</v>
      </c>
    </row>
    <row r="13" spans="1:29" ht="12.5" customHeight="1" x14ac:dyDescent="0.25">
      <c r="A13" s="181" t="s">
        <v>136</v>
      </c>
      <c r="B13" s="181"/>
      <c r="C13" s="228"/>
      <c r="D13" s="228"/>
      <c r="E13" s="229"/>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Qa7I8NAcKjV+VWUGzA1Vyl1EGbJXeQe/JkFu5INQDg2UjnOblrLgkAND95AO6HWsO2Bc3+OHOZCrhR8SUfWO0Q==" saltValue="Z++jtY6mAkEarI1Zl7gj0A=="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8" priority="2">
      <formula>OR($Q13&lt;&gt;"Yes",$R13&lt;&gt;"Yes")</formula>
    </cfRule>
  </conditionalFormatting>
  <conditionalFormatting sqref="T13:AC200">
    <cfRule type="expression" priority="9">
      <formula>$S13="No"</formula>
    </cfRule>
    <cfRule type="expression" dxfId="7" priority="10">
      <formula>$S13&lt;&gt;"No"</formula>
    </cfRule>
  </conditionalFormatting>
  <conditionalFormatting sqref="Q13:R200">
    <cfRule type="expression" priority="11">
      <formula>$P13="No"</formula>
    </cfRule>
    <cfRule type="expression" dxfId="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7DCC6C34-417D-4813-9E09-231569C2A61F}">
      <formula1>12</formula1>
    </dataValidation>
    <dataValidation type="textLength" operator="equal" allowBlank="1" showInputMessage="1" showErrorMessage="1" errorTitle="Invalid Length" error="Value must equal 9 characters." sqref="D13:D200" xr:uid="{EDA554B5-57BE-4401-8E90-982A4E5D2137}">
      <formula1>9</formula1>
    </dataValidation>
    <dataValidation type="textLength" operator="lessThanOrEqual" allowBlank="1" showInputMessage="1" showErrorMessage="1" errorTitle="Max Length Exceed" error="Value cannot exceed 80 characters." sqref="E13:E200" xr:uid="{B5B1AEE7-FF39-4D55-A103-125E6CE0A17D}">
      <formula1>80</formula1>
    </dataValidation>
    <dataValidation type="textLength" operator="lessThanOrEqual" allowBlank="1" showInputMessage="1" showErrorMessage="1" errorTitle="Max Length Exceed" error="Value cannot exceed 40 characters." sqref="G13:G200" xr:uid="{F636937F-A7EA-4580-BBBC-054DBAB747F1}">
      <formula1>40</formula1>
    </dataValidation>
    <dataValidation type="textLength" operator="lessThanOrEqual" allowBlank="1" showInputMessage="1" showErrorMessage="1" errorTitle="Max Length Exceed" error="Value cannot exceed 255 characters." sqref="H13:H200" xr:uid="{A7F16254-8D27-43AD-ACAA-24679979DC81}">
      <formula1>255</formula1>
    </dataValidation>
    <dataValidation type="textLength" operator="lessThanOrEqual" allowBlank="1" showInputMessage="1" showErrorMessage="1" errorTitle="Max Length Exceed" error="Value cannot exceed 255 characters." sqref="I13:I200" xr:uid="{303709EC-905D-4C37-AC98-88F5952670BE}">
      <formula1>255</formula1>
    </dataValidation>
    <dataValidation type="textLength" operator="lessThanOrEqual" allowBlank="1" showInputMessage="1" showErrorMessage="1" errorTitle="Max Length Exceed" error="Value cannot exceed 255 characters." sqref="J13:J200" xr:uid="{62FC3913-613C-458E-B1B6-3F19DAFC6EFE}">
      <formula1>255</formula1>
    </dataValidation>
    <dataValidation type="textLength" operator="lessThanOrEqual" allowBlank="1" showInputMessage="1" showErrorMessage="1" errorTitle="Max Length Exceed" error="Value cannot exceed 100 characters." sqref="K13:K200" xr:uid="{E3AE46B7-AC61-4412-83DC-1BF24E84E68C}">
      <formula1>100</formula1>
    </dataValidation>
    <dataValidation type="textLength" operator="lessThanOrEqual" allowBlank="1" showInputMessage="1" showErrorMessage="1" errorTitle="Max Length Exceed" error="Value cannot exceed 5 characters." sqref="M13:M200" xr:uid="{C0DF7013-2543-4AB9-8E71-65A6646C585D}">
      <formula1>5</formula1>
    </dataValidation>
    <dataValidation type="textLength" operator="lessThanOrEqual" allowBlank="1" showInputMessage="1" showErrorMessage="1" errorTitle="Max Length Exceed" error="Value cannot exceed 4 characters." sqref="N13:N200" xr:uid="{626DFBF6-34F3-4270-B70D-8E79D9778458}">
      <formula1>4</formula1>
    </dataValidation>
    <dataValidation type="textLength" operator="lessThanOrEqual" allowBlank="1" showInputMessage="1" showErrorMessage="1" errorTitle="Max Length Exceed" error="Value cannot exceed 2 characters." sqref="O13:O200" xr:uid="{593988C6-B68F-4BBB-B315-A80F8458596C}">
      <formula1>2</formula1>
    </dataValidation>
    <dataValidation type="textLength" operator="lessThanOrEqual" allowBlank="1" showInputMessage="1" showErrorMessage="1" errorTitle="Max Length Exceed" error="Value cannot exceed 80 characters." sqref="T13:T200" xr:uid="{EE066132-6669-4B88-B8D8-3E60213DE1D2}">
      <formula1>80</formula1>
    </dataValidation>
    <dataValidation type="decimal" operator="lessThanOrEqual" allowBlank="1" showInputMessage="1" showErrorMessage="1" errorTitle="Maximum Exceeded" error="Value cannot exceed 999,999,999,999.99" sqref="U13:U200" xr:uid="{341E702F-DA99-4D57-B595-611073225CE5}">
      <formula1>999999999999.99</formula1>
    </dataValidation>
    <dataValidation type="textLength" operator="lessThanOrEqual" allowBlank="1" showInputMessage="1" showErrorMessage="1" errorTitle="Max Length Exceed" error="Value cannot exceed 80 characters." sqref="V13:V200" xr:uid="{8713E86F-2F3E-4FE7-A2D8-F0FF74FC4E6B}">
      <formula1>80</formula1>
    </dataValidation>
    <dataValidation type="decimal" operator="lessThanOrEqual" allowBlank="1" showInputMessage="1" showErrorMessage="1" errorTitle="Maximum Exceeded" error="Value cannot exceed 999,999,999,999.99" sqref="W13:W200" xr:uid="{8EF49790-A179-4723-B3CE-E65D9A3E9ED9}">
      <formula1>999999999999.99</formula1>
    </dataValidation>
    <dataValidation type="textLength" operator="lessThanOrEqual" allowBlank="1" showInputMessage="1" showErrorMessage="1" errorTitle="Max Length Exceed" error="Value cannot exceed 80 characters." sqref="X13:X200" xr:uid="{A5CFE6B1-D9E0-4E84-B8D7-C234A7040D53}">
      <formula1>80</formula1>
    </dataValidation>
    <dataValidation type="decimal" operator="lessThanOrEqual" allowBlank="1" showInputMessage="1" showErrorMessage="1" errorTitle="Maximum Exceeded" error="Value cannot exceed 999,999,999,999.99" sqref="Y13:Y200" xr:uid="{C7D38980-7AB6-4C0A-BE67-3C81D8D7BE5C}">
      <formula1>999999999999.99</formula1>
    </dataValidation>
    <dataValidation type="textLength" operator="lessThanOrEqual" allowBlank="1" showInputMessage="1" showErrorMessage="1" errorTitle="Max Length Exceed" error="Value cannot exceed 80 characters." sqref="Z13:Z200" xr:uid="{5A7EE3AB-D838-40AD-8D39-1269F1FEA725}">
      <formula1>80</formula1>
    </dataValidation>
    <dataValidation type="decimal" operator="lessThanOrEqual" allowBlank="1" showInputMessage="1" showErrorMessage="1" errorTitle="Maximum Exceeded" error="Value cannot exceed 999,999,999,999.99" sqref="AA13:AA200" xr:uid="{3FEE1453-9C09-46D7-9A98-148B45B26EE5}">
      <formula1>999999999999.99</formula1>
    </dataValidation>
    <dataValidation type="textLength" operator="lessThanOrEqual" allowBlank="1" showInputMessage="1" showErrorMessage="1" errorTitle="Max Length Exceed" error="Value cannot exceed 80 characters." sqref="AB13:AB200" xr:uid="{09C5EDF6-FE8A-4477-BCF0-767858156934}">
      <formula1>80</formula1>
    </dataValidation>
    <dataValidation type="decimal" operator="lessThanOrEqual" allowBlank="1" showInputMessage="1" showErrorMessage="1" errorTitle="Maximum Exceeded" error="Value cannot exceed 999,999,999,999.99" sqref="AC13:AC200" xr:uid="{EC11CB2A-BF3F-48D7-8186-46A7BD3D937B}">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R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6" width="20.81640625" style="117" customWidth="1"/>
    <col min="7" max="7" width="19.5429687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7" width="22.90625" style="117" customWidth="1"/>
    <col min="28" max="33" width="11.453125" style="117" customWidth="1"/>
    <col min="34" max="16384" width="14.453125" style="117"/>
  </cols>
  <sheetData>
    <row r="1" spans="1:33" ht="27" hidden="1" customHeight="1" x14ac:dyDescent="0.25">
      <c r="A1" s="62" t="s">
        <v>345</v>
      </c>
      <c r="B1" s="75"/>
      <c r="C1" s="74"/>
      <c r="D1" s="74"/>
      <c r="E1" s="74"/>
      <c r="F1" s="74"/>
      <c r="G1" s="90"/>
      <c r="H1" s="90"/>
      <c r="I1" s="90"/>
      <c r="J1" s="74"/>
      <c r="K1" s="91"/>
      <c r="L1" s="73"/>
      <c r="M1" s="73"/>
      <c r="N1" s="73"/>
      <c r="O1" s="73" t="s">
        <v>404</v>
      </c>
      <c r="P1" s="73"/>
      <c r="Q1" s="92"/>
      <c r="R1" s="74"/>
      <c r="S1" s="74"/>
      <c r="T1" s="74"/>
      <c r="U1" s="74"/>
      <c r="V1" s="74"/>
      <c r="W1" s="90"/>
      <c r="X1" s="90"/>
      <c r="Y1" s="74"/>
      <c r="Z1" s="74"/>
      <c r="AA1" s="74"/>
    </row>
    <row r="2" spans="1:33" ht="27" hidden="1" customHeight="1" x14ac:dyDescent="0.25">
      <c r="A2" s="62" t="s">
        <v>346</v>
      </c>
      <c r="B2" s="75"/>
      <c r="C2" s="93"/>
      <c r="D2" s="93"/>
      <c r="E2" s="93"/>
      <c r="F2" s="93"/>
      <c r="G2" s="93"/>
      <c r="H2" s="94"/>
      <c r="I2" s="94"/>
      <c r="J2" s="93"/>
      <c r="K2" s="93"/>
      <c r="L2" s="93"/>
      <c r="M2" s="93"/>
      <c r="N2" s="93"/>
      <c r="O2" s="106"/>
      <c r="P2" s="93"/>
      <c r="Q2" s="93"/>
      <c r="R2" s="93"/>
      <c r="S2" s="93"/>
      <c r="T2" s="93"/>
      <c r="U2" s="93"/>
      <c r="V2" s="93"/>
      <c r="W2" s="93"/>
      <c r="X2" s="93"/>
      <c r="Y2" s="93"/>
      <c r="Z2" s="93"/>
      <c r="AA2" s="93"/>
    </row>
    <row r="3" spans="1:33" s="154" customFormat="1" ht="27" hidden="1" customHeight="1" x14ac:dyDescent="0.25">
      <c r="A3" s="62" t="s">
        <v>134</v>
      </c>
      <c r="B3" s="75"/>
      <c r="C3" s="67" t="s">
        <v>632</v>
      </c>
      <c r="D3" s="67" t="s">
        <v>633</v>
      </c>
      <c r="E3" s="67" t="s">
        <v>984</v>
      </c>
      <c r="F3" s="104" t="s">
        <v>824</v>
      </c>
      <c r="G3" s="96" t="s">
        <v>110</v>
      </c>
      <c r="H3" s="96" t="s">
        <v>218</v>
      </c>
      <c r="I3" s="96" t="s">
        <v>984</v>
      </c>
      <c r="J3" s="96" t="s">
        <v>219</v>
      </c>
      <c r="K3" s="97" t="s">
        <v>220</v>
      </c>
      <c r="L3" s="97" t="s">
        <v>221</v>
      </c>
      <c r="M3" s="97" t="s">
        <v>222</v>
      </c>
      <c r="N3" s="97" t="s">
        <v>223</v>
      </c>
      <c r="O3" s="97" t="s">
        <v>703</v>
      </c>
      <c r="P3" s="97" t="s">
        <v>229</v>
      </c>
      <c r="Q3" s="97" t="s">
        <v>230</v>
      </c>
      <c r="R3" s="97" t="s">
        <v>231</v>
      </c>
      <c r="S3" s="97" t="s">
        <v>232</v>
      </c>
      <c r="T3" s="97" t="s">
        <v>233</v>
      </c>
      <c r="U3" s="97" t="s">
        <v>234</v>
      </c>
      <c r="V3" s="97" t="s">
        <v>181</v>
      </c>
      <c r="W3" s="97" t="s">
        <v>235</v>
      </c>
      <c r="X3" s="97" t="s">
        <v>236</v>
      </c>
      <c r="Y3" s="97" t="s">
        <v>239</v>
      </c>
      <c r="Z3" s="97" t="s">
        <v>962</v>
      </c>
      <c r="AA3" s="97" t="s">
        <v>963</v>
      </c>
    </row>
    <row r="4" spans="1:33" s="154" customFormat="1" ht="27" hidden="1" customHeight="1" x14ac:dyDescent="0.25">
      <c r="A4" s="62" t="s">
        <v>133</v>
      </c>
      <c r="B4" s="75"/>
      <c r="C4" s="187" t="s">
        <v>953</v>
      </c>
      <c r="D4" s="187" t="s">
        <v>953</v>
      </c>
      <c r="E4" s="187" t="s">
        <v>976</v>
      </c>
      <c r="F4" s="104" t="s">
        <v>120</v>
      </c>
      <c r="G4" s="82" t="s">
        <v>120</v>
      </c>
      <c r="H4" s="82" t="s">
        <v>120</v>
      </c>
      <c r="I4" s="82" t="s">
        <v>979</v>
      </c>
      <c r="J4" s="82" t="s">
        <v>120</v>
      </c>
      <c r="K4" s="82" t="s">
        <v>120</v>
      </c>
      <c r="L4" s="82" t="s">
        <v>120</v>
      </c>
      <c r="M4" s="98" t="s">
        <v>468</v>
      </c>
      <c r="N4" s="98" t="s">
        <v>468</v>
      </c>
      <c r="O4" s="98" t="s">
        <v>468</v>
      </c>
      <c r="P4" s="82" t="s">
        <v>120</v>
      </c>
      <c r="Q4" s="82" t="s">
        <v>120</v>
      </c>
      <c r="R4" s="99" t="s">
        <v>120</v>
      </c>
      <c r="S4" s="99" t="s">
        <v>121</v>
      </c>
      <c r="T4" s="99" t="s">
        <v>121</v>
      </c>
      <c r="U4" s="99" t="s">
        <v>120</v>
      </c>
      <c r="V4" s="99" t="s">
        <v>120</v>
      </c>
      <c r="W4" s="99" t="s">
        <v>120</v>
      </c>
      <c r="X4" s="99" t="s">
        <v>121</v>
      </c>
      <c r="Y4" s="85" t="s">
        <v>120</v>
      </c>
      <c r="Z4" s="85" t="s">
        <v>120</v>
      </c>
      <c r="AA4" s="85" t="s">
        <v>468</v>
      </c>
    </row>
    <row r="5" spans="1:33" s="154" customFormat="1" ht="27" hidden="1" customHeight="1" x14ac:dyDescent="0.25">
      <c r="A5" s="62" t="s">
        <v>347</v>
      </c>
      <c r="B5" s="75"/>
      <c r="C5" s="100" t="s">
        <v>606</v>
      </c>
      <c r="D5" s="100" t="s">
        <v>607</v>
      </c>
      <c r="E5" s="100"/>
      <c r="F5" s="72" t="s">
        <v>609</v>
      </c>
      <c r="G5" s="96" t="s">
        <v>602</v>
      </c>
      <c r="H5" s="96" t="s">
        <v>634</v>
      </c>
      <c r="I5" s="96"/>
      <c r="J5" s="96" t="s">
        <v>635</v>
      </c>
      <c r="K5" s="96" t="s">
        <v>636</v>
      </c>
      <c r="L5" s="96" t="s">
        <v>637</v>
      </c>
      <c r="M5" s="97"/>
      <c r="N5" s="96" t="s">
        <v>639</v>
      </c>
      <c r="O5" s="95" t="s">
        <v>154</v>
      </c>
      <c r="P5" s="96" t="s">
        <v>640</v>
      </c>
      <c r="Q5" s="96" t="s">
        <v>641</v>
      </c>
      <c r="R5" s="96" t="s">
        <v>642</v>
      </c>
      <c r="S5" s="96" t="s">
        <v>643</v>
      </c>
      <c r="T5" s="96" t="s">
        <v>644</v>
      </c>
      <c r="U5" s="96" t="s">
        <v>645</v>
      </c>
      <c r="V5" s="96" t="s">
        <v>646</v>
      </c>
      <c r="W5" s="96" t="s">
        <v>647</v>
      </c>
      <c r="X5" s="96" t="s">
        <v>617</v>
      </c>
      <c r="Y5" s="97"/>
      <c r="Z5" s="97"/>
      <c r="AA5" s="97"/>
    </row>
    <row r="6" spans="1:33" s="154" customFormat="1" ht="27" hidden="1" customHeight="1" x14ac:dyDescent="0.25">
      <c r="A6" s="62" t="s">
        <v>137</v>
      </c>
      <c r="B6" s="75"/>
      <c r="C6" s="100" t="s">
        <v>106</v>
      </c>
      <c r="D6" s="100" t="s">
        <v>106</v>
      </c>
      <c r="E6" s="100" t="s">
        <v>106</v>
      </c>
      <c r="F6" s="67" t="s">
        <v>620</v>
      </c>
      <c r="G6" s="82" t="s">
        <v>106</v>
      </c>
      <c r="H6" s="82" t="s">
        <v>106</v>
      </c>
      <c r="I6" s="82" t="s">
        <v>106</v>
      </c>
      <c r="J6" s="84" t="s">
        <v>243</v>
      </c>
      <c r="K6" s="82" t="s">
        <v>106</v>
      </c>
      <c r="L6" s="82" t="s">
        <v>106</v>
      </c>
      <c r="M6" s="98" t="s">
        <v>638</v>
      </c>
      <c r="N6" s="98" t="s">
        <v>106</v>
      </c>
      <c r="O6" s="106" t="s">
        <v>106</v>
      </c>
      <c r="P6" s="82" t="s">
        <v>106</v>
      </c>
      <c r="Q6" s="82" t="s">
        <v>106</v>
      </c>
      <c r="R6" s="100" t="s">
        <v>106</v>
      </c>
      <c r="S6" s="100" t="s">
        <v>106</v>
      </c>
      <c r="T6" s="100" t="s">
        <v>106</v>
      </c>
      <c r="U6" s="100" t="s">
        <v>106</v>
      </c>
      <c r="V6" s="100" t="s">
        <v>648</v>
      </c>
      <c r="W6" s="100" t="s">
        <v>106</v>
      </c>
      <c r="X6" s="100" t="s">
        <v>106</v>
      </c>
      <c r="Y6" s="100" t="s">
        <v>106</v>
      </c>
      <c r="Z6" s="67" t="s">
        <v>149</v>
      </c>
      <c r="AA6" s="100" t="s">
        <v>106</v>
      </c>
    </row>
    <row r="7" spans="1:33" s="154" customFormat="1" ht="27" hidden="1" customHeight="1" x14ac:dyDescent="0.25">
      <c r="A7" s="62" t="s">
        <v>138</v>
      </c>
      <c r="B7" s="75"/>
      <c r="C7" s="74" t="s">
        <v>978</v>
      </c>
      <c r="D7" s="74" t="s">
        <v>978</v>
      </c>
      <c r="E7" s="74" t="s">
        <v>982</v>
      </c>
      <c r="F7" s="74" t="s">
        <v>142</v>
      </c>
      <c r="G7" s="82" t="s">
        <v>140</v>
      </c>
      <c r="H7" s="82" t="s">
        <v>140</v>
      </c>
      <c r="I7" s="82" t="s">
        <v>982</v>
      </c>
      <c r="J7" s="82" t="s">
        <v>142</v>
      </c>
      <c r="K7" s="82" t="s">
        <v>144</v>
      </c>
      <c r="L7" s="82" t="s">
        <v>2</v>
      </c>
      <c r="M7" s="82" t="s">
        <v>142</v>
      </c>
      <c r="N7" s="98" t="s">
        <v>140</v>
      </c>
      <c r="O7" s="98" t="s">
        <v>140</v>
      </c>
      <c r="P7" s="82" t="s">
        <v>2</v>
      </c>
      <c r="Q7" s="82" t="s">
        <v>2</v>
      </c>
      <c r="R7" s="74" t="s">
        <v>140</v>
      </c>
      <c r="S7" s="74" t="s">
        <v>140</v>
      </c>
      <c r="T7" s="74" t="s">
        <v>140</v>
      </c>
      <c r="U7" s="74" t="s">
        <v>140</v>
      </c>
      <c r="V7" s="74" t="s">
        <v>142</v>
      </c>
      <c r="W7" s="74" t="s">
        <v>140</v>
      </c>
      <c r="X7" s="74" t="s">
        <v>140</v>
      </c>
      <c r="Y7" s="74" t="s">
        <v>140</v>
      </c>
      <c r="Z7" s="74" t="s">
        <v>142</v>
      </c>
      <c r="AA7" s="74" t="s">
        <v>140</v>
      </c>
    </row>
    <row r="8" spans="1:33" s="154" customFormat="1" ht="27" hidden="1" customHeight="1" x14ac:dyDescent="0.25">
      <c r="A8" s="62" t="s">
        <v>139</v>
      </c>
      <c r="B8" s="75"/>
      <c r="C8" s="74">
        <v>12</v>
      </c>
      <c r="D8" s="74">
        <v>9</v>
      </c>
      <c r="E8" s="74" t="s">
        <v>106</v>
      </c>
      <c r="F8" s="74" t="s">
        <v>106</v>
      </c>
      <c r="G8" s="85">
        <v>20</v>
      </c>
      <c r="H8" s="85">
        <v>20</v>
      </c>
      <c r="I8" s="85" t="s">
        <v>106</v>
      </c>
      <c r="J8" s="85" t="s">
        <v>106</v>
      </c>
      <c r="K8" s="82" t="s">
        <v>145</v>
      </c>
      <c r="L8" s="85" t="s">
        <v>697</v>
      </c>
      <c r="M8" s="101" t="s">
        <v>106</v>
      </c>
      <c r="N8" s="102">
        <v>100</v>
      </c>
      <c r="O8" s="102">
        <v>3000</v>
      </c>
      <c r="P8" s="85" t="s">
        <v>697</v>
      </c>
      <c r="Q8" s="85" t="s">
        <v>697</v>
      </c>
      <c r="R8" s="74">
        <v>120</v>
      </c>
      <c r="S8" s="74">
        <v>120</v>
      </c>
      <c r="T8" s="74">
        <v>120</v>
      </c>
      <c r="U8" s="74">
        <v>40</v>
      </c>
      <c r="V8" s="74">
        <v>2</v>
      </c>
      <c r="W8" s="74">
        <v>5</v>
      </c>
      <c r="X8" s="74">
        <v>4</v>
      </c>
      <c r="Y8" s="74">
        <v>750</v>
      </c>
      <c r="Z8" s="74" t="s">
        <v>106</v>
      </c>
      <c r="AA8" s="74">
        <v>250</v>
      </c>
    </row>
    <row r="9" spans="1:33" s="154" customFormat="1" ht="27" hidden="1" customHeight="1" x14ac:dyDescent="0.25">
      <c r="A9" s="62" t="s">
        <v>348</v>
      </c>
      <c r="B9" s="75"/>
      <c r="C9" s="67"/>
      <c r="D9" s="67"/>
      <c r="E9" s="67"/>
      <c r="F9" s="67"/>
      <c r="G9" s="96"/>
      <c r="H9" s="96"/>
      <c r="I9" s="96"/>
      <c r="J9" s="96"/>
      <c r="K9" s="97"/>
      <c r="L9" s="97"/>
      <c r="M9" s="97"/>
      <c r="N9" s="97"/>
      <c r="O9" s="95"/>
      <c r="P9" s="97"/>
      <c r="Q9" s="97"/>
      <c r="R9" s="97"/>
      <c r="S9" s="97"/>
      <c r="T9" s="97"/>
      <c r="U9" s="97"/>
      <c r="V9" s="97"/>
      <c r="W9" s="97"/>
      <c r="X9" s="97"/>
      <c r="Y9" s="97"/>
      <c r="Z9" s="97"/>
      <c r="AA9" s="97"/>
    </row>
    <row r="10" spans="1:33" s="154" customFormat="1" ht="35.15" hidden="1" customHeight="1" x14ac:dyDescent="0.25">
      <c r="A10" s="38" t="s">
        <v>704</v>
      </c>
      <c r="B10" s="44"/>
      <c r="C10" s="79" t="s">
        <v>957</v>
      </c>
      <c r="D10" s="79" t="s">
        <v>958</v>
      </c>
      <c r="E10" s="79" t="s">
        <v>977</v>
      </c>
      <c r="F10" s="45" t="s">
        <v>716</v>
      </c>
      <c r="G10" s="45" t="s">
        <v>731</v>
      </c>
      <c r="H10" s="45" t="s">
        <v>732</v>
      </c>
      <c r="I10" s="45" t="s">
        <v>983</v>
      </c>
      <c r="J10" s="45" t="s">
        <v>733</v>
      </c>
      <c r="K10" s="45" t="s">
        <v>734</v>
      </c>
      <c r="L10" s="45" t="s">
        <v>735</v>
      </c>
      <c r="M10" s="45" t="s">
        <v>736</v>
      </c>
      <c r="N10" s="45" t="s">
        <v>737</v>
      </c>
      <c r="O10" s="45" t="s">
        <v>747</v>
      </c>
      <c r="P10" s="45" t="s">
        <v>738</v>
      </c>
      <c r="Q10" s="45" t="s">
        <v>739</v>
      </c>
      <c r="R10" s="45" t="s">
        <v>740</v>
      </c>
      <c r="S10" s="45" t="s">
        <v>741</v>
      </c>
      <c r="T10" s="45" t="s">
        <v>742</v>
      </c>
      <c r="U10" s="45" t="s">
        <v>743</v>
      </c>
      <c r="V10" s="45" t="s">
        <v>744</v>
      </c>
      <c r="W10" s="45" t="s">
        <v>745</v>
      </c>
      <c r="X10" s="45" t="s">
        <v>746</v>
      </c>
      <c r="Y10" s="45" t="s">
        <v>748</v>
      </c>
      <c r="Z10" s="45" t="s">
        <v>961</v>
      </c>
      <c r="AA10" s="45" t="s">
        <v>964</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row>
    <row r="12" spans="1:33" s="113" customFormat="1" ht="65" x14ac:dyDescent="0.3">
      <c r="A12" s="2" t="s">
        <v>122</v>
      </c>
      <c r="B12" s="2"/>
      <c r="C12" s="186" t="s">
        <v>955</v>
      </c>
      <c r="D12" s="186" t="s">
        <v>956</v>
      </c>
      <c r="E12" s="258" t="s">
        <v>8</v>
      </c>
      <c r="F12" s="186" t="s">
        <v>619</v>
      </c>
      <c r="G12" s="186" t="s">
        <v>5</v>
      </c>
      <c r="H12" s="186" t="s">
        <v>282</v>
      </c>
      <c r="I12" s="186" t="s">
        <v>985</v>
      </c>
      <c r="J12" s="186" t="s">
        <v>226</v>
      </c>
      <c r="K12" s="186" t="s">
        <v>227</v>
      </c>
      <c r="L12" s="186" t="s">
        <v>228</v>
      </c>
      <c r="M12" s="186" t="s">
        <v>224</v>
      </c>
      <c r="N12" s="186" t="s">
        <v>225</v>
      </c>
      <c r="O12" s="186" t="s">
        <v>454</v>
      </c>
      <c r="P12" s="264" t="s">
        <v>53</v>
      </c>
      <c r="Q12" s="264" t="s">
        <v>54</v>
      </c>
      <c r="R12" s="186" t="s">
        <v>55</v>
      </c>
      <c r="S12" s="265" t="s">
        <v>56</v>
      </c>
      <c r="T12" s="265" t="s">
        <v>57</v>
      </c>
      <c r="U12" s="186" t="s">
        <v>58</v>
      </c>
      <c r="V12" s="186" t="s">
        <v>59</v>
      </c>
      <c r="W12" s="262" t="s">
        <v>60</v>
      </c>
      <c r="X12" s="263" t="s">
        <v>237</v>
      </c>
      <c r="Y12" s="262" t="s">
        <v>238</v>
      </c>
      <c r="Z12" s="262" t="s">
        <v>959</v>
      </c>
      <c r="AA12" s="262" t="s">
        <v>960</v>
      </c>
      <c r="AB12" s="152"/>
      <c r="AC12" s="152"/>
      <c r="AD12" s="152"/>
      <c r="AE12" s="152"/>
      <c r="AF12" s="152"/>
      <c r="AG12" s="152"/>
    </row>
    <row r="13" spans="1:33" ht="12.75" customHeight="1" x14ac:dyDescent="0.3">
      <c r="A13" s="181" t="s">
        <v>136</v>
      </c>
      <c r="B13" s="181"/>
      <c r="C13" s="228"/>
      <c r="D13" s="254"/>
      <c r="E13" s="255" t="str">
        <f>IFERROR(IF(ISBLANK(C13),IF(ISBLANK(D13),"",VLOOKUP(D13,Subrecipient!$D$13:$E$200,2,FALSE)),VLOOKUP(C13,Subrecipient!$C$13:$E$200,3,FALSE)),"Not Found")</f>
        <v/>
      </c>
      <c r="F13" s="172"/>
      <c r="G13" s="235"/>
      <c r="H13" s="228"/>
      <c r="I13" s="255" t="str">
        <f>E13</f>
        <v/>
      </c>
      <c r="J13" s="172"/>
      <c r="K13" s="206"/>
      <c r="L13" s="174"/>
      <c r="M13" s="175"/>
      <c r="N13" s="175"/>
      <c r="O13" s="175"/>
      <c r="P13" s="174"/>
      <c r="Q13" s="236"/>
      <c r="R13" s="172"/>
      <c r="S13" s="172"/>
      <c r="T13" s="172"/>
      <c r="U13" s="172"/>
      <c r="V13" s="172"/>
      <c r="W13" s="228"/>
      <c r="X13" s="228"/>
      <c r="Y13" s="172"/>
      <c r="Z13" s="172"/>
      <c r="AA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row>
    <row r="17" spans="1:27"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row>
    <row r="18" spans="1:27"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row>
    <row r="19" spans="1:27"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row>
    <row r="20" spans="1:27"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row>
    <row r="21" spans="1:27"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row>
    <row r="22" spans="1:27"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row>
    <row r="23" spans="1:27"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row>
    <row r="24" spans="1:27"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row>
    <row r="25" spans="1:27"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row>
    <row r="26" spans="1:27"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row>
    <row r="27" spans="1:27"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row>
    <row r="28" spans="1:27"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row>
    <row r="29" spans="1:27"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row>
    <row r="30" spans="1:27"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row>
    <row r="31" spans="1:27"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row>
    <row r="32" spans="1:27"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row>
    <row r="33" spans="1:27"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row>
    <row r="34" spans="1:27"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row>
    <row r="35" spans="1:27"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row>
    <row r="36" spans="1:27"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row>
    <row r="37" spans="1:27"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row>
    <row r="38" spans="1:27"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row>
    <row r="39" spans="1:27"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row>
    <row r="40" spans="1:27"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row>
    <row r="41" spans="1:27"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row>
    <row r="42" spans="1:27"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row>
    <row r="43" spans="1:27"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row>
    <row r="44" spans="1:27"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row>
    <row r="45" spans="1:27"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row>
    <row r="46" spans="1:27"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row>
    <row r="47" spans="1:27"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row>
    <row r="48" spans="1:27"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row>
    <row r="49" spans="1:27"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row>
    <row r="50" spans="1:27"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row>
    <row r="51" spans="1:27"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row>
    <row r="52" spans="1:27"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row>
    <row r="53" spans="1:27"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row>
    <row r="54" spans="1:27"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row>
    <row r="55" spans="1:27"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row>
    <row r="56" spans="1:27"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row>
    <row r="57" spans="1:27"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row>
    <row r="58" spans="1:27"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row>
    <row r="59" spans="1:27"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row>
    <row r="60" spans="1:27"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row>
    <row r="61" spans="1:27"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row>
    <row r="62" spans="1:27"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row>
    <row r="63" spans="1:27"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row>
    <row r="64" spans="1:27"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row>
    <row r="65" spans="1:27"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row>
    <row r="66" spans="1:27"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row>
    <row r="67" spans="1:27"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row>
    <row r="68" spans="1:27"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row>
    <row r="69" spans="1:27"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row>
    <row r="70" spans="1:27"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row>
    <row r="71" spans="1:27"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row>
    <row r="72" spans="1:27"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row>
    <row r="73" spans="1:27"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row>
    <row r="74" spans="1:27"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row>
    <row r="75" spans="1:27"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row>
    <row r="76" spans="1:27"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row>
    <row r="77" spans="1:27"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row>
    <row r="78" spans="1:27"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row>
    <row r="79" spans="1:27"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row>
    <row r="80" spans="1:27"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row>
    <row r="81" spans="1:27"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row>
    <row r="82" spans="1:27"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row>
    <row r="83" spans="1:27"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row>
    <row r="84" spans="1:27"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row>
    <row r="85" spans="1:27"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row>
    <row r="86" spans="1:27"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row>
    <row r="87" spans="1:27"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row>
    <row r="88" spans="1:27"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row>
    <row r="89" spans="1:27"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row>
    <row r="90" spans="1:27"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row>
    <row r="91" spans="1:27"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row>
    <row r="92" spans="1:27"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row>
    <row r="93" spans="1:27"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row>
    <row r="94" spans="1:27"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row>
    <row r="95" spans="1:27"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row>
    <row r="96" spans="1:27"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row>
    <row r="97" spans="1:27"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row>
    <row r="98" spans="1:27"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row>
    <row r="99" spans="1:27"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row>
    <row r="100" spans="1:27"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row>
    <row r="101" spans="1:27"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row>
    <row r="102" spans="1:27"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row>
    <row r="103" spans="1:27"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row>
    <row r="104" spans="1:27"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row>
    <row r="105" spans="1:27"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row>
    <row r="106" spans="1:27"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row>
    <row r="107" spans="1:27"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row>
    <row r="108" spans="1:27"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row>
    <row r="109" spans="1:27"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row>
    <row r="110" spans="1:27"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row>
    <row r="111" spans="1:27"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row>
    <row r="112" spans="1:27"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row>
    <row r="113" spans="1:27"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row>
    <row r="114" spans="1:27"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row>
    <row r="115" spans="1:27"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row>
    <row r="116" spans="1:27"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row>
    <row r="117" spans="1:27"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row>
    <row r="118" spans="1:27"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row>
    <row r="119" spans="1:27"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row>
    <row r="120" spans="1:27"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row>
    <row r="121" spans="1:27"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row>
    <row r="122" spans="1:27"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row>
    <row r="123" spans="1:27"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row>
    <row r="124" spans="1:27"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row>
    <row r="125" spans="1:27"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row>
    <row r="126" spans="1:27"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row>
    <row r="127" spans="1:27"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row>
    <row r="128" spans="1:27"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row>
    <row r="129" spans="1:27"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row>
    <row r="130" spans="1:27"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row>
    <row r="131" spans="1:27"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row>
    <row r="132" spans="1:27"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row>
    <row r="133" spans="1:27"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row>
    <row r="134" spans="1:27"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row>
    <row r="135" spans="1:27"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row>
    <row r="136" spans="1:27"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row>
    <row r="137" spans="1:27"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row>
    <row r="138" spans="1:27"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row>
    <row r="139" spans="1:27"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row>
    <row r="140" spans="1:27"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row>
    <row r="141" spans="1:27"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row>
    <row r="142" spans="1:27"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row>
    <row r="143" spans="1:27"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row>
    <row r="144" spans="1:27"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row>
    <row r="145" spans="1:27"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row>
    <row r="146" spans="1:27"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row>
    <row r="147" spans="1:27"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row>
    <row r="148" spans="1:27"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row>
    <row r="149" spans="1:27"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row>
    <row r="150" spans="1:27"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row>
    <row r="151" spans="1:27"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row>
    <row r="152" spans="1:27"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row>
    <row r="153" spans="1:27"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row>
    <row r="154" spans="1:27"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row>
    <row r="155" spans="1:27"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row>
    <row r="156" spans="1:27"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row>
    <row r="157" spans="1:27"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row>
    <row r="158" spans="1:27"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row>
    <row r="159" spans="1:27"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row>
    <row r="160" spans="1:27"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row>
    <row r="161" spans="1:27"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row>
    <row r="162" spans="1:27"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row>
    <row r="163" spans="1:27"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row>
    <row r="164" spans="1:27"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row>
    <row r="165" spans="1:27"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row>
    <row r="166" spans="1:27"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row>
    <row r="167" spans="1:27"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row>
    <row r="168" spans="1:27"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row>
    <row r="169" spans="1:27"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row>
    <row r="170" spans="1:27"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row>
    <row r="171" spans="1:27"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row>
    <row r="172" spans="1:27"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row>
    <row r="173" spans="1:27"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row>
    <row r="174" spans="1:27"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row>
    <row r="175" spans="1:27"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row>
    <row r="176" spans="1:27"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row>
    <row r="177" spans="1:27"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row>
    <row r="178" spans="1:27"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row>
    <row r="179" spans="1:27"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row>
    <row r="180" spans="1:27"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row>
    <row r="181" spans="1:27"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row>
    <row r="182" spans="1:27"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row>
    <row r="183" spans="1:27"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row>
    <row r="184" spans="1:27"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row>
    <row r="185" spans="1:27"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row>
    <row r="186" spans="1:27"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row>
    <row r="187" spans="1:27"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row>
    <row r="188" spans="1:27"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row>
    <row r="189" spans="1:27"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row>
    <row r="190" spans="1:27"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row>
    <row r="191" spans="1:27"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row>
    <row r="192" spans="1:27"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row>
    <row r="193" spans="1:27"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row>
    <row r="194" spans="1:27"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row>
    <row r="195" spans="1:27"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row>
    <row r="196" spans="1:27"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row>
    <row r="197" spans="1:27"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row>
    <row r="198" spans="1:27"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row>
    <row r="199" spans="1:27"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row>
    <row r="200" spans="1:27"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row>
  </sheetData>
  <sheetProtection algorithmName="SHA-512" hashValue="ub2/gRRCSpyA+5TCzb5ONwTHYd+1keFAXnv/LUX6W1grGMjg8hpG4QQ7yHAxJbr4l6RIofS7J3uTu2zWTehVMg==" saltValue="Hp5znOFgI+/8mXVbSsjEWQ==" spinCount="100000" sheet="1" objects="1" scenarios="1" formatCells="0" formatRows="0"/>
  <dataConsolidate/>
  <phoneticPr fontId="10" type="noConversion"/>
  <conditionalFormatting sqref="N13:N200">
    <cfRule type="expression" priority="5">
      <formula>LEFT($M13,5)="Other"</formula>
    </cfRule>
    <cfRule type="expression" dxfId="5" priority="6">
      <formula>LEFT($M13,5)&lt;&gt;"Other"</formula>
    </cfRule>
  </conditionalFormatting>
  <conditionalFormatting sqref="AA13:AA200">
    <cfRule type="expression" dxfId="4" priority="3">
      <formula>Z13="Yes"</formula>
    </cfRule>
    <cfRule type="expression" dxfId="3" priority="4">
      <formula>Z13&lt;&gt;"Yes"</formula>
    </cfRule>
  </conditionalFormatting>
  <conditionalFormatting sqref="E13:F200">
    <cfRule type="expression" priority="1">
      <formula>E13&lt;&gt;"Not Found"</formula>
    </cfRule>
    <cfRule type="expression" dxfId="2" priority="2">
      <formula>E13="Not Found"</formula>
    </cfRule>
  </conditionalFormatting>
  <dataValidations count="24">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AD242FC2-2877-42F0-BD8F-8A0046C90CCD}">
      <formula1>12</formula1>
    </dataValidation>
    <dataValidation type="textLength" operator="equal" allowBlank="1" showInputMessage="1" showErrorMessage="1" errorTitle="Invalid Length" error="Value must equal 9 characters." sqref="D13:D200" xr:uid="{D5959298-2B29-4C25-9A04-13605F988092}">
      <formula1>9</formula1>
    </dataValidation>
    <dataValidation type="textLength" operator="lessThanOrEqual" allowBlank="1" showInputMessage="1" showErrorMessage="1" errorTitle="Max Length Exceed" error="Value cannot exceed 20 characters." sqref="G13:G200" xr:uid="{70DA7EFE-6E2F-4A8D-A8BA-3D973D7BAA23}">
      <formula1>20</formula1>
    </dataValidation>
    <dataValidation type="textLength" operator="lessThanOrEqual" allowBlank="1" showInputMessage="1" showErrorMessage="1" errorTitle="Max Length Exceed" error="Value cannot exceed 20 characters." sqref="H13:H200" xr:uid="{F19C903A-665C-493B-B2AE-DEF352D0B678}">
      <formula1>20</formula1>
    </dataValidation>
    <dataValidation type="decimal" operator="lessThanOrEqual" allowBlank="1" showInputMessage="1" showErrorMessage="1" errorTitle="Maximum Exceeded" error="Value cannot exceed 999,999,999,999.99" sqref="K13:K200" xr:uid="{BBBB061F-30BA-474B-AE88-B68268C7AF20}">
      <formula1>999999999999.99</formula1>
    </dataValidation>
    <dataValidation type="date" operator="lessThan" allowBlank="1" showInputMessage="1" showErrorMessage="1" errorTitle="Date Format" error="Please check the format of the date you entered." sqref="L13:L200" xr:uid="{0FE0203E-7A02-46BD-AE55-3AFAB97B7D85}">
      <formula1>46753</formula1>
    </dataValidation>
    <dataValidation type="textLength" operator="lessThanOrEqual" allowBlank="1" showInputMessage="1" showErrorMessage="1" errorTitle="Max Length Exceed" error="Value cannot exceed 100 characters." sqref="N13:N200" xr:uid="{115AE770-DE7C-40F2-B482-9B5AE36073E6}">
      <formula1>100</formula1>
    </dataValidation>
    <dataValidation type="textLength" operator="lessThanOrEqual" allowBlank="1" showInputMessage="1" showErrorMessage="1" errorTitle="Max Length Exceed" error="Value cannot exceed 3000 characters." sqref="O13:O200" xr:uid="{29EE76DE-1A17-4BCA-A153-FE886B347A6E}">
      <formula1>3000</formula1>
    </dataValidation>
    <dataValidation type="date" operator="lessThan" allowBlank="1" showInputMessage="1" showErrorMessage="1" errorTitle="Date Format" error="Please check the format of the date you entered." sqref="P13:P200" xr:uid="{ECB8B296-3A9B-42F8-9E26-B4B12EB89BBC}">
      <formula1>46753</formula1>
    </dataValidation>
    <dataValidation type="date" operator="lessThan" allowBlank="1" showInputMessage="1" showErrorMessage="1" errorTitle="Date Format" error="Please check the format of the date you entered." sqref="Q13:Q200" xr:uid="{0D1C6FEF-8AB5-45E3-B51C-927E87AE0507}">
      <formula1>46753</formula1>
    </dataValidation>
    <dataValidation type="textLength" operator="lessThanOrEqual" allowBlank="1" showInputMessage="1" showErrorMessage="1" errorTitle="Max Length Exceed" error="Value cannot exceed 120 characters." sqref="R13:R200" xr:uid="{4A6206BF-5E11-4533-9CEA-FEBA31D69EE5}">
      <formula1>120</formula1>
    </dataValidation>
    <dataValidation type="textLength" operator="lessThanOrEqual" allowBlank="1" showInputMessage="1" showErrorMessage="1" errorTitle="Max Length Exceed" error="Value cannot exceed 120 characters." sqref="S13:S200" xr:uid="{52829556-DA5D-478E-ABFC-9F5A1557BF50}">
      <formula1>120</formula1>
    </dataValidation>
    <dataValidation type="textLength" operator="lessThanOrEqual" allowBlank="1" showInputMessage="1" showErrorMessage="1" errorTitle="Max Length Exceed" error="Value cannot exceed 120 characters." sqref="T13:T200" xr:uid="{2B28D59A-7AAB-42D4-B2EA-B89C7CB9BA01}">
      <formula1>120</formula1>
    </dataValidation>
    <dataValidation type="textLength" operator="lessThanOrEqual" allowBlank="1" showInputMessage="1" showErrorMessage="1" errorTitle="Max Length Exceed" error="Value cannot exceed 40 characters." sqref="U13:U200" xr:uid="{58907D3E-C672-45FC-8E1F-D04764F27C55}">
      <formula1>40</formula1>
    </dataValidation>
    <dataValidation type="textLength" operator="lessThanOrEqual" allowBlank="1" showInputMessage="1" showErrorMessage="1" errorTitle="Max Length Exceed" error="Value cannot exceed 5 characters." sqref="W13:W200" xr:uid="{DBA5A14E-C069-4B93-9ED4-4577FA559C02}">
      <formula1>5</formula1>
    </dataValidation>
    <dataValidation type="textLength" operator="lessThanOrEqual" allowBlank="1" showInputMessage="1" showErrorMessage="1" errorTitle="Max Length Exceed" error="Value cannot exceed 4 characters." sqref="X13:X200" xr:uid="{B0C7C4A8-6708-4AEF-A881-672859A9A911}">
      <formula1>4</formula1>
    </dataValidation>
    <dataValidation type="textLength" operator="lessThanOrEqual" allowBlank="1" showInputMessage="1" showErrorMessage="1" errorTitle="Max Length Exceed" error="Value cannot exceed 750 characters." sqref="Y13:Y200" xr:uid="{128262B0-ED04-491E-AD76-085977CC7B45}">
      <formula1>750</formula1>
    </dataValidation>
    <dataValidation type="textLength" operator="lessThanOrEqual" allowBlank="1" showInputMessage="1" showErrorMessage="1" errorTitle="Max Length Exceed" error="Value cannot exceed 250 characters." sqref="AA13:AA200" xr:uid="{A9F7292C-B1D1-4D3E-A448-4EFB661DEE24}">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159" hidden="1" customWidth="1"/>
    <col min="2" max="2" width="4.453125" style="159" hidden="1" customWidth="1"/>
    <col min="3" max="4" width="20.7265625" style="117" customWidth="1"/>
    <col min="5" max="5" width="32.54296875" style="161" customWidth="1"/>
    <col min="6" max="6" width="18.54296875" style="161" customWidth="1"/>
    <col min="7" max="7" width="20.453125" style="162" customWidth="1"/>
    <col min="8" max="29" width="8.7265625" style="117" customWidth="1"/>
    <col min="30" max="16384" width="14.453125" style="117"/>
  </cols>
  <sheetData>
    <row r="1" spans="1:7" ht="27" hidden="1" customHeight="1" x14ac:dyDescent="0.25">
      <c r="A1" s="63"/>
      <c r="B1" s="74"/>
      <c r="C1" s="74"/>
      <c r="D1" s="74"/>
      <c r="E1" s="86"/>
      <c r="F1" s="86"/>
      <c r="G1" s="87"/>
    </row>
    <row r="2" spans="1:7" ht="27" hidden="1" customHeight="1" x14ac:dyDescent="0.25">
      <c r="A2" s="61" t="s">
        <v>346</v>
      </c>
      <c r="B2" s="75"/>
      <c r="C2" s="74" t="s">
        <v>596</v>
      </c>
      <c r="D2" s="74"/>
      <c r="E2" s="74" t="s">
        <v>596</v>
      </c>
      <c r="F2" s="74" t="s">
        <v>596</v>
      </c>
      <c r="G2" s="74" t="s">
        <v>596</v>
      </c>
    </row>
    <row r="3" spans="1:7" ht="27" hidden="1" customHeight="1" x14ac:dyDescent="0.25">
      <c r="A3" s="61" t="s">
        <v>134</v>
      </c>
      <c r="B3" s="75"/>
      <c r="C3" s="82" t="s">
        <v>597</v>
      </c>
      <c r="D3" s="74" t="s">
        <v>984</v>
      </c>
      <c r="E3" s="88" t="s">
        <v>240</v>
      </c>
      <c r="F3" s="88" t="s">
        <v>241</v>
      </c>
      <c r="G3" s="88" t="s">
        <v>242</v>
      </c>
    </row>
    <row r="4" spans="1:7" ht="27" hidden="1" customHeight="1" x14ac:dyDescent="0.25">
      <c r="A4" s="61" t="s">
        <v>133</v>
      </c>
      <c r="B4" s="75"/>
      <c r="C4" s="82" t="s">
        <v>120</v>
      </c>
      <c r="D4" s="74" t="s">
        <v>976</v>
      </c>
      <c r="E4" s="82" t="s">
        <v>120</v>
      </c>
      <c r="F4" s="82" t="s">
        <v>120</v>
      </c>
      <c r="G4" s="82" t="s">
        <v>120</v>
      </c>
    </row>
    <row r="5" spans="1:7" ht="27" hidden="1" customHeight="1" x14ac:dyDescent="0.25">
      <c r="A5" s="61" t="s">
        <v>347</v>
      </c>
      <c r="B5" s="75"/>
      <c r="C5" s="74" t="s">
        <v>598</v>
      </c>
      <c r="D5" s="74"/>
      <c r="E5" s="89" t="s">
        <v>599</v>
      </c>
      <c r="F5" s="89" t="s">
        <v>600</v>
      </c>
      <c r="G5" s="89" t="s">
        <v>601</v>
      </c>
    </row>
    <row r="6" spans="1:7" ht="27" hidden="1" customHeight="1" x14ac:dyDescent="0.25">
      <c r="A6" s="61" t="s">
        <v>137</v>
      </c>
      <c r="B6" s="75"/>
      <c r="C6" s="82" t="s">
        <v>106</v>
      </c>
      <c r="D6" s="74" t="s">
        <v>106</v>
      </c>
      <c r="E6" s="82" t="s">
        <v>106</v>
      </c>
      <c r="F6" s="82" t="s">
        <v>106</v>
      </c>
      <c r="G6" s="82" t="s">
        <v>106</v>
      </c>
    </row>
    <row r="7" spans="1:7" ht="27" hidden="1" customHeight="1" x14ac:dyDescent="0.25">
      <c r="A7" s="61" t="s">
        <v>138</v>
      </c>
      <c r="B7" s="75"/>
      <c r="C7" s="82" t="s">
        <v>140</v>
      </c>
      <c r="D7" s="74" t="s">
        <v>982</v>
      </c>
      <c r="E7" s="82" t="s">
        <v>2</v>
      </c>
      <c r="F7" s="82" t="s">
        <v>2</v>
      </c>
      <c r="G7" s="82" t="s">
        <v>144</v>
      </c>
    </row>
    <row r="8" spans="1:7" ht="27" hidden="1" customHeight="1" x14ac:dyDescent="0.25">
      <c r="A8" s="61" t="s">
        <v>139</v>
      </c>
      <c r="B8" s="75"/>
      <c r="C8" s="85">
        <v>20</v>
      </c>
      <c r="D8" s="74" t="s">
        <v>106</v>
      </c>
      <c r="E8" s="85" t="s">
        <v>697</v>
      </c>
      <c r="F8" s="85" t="s">
        <v>697</v>
      </c>
      <c r="G8" s="82" t="s">
        <v>145</v>
      </c>
    </row>
    <row r="9" spans="1:7" ht="27" hidden="1" customHeight="1" x14ac:dyDescent="0.25">
      <c r="A9" s="61" t="s">
        <v>348</v>
      </c>
      <c r="B9" s="75"/>
      <c r="C9" s="74"/>
      <c r="D9" s="74"/>
      <c r="E9" s="74"/>
      <c r="F9" s="74"/>
      <c r="G9" s="74"/>
    </row>
    <row r="10" spans="1:7" ht="35.15" hidden="1" customHeight="1" x14ac:dyDescent="0.25">
      <c r="A10" s="38" t="s">
        <v>704</v>
      </c>
      <c r="B10" s="43"/>
      <c r="C10" s="77" t="s">
        <v>749</v>
      </c>
      <c r="D10" s="79" t="s">
        <v>980</v>
      </c>
      <c r="E10" s="77" t="s">
        <v>750</v>
      </c>
      <c r="F10" s="77" t="s">
        <v>751</v>
      </c>
      <c r="G10" s="78" t="s">
        <v>752</v>
      </c>
    </row>
    <row r="11" spans="1:7" ht="14" x14ac:dyDescent="0.25">
      <c r="A11" s="54"/>
      <c r="B11" s="54"/>
      <c r="C11" s="34">
        <f>Cover!$C$2</f>
        <v>0</v>
      </c>
      <c r="D11" s="21"/>
      <c r="E11" s="53"/>
      <c r="F11" s="53"/>
      <c r="G11" s="53"/>
    </row>
    <row r="12" spans="1:7" ht="26" x14ac:dyDescent="0.3">
      <c r="A12" s="6" t="s">
        <v>135</v>
      </c>
      <c r="B12" s="6"/>
      <c r="C12" s="186" t="s">
        <v>282</v>
      </c>
      <c r="D12" s="258" t="s">
        <v>8</v>
      </c>
      <c r="E12" s="262" t="s">
        <v>62</v>
      </c>
      <c r="F12" s="262" t="s">
        <v>63</v>
      </c>
      <c r="G12" s="262" t="s">
        <v>64</v>
      </c>
    </row>
    <row r="13" spans="1:7" ht="12.75" customHeight="1" x14ac:dyDescent="0.3">
      <c r="A13" s="178" t="s">
        <v>136</v>
      </c>
      <c r="B13" s="178"/>
      <c r="C13" s="257"/>
      <c r="D13" s="256" t="str">
        <f>IFERROR(IF(ISBLANK(C13),"",VLOOKUP(C13,'Awards &gt; 50000'!$H$13:$I$200,2,FALSE)),"Not Found")</f>
        <v/>
      </c>
      <c r="E13" s="236"/>
      <c r="F13" s="236"/>
      <c r="G13" s="206"/>
    </row>
    <row r="14" spans="1:7" ht="12.75" customHeight="1" x14ac:dyDescent="0.3">
      <c r="A14" s="239"/>
      <c r="B14" s="239"/>
      <c r="C14" s="257"/>
      <c r="D14" s="256" t="str">
        <f>IFERROR(IF(ISBLANK(C14),"",VLOOKUP(C14,'Awards &gt; 50000'!$H$13:$I$200,2,FALSE)),"Not Found")</f>
        <v/>
      </c>
      <c r="E14" s="236"/>
      <c r="F14" s="236"/>
      <c r="G14" s="206"/>
    </row>
    <row r="15" spans="1:7" ht="12.75" customHeight="1" x14ac:dyDescent="0.3">
      <c r="A15" s="239"/>
      <c r="B15" s="239"/>
      <c r="C15" s="257"/>
      <c r="D15" s="256" t="str">
        <f>IFERROR(IF(ISBLANK(C15),"",VLOOKUP(C15,'Awards &gt; 50000'!$H$13:$I$200,2,FALSE)),"Not Found")</f>
        <v/>
      </c>
      <c r="E15" s="236"/>
      <c r="F15" s="236"/>
      <c r="G15" s="206"/>
    </row>
    <row r="16" spans="1:7" ht="12.75" customHeight="1" x14ac:dyDescent="0.3">
      <c r="A16" s="239"/>
      <c r="B16" s="239"/>
      <c r="C16" s="257"/>
      <c r="D16" s="256" t="str">
        <f>IFERROR(IF(ISBLANK(C16),"",VLOOKUP(C16,'Awards &gt; 50000'!$H$13:$I$200,2,FALSE)),"Not Found")</f>
        <v/>
      </c>
      <c r="E16" s="236"/>
      <c r="F16" s="236"/>
      <c r="G16" s="206"/>
    </row>
    <row r="17" spans="1:7" ht="12.75" customHeight="1" x14ac:dyDescent="0.3">
      <c r="A17" s="239"/>
      <c r="B17" s="239"/>
      <c r="C17" s="257"/>
      <c r="D17" s="256" t="str">
        <f>IFERROR(IF(ISBLANK(C17),"",VLOOKUP(C17,'Awards &gt; 50000'!$H$13:$I$200,2,FALSE)),"Not Found")</f>
        <v/>
      </c>
      <c r="E17" s="236"/>
      <c r="F17" s="236"/>
      <c r="G17" s="206"/>
    </row>
    <row r="18" spans="1:7" ht="12.75" customHeight="1" x14ac:dyDescent="0.3">
      <c r="A18" s="239"/>
      <c r="B18" s="239"/>
      <c r="C18" s="257"/>
      <c r="D18" s="256" t="str">
        <f>IFERROR(IF(ISBLANK(C18),"",VLOOKUP(C18,'Awards &gt; 50000'!$H$13:$I$200,2,FALSE)),"Not Found")</f>
        <v/>
      </c>
      <c r="E18" s="236"/>
      <c r="F18" s="236"/>
      <c r="G18" s="206"/>
    </row>
    <row r="19" spans="1:7" ht="12.75" customHeight="1" x14ac:dyDescent="0.3">
      <c r="A19" s="239"/>
      <c r="B19" s="239"/>
      <c r="C19" s="257"/>
      <c r="D19" s="256" t="str">
        <f>IFERROR(IF(ISBLANK(C19),"",VLOOKUP(C19,'Awards &gt; 50000'!$H$13:$I$200,2,FALSE)),"Not Found")</f>
        <v/>
      </c>
      <c r="E19" s="236"/>
      <c r="F19" s="236"/>
      <c r="G19" s="206"/>
    </row>
    <row r="20" spans="1:7" ht="12.75" customHeight="1" x14ac:dyDescent="0.3">
      <c r="A20" s="239"/>
      <c r="B20" s="239"/>
      <c r="C20" s="237"/>
      <c r="D20" s="256" t="str">
        <f>IFERROR(IF(ISBLANK(C20),"",VLOOKUP(C20,'Awards &gt; 50000'!$H$13:$I$200,2,FALSE)),"Not Found")</f>
        <v/>
      </c>
      <c r="E20" s="236"/>
      <c r="F20" s="236"/>
      <c r="G20" s="206"/>
    </row>
    <row r="21" spans="1:7" ht="12.75" customHeight="1" x14ac:dyDescent="0.3">
      <c r="A21" s="239"/>
      <c r="B21" s="239"/>
      <c r="C21" s="237"/>
      <c r="D21" s="256" t="str">
        <f>IFERROR(IF(ISBLANK(C21),"",VLOOKUP(C21,'Awards &gt; 50000'!$H$13:$I$200,2,FALSE)),"Not Found")</f>
        <v/>
      </c>
      <c r="E21" s="236"/>
      <c r="F21" s="236"/>
      <c r="G21" s="206"/>
    </row>
    <row r="22" spans="1:7" ht="12.75" customHeight="1" x14ac:dyDescent="0.3">
      <c r="A22" s="239"/>
      <c r="B22" s="239"/>
      <c r="C22" s="237"/>
      <c r="D22" s="256" t="str">
        <f>IFERROR(IF(ISBLANK(C22),"",VLOOKUP(C22,'Awards &gt; 50000'!$H$13:$I$200,2,FALSE)),"Not Found")</f>
        <v/>
      </c>
      <c r="E22" s="236"/>
      <c r="F22" s="236"/>
      <c r="G22" s="206"/>
    </row>
    <row r="23" spans="1:7" ht="12.75" customHeight="1" x14ac:dyDescent="0.3">
      <c r="A23" s="239"/>
      <c r="B23" s="239"/>
      <c r="C23" s="237"/>
      <c r="D23" s="256" t="str">
        <f>IFERROR(IF(ISBLANK(C23),"",VLOOKUP(C23,'Awards &gt; 50000'!$H$13:$I$200,2,FALSE)),"Not Found")</f>
        <v/>
      </c>
      <c r="E23" s="236"/>
      <c r="F23" s="236"/>
      <c r="G23" s="206"/>
    </row>
    <row r="24" spans="1:7" ht="12.75" customHeight="1" x14ac:dyDescent="0.3">
      <c r="A24" s="239"/>
      <c r="B24" s="239"/>
      <c r="C24" s="237"/>
      <c r="D24" s="256" t="str">
        <f>IFERROR(IF(ISBLANK(C24),"",VLOOKUP(C24,'Awards &gt; 50000'!$H$13:$I$200,2,FALSE)),"Not Found")</f>
        <v/>
      </c>
      <c r="E24" s="236"/>
      <c r="F24" s="236"/>
      <c r="G24" s="206"/>
    </row>
    <row r="25" spans="1:7" ht="12.75" customHeight="1" x14ac:dyDescent="0.3">
      <c r="A25" s="239"/>
      <c r="B25" s="239"/>
      <c r="C25" s="237"/>
      <c r="D25" s="256" t="str">
        <f>IFERROR(IF(ISBLANK(C25),"",VLOOKUP(C25,'Awards &gt; 50000'!$H$13:$I$200,2,FALSE)),"Not Found")</f>
        <v/>
      </c>
      <c r="E25" s="236"/>
      <c r="F25" s="236"/>
      <c r="G25" s="206"/>
    </row>
    <row r="26" spans="1:7" ht="12.75" customHeight="1" x14ac:dyDescent="0.3">
      <c r="A26" s="239"/>
      <c r="B26" s="239"/>
      <c r="C26" s="237"/>
      <c r="D26" s="256" t="str">
        <f>IFERROR(IF(ISBLANK(C26),"",VLOOKUP(C26,'Awards &gt; 50000'!$H$13:$I$200,2,FALSE)),"Not Found")</f>
        <v/>
      </c>
      <c r="E26" s="236"/>
      <c r="F26" s="236"/>
      <c r="G26" s="206"/>
    </row>
    <row r="27" spans="1:7" ht="12.75" customHeight="1" x14ac:dyDescent="0.3">
      <c r="A27" s="239"/>
      <c r="B27" s="239"/>
      <c r="C27" s="237"/>
      <c r="D27" s="256" t="str">
        <f>IFERROR(IF(ISBLANK(C27),"",VLOOKUP(C27,'Awards &gt; 50000'!$H$13:$I$200,2,FALSE)),"Not Found")</f>
        <v/>
      </c>
      <c r="E27" s="236"/>
      <c r="F27" s="236"/>
      <c r="G27" s="206"/>
    </row>
    <row r="28" spans="1:7" ht="12.75" customHeight="1" x14ac:dyDescent="0.3">
      <c r="A28" s="239"/>
      <c r="B28" s="239"/>
      <c r="C28" s="237"/>
      <c r="D28" s="256" t="str">
        <f>IFERROR(IF(ISBLANK(C28),"",VLOOKUP(C28,'Awards &gt; 50000'!$H$13:$I$200,2,FALSE)),"Not Found")</f>
        <v/>
      </c>
      <c r="E28" s="236"/>
      <c r="F28" s="236"/>
      <c r="G28" s="206"/>
    </row>
    <row r="29" spans="1:7" ht="12.75" customHeight="1" x14ac:dyDescent="0.3">
      <c r="A29" s="239"/>
      <c r="B29" s="239"/>
      <c r="C29" s="237"/>
      <c r="D29" s="256" t="str">
        <f>IFERROR(IF(ISBLANK(C29),"",VLOOKUP(C29,'Awards &gt; 50000'!$H$13:$I$200,2,FALSE)),"Not Found")</f>
        <v/>
      </c>
      <c r="E29" s="236"/>
      <c r="F29" s="236"/>
      <c r="G29" s="206"/>
    </row>
    <row r="30" spans="1:7" ht="12.75" customHeight="1" x14ac:dyDescent="0.3">
      <c r="A30" s="239"/>
      <c r="B30" s="239"/>
      <c r="C30" s="237"/>
      <c r="D30" s="256" t="str">
        <f>IFERROR(IF(ISBLANK(C30),"",VLOOKUP(C30,'Awards &gt; 50000'!$H$13:$I$200,2,FALSE)),"Not Found")</f>
        <v/>
      </c>
      <c r="E30" s="236"/>
      <c r="F30" s="236"/>
      <c r="G30" s="206"/>
    </row>
    <row r="31" spans="1:7" ht="12.75" customHeight="1" x14ac:dyDescent="0.3">
      <c r="A31" s="239"/>
      <c r="B31" s="239"/>
      <c r="C31" s="237"/>
      <c r="D31" s="256" t="str">
        <f>IFERROR(IF(ISBLANK(C31),"",VLOOKUP(C31,'Awards &gt; 50000'!$H$13:$I$200,2,FALSE)),"Not Found")</f>
        <v/>
      </c>
      <c r="E31" s="236"/>
      <c r="F31" s="236"/>
      <c r="G31" s="206"/>
    </row>
    <row r="32" spans="1:7" ht="12.75" customHeight="1" x14ac:dyDescent="0.3">
      <c r="A32" s="239"/>
      <c r="B32" s="239"/>
      <c r="C32" s="237"/>
      <c r="D32" s="256" t="str">
        <f>IFERROR(IF(ISBLANK(C32),"",VLOOKUP(C32,'Awards &gt; 50000'!$H$13:$I$200,2,FALSE)),"Not Found")</f>
        <v/>
      </c>
      <c r="E32" s="236"/>
      <c r="F32" s="236"/>
      <c r="G32" s="206"/>
    </row>
    <row r="33" spans="1:7" ht="12.75" customHeight="1" x14ac:dyDescent="0.3">
      <c r="A33" s="239"/>
      <c r="B33" s="239"/>
      <c r="C33" s="237"/>
      <c r="D33" s="256" t="str">
        <f>IFERROR(IF(ISBLANK(C33),"",VLOOKUP(C33,'Awards &gt; 50000'!$H$13:$I$200,2,FALSE)),"Not Found")</f>
        <v/>
      </c>
      <c r="E33" s="236"/>
      <c r="F33" s="236"/>
      <c r="G33" s="206"/>
    </row>
    <row r="34" spans="1:7" ht="12.75" customHeight="1" x14ac:dyDescent="0.3">
      <c r="A34" s="239"/>
      <c r="B34" s="239"/>
      <c r="C34" s="237"/>
      <c r="D34" s="256" t="str">
        <f>IFERROR(IF(ISBLANK(C34),"",VLOOKUP(C34,'Awards &gt; 50000'!$H$13:$I$200,2,FALSE)),"Not Found")</f>
        <v/>
      </c>
      <c r="E34" s="236"/>
      <c r="F34" s="236"/>
      <c r="G34" s="206"/>
    </row>
    <row r="35" spans="1:7" ht="12.75" customHeight="1" x14ac:dyDescent="0.3">
      <c r="A35" s="239"/>
      <c r="B35" s="239"/>
      <c r="C35" s="237"/>
      <c r="D35" s="256" t="str">
        <f>IFERROR(IF(ISBLANK(C35),"",VLOOKUP(C35,'Awards &gt; 50000'!$H$13:$I$200,2,FALSE)),"Not Found")</f>
        <v/>
      </c>
      <c r="E35" s="236"/>
      <c r="F35" s="236"/>
      <c r="G35" s="206"/>
    </row>
    <row r="36" spans="1:7" ht="12.75" customHeight="1" x14ac:dyDescent="0.3">
      <c r="A36" s="239"/>
      <c r="B36" s="239"/>
      <c r="C36" s="237"/>
      <c r="D36" s="256" t="str">
        <f>IFERROR(IF(ISBLANK(C36),"",VLOOKUP(C36,'Awards &gt; 50000'!$H$13:$I$200,2,FALSE)),"Not Found")</f>
        <v/>
      </c>
      <c r="E36" s="236"/>
      <c r="F36" s="236"/>
      <c r="G36" s="206"/>
    </row>
    <row r="37" spans="1:7" ht="12.75" customHeight="1" x14ac:dyDescent="0.3">
      <c r="A37" s="239"/>
      <c r="B37" s="239"/>
      <c r="C37" s="237"/>
      <c r="D37" s="256" t="str">
        <f>IFERROR(IF(ISBLANK(C37),"",VLOOKUP(C37,'Awards &gt; 50000'!$H$13:$I$200,2,FALSE)),"Not Found")</f>
        <v/>
      </c>
      <c r="E37" s="236"/>
      <c r="F37" s="236"/>
      <c r="G37" s="206"/>
    </row>
    <row r="38" spans="1:7" ht="12.75" customHeight="1" x14ac:dyDescent="0.3">
      <c r="A38" s="239"/>
      <c r="B38" s="239"/>
      <c r="C38" s="237"/>
      <c r="D38" s="256" t="str">
        <f>IFERROR(IF(ISBLANK(C38),"",VLOOKUP(C38,'Awards &gt; 50000'!$H$13:$I$200,2,FALSE)),"Not Found")</f>
        <v/>
      </c>
      <c r="E38" s="236"/>
      <c r="F38" s="236"/>
      <c r="G38" s="206"/>
    </row>
    <row r="39" spans="1:7" ht="12.75" customHeight="1" x14ac:dyDescent="0.3">
      <c r="A39" s="239"/>
      <c r="B39" s="239"/>
      <c r="C39" s="237"/>
      <c r="D39" s="256" t="str">
        <f>IFERROR(IF(ISBLANK(C39),"",VLOOKUP(C39,'Awards &gt; 50000'!$H$13:$I$200,2,FALSE)),"Not Found")</f>
        <v/>
      </c>
      <c r="E39" s="236"/>
      <c r="F39" s="236"/>
      <c r="G39" s="206"/>
    </row>
    <row r="40" spans="1:7" ht="12.75" customHeight="1" x14ac:dyDescent="0.3">
      <c r="A40" s="239"/>
      <c r="B40" s="239"/>
      <c r="C40" s="237"/>
      <c r="D40" s="256" t="str">
        <f>IFERROR(IF(ISBLANK(C40),"",VLOOKUP(C40,'Awards &gt; 50000'!$H$13:$I$200,2,FALSE)),"Not Found")</f>
        <v/>
      </c>
      <c r="E40" s="236"/>
      <c r="F40" s="236"/>
      <c r="G40" s="206"/>
    </row>
    <row r="41" spans="1:7" ht="12.75" customHeight="1" x14ac:dyDescent="0.3">
      <c r="A41" s="239"/>
      <c r="B41" s="239"/>
      <c r="C41" s="237"/>
      <c r="D41" s="256" t="str">
        <f>IFERROR(IF(ISBLANK(C41),"",VLOOKUP(C41,'Awards &gt; 50000'!$H$13:$I$200,2,FALSE)),"Not Found")</f>
        <v/>
      </c>
      <c r="E41" s="236"/>
      <c r="F41" s="236"/>
      <c r="G41" s="206"/>
    </row>
    <row r="42" spans="1:7" ht="12.75" customHeight="1" x14ac:dyDescent="0.3">
      <c r="A42" s="239"/>
      <c r="B42" s="239"/>
      <c r="C42" s="237"/>
      <c r="D42" s="256" t="str">
        <f>IFERROR(IF(ISBLANK(C42),"",VLOOKUP(C42,'Awards &gt; 50000'!$H$13:$I$200,2,FALSE)),"Not Found")</f>
        <v/>
      </c>
      <c r="E42" s="236"/>
      <c r="F42" s="236"/>
      <c r="G42" s="206"/>
    </row>
    <row r="43" spans="1:7" ht="12.75" customHeight="1" x14ac:dyDescent="0.3">
      <c r="A43" s="239"/>
      <c r="B43" s="239"/>
      <c r="C43" s="237"/>
      <c r="D43" s="256" t="str">
        <f>IFERROR(IF(ISBLANK(C43),"",VLOOKUP(C43,'Awards &gt; 50000'!$H$13:$I$200,2,FALSE)),"Not Found")</f>
        <v/>
      </c>
      <c r="E43" s="236"/>
      <c r="F43" s="236"/>
      <c r="G43" s="206"/>
    </row>
    <row r="44" spans="1:7" ht="12.75" customHeight="1" x14ac:dyDescent="0.3">
      <c r="A44" s="239"/>
      <c r="B44" s="239"/>
      <c r="C44" s="237"/>
      <c r="D44" s="256" t="str">
        <f>IFERROR(IF(ISBLANK(C44),"",VLOOKUP(C44,'Awards &gt; 50000'!$H$13:$I$200,2,FALSE)),"Not Found")</f>
        <v/>
      </c>
      <c r="E44" s="236"/>
      <c r="F44" s="236"/>
      <c r="G44" s="206"/>
    </row>
    <row r="45" spans="1:7" ht="12.75" customHeight="1" x14ac:dyDescent="0.3">
      <c r="A45" s="239"/>
      <c r="B45" s="239"/>
      <c r="C45" s="237"/>
      <c r="D45" s="256" t="str">
        <f>IFERROR(IF(ISBLANK(C45),"",VLOOKUP(C45,'Awards &gt; 50000'!$H$13:$I$200,2,FALSE)),"Not Found")</f>
        <v/>
      </c>
      <c r="E45" s="236"/>
      <c r="F45" s="236"/>
      <c r="G45" s="206"/>
    </row>
    <row r="46" spans="1:7" ht="12.75" customHeight="1" x14ac:dyDescent="0.3">
      <c r="A46" s="239"/>
      <c r="B46" s="239"/>
      <c r="C46" s="237"/>
      <c r="D46" s="256" t="str">
        <f>IFERROR(IF(ISBLANK(C46),"",VLOOKUP(C46,'Awards &gt; 50000'!$H$13:$I$200,2,FALSE)),"Not Found")</f>
        <v/>
      </c>
      <c r="E46" s="236"/>
      <c r="F46" s="236"/>
      <c r="G46" s="206"/>
    </row>
    <row r="47" spans="1:7" ht="12.75" customHeight="1" x14ac:dyDescent="0.3">
      <c r="A47" s="239"/>
      <c r="B47" s="239"/>
      <c r="C47" s="237"/>
      <c r="D47" s="256" t="str">
        <f>IFERROR(IF(ISBLANK(C47),"",VLOOKUP(C47,'Awards &gt; 50000'!$H$13:$I$200,2,FALSE)),"Not Found")</f>
        <v/>
      </c>
      <c r="E47" s="236"/>
      <c r="F47" s="236"/>
      <c r="G47" s="206"/>
    </row>
    <row r="48" spans="1:7" ht="12.75" customHeight="1" x14ac:dyDescent="0.3">
      <c r="A48" s="239"/>
      <c r="B48" s="239"/>
      <c r="C48" s="237"/>
      <c r="D48" s="256" t="str">
        <f>IFERROR(IF(ISBLANK(C48),"",VLOOKUP(C48,'Awards &gt; 50000'!$H$13:$I$200,2,FALSE)),"Not Found")</f>
        <v/>
      </c>
      <c r="E48" s="236"/>
      <c r="F48" s="236"/>
      <c r="G48" s="206"/>
    </row>
    <row r="49" spans="1:7" ht="12.75" customHeight="1" x14ac:dyDescent="0.3">
      <c r="A49" s="239"/>
      <c r="B49" s="239"/>
      <c r="C49" s="237"/>
      <c r="D49" s="256" t="str">
        <f>IFERROR(IF(ISBLANK(C49),"",VLOOKUP(C49,'Awards &gt; 50000'!$H$13:$I$200,2,FALSE)),"Not Found")</f>
        <v/>
      </c>
      <c r="E49" s="236"/>
      <c r="F49" s="236"/>
      <c r="G49" s="206"/>
    </row>
    <row r="50" spans="1:7" ht="12.75" customHeight="1" x14ac:dyDescent="0.3">
      <c r="A50" s="239"/>
      <c r="B50" s="239"/>
      <c r="C50" s="237"/>
      <c r="D50" s="256" t="str">
        <f>IFERROR(IF(ISBLANK(C50),"",VLOOKUP(C50,'Awards &gt; 50000'!$H$13:$I$200,2,FALSE)),"Not Found")</f>
        <v/>
      </c>
      <c r="E50" s="236"/>
      <c r="F50" s="236"/>
      <c r="G50" s="206"/>
    </row>
    <row r="51" spans="1:7" ht="12.75" customHeight="1" x14ac:dyDescent="0.3">
      <c r="A51" s="239"/>
      <c r="B51" s="239"/>
      <c r="C51" s="237"/>
      <c r="D51" s="256" t="str">
        <f>IFERROR(IF(ISBLANK(C51),"",VLOOKUP(C51,'Awards &gt; 50000'!$H$13:$I$200,2,FALSE)),"Not Found")</f>
        <v/>
      </c>
      <c r="E51" s="236"/>
      <c r="F51" s="236"/>
      <c r="G51" s="206"/>
    </row>
    <row r="52" spans="1:7" ht="12.75" customHeight="1" x14ac:dyDescent="0.3">
      <c r="A52" s="239"/>
      <c r="B52" s="239"/>
      <c r="C52" s="237"/>
      <c r="D52" s="256" t="str">
        <f>IFERROR(IF(ISBLANK(C52),"",VLOOKUP(C52,'Awards &gt; 50000'!$H$13:$I$200,2,FALSE)),"Not Found")</f>
        <v/>
      </c>
      <c r="E52" s="236"/>
      <c r="F52" s="236"/>
      <c r="G52" s="206"/>
    </row>
    <row r="53" spans="1:7" ht="12.75" customHeight="1" x14ac:dyDescent="0.3">
      <c r="A53" s="239"/>
      <c r="B53" s="239"/>
      <c r="C53" s="237"/>
      <c r="D53" s="256" t="str">
        <f>IFERROR(IF(ISBLANK(C53),"",VLOOKUP(C53,'Awards &gt; 50000'!$H$13:$I$200,2,FALSE)),"Not Found")</f>
        <v/>
      </c>
      <c r="E53" s="236"/>
      <c r="F53" s="236"/>
      <c r="G53" s="206"/>
    </row>
    <row r="54" spans="1:7" ht="12.75" customHeight="1" x14ac:dyDescent="0.3">
      <c r="A54" s="239"/>
      <c r="B54" s="239"/>
      <c r="C54" s="237"/>
      <c r="D54" s="256" t="str">
        <f>IFERROR(IF(ISBLANK(C54),"",VLOOKUP(C54,'Awards &gt; 50000'!$H$13:$I$200,2,FALSE)),"Not Found")</f>
        <v/>
      </c>
      <c r="E54" s="236"/>
      <c r="F54" s="236"/>
      <c r="G54" s="206"/>
    </row>
    <row r="55" spans="1:7" ht="12.75" customHeight="1" x14ac:dyDescent="0.3">
      <c r="A55" s="239"/>
      <c r="B55" s="239"/>
      <c r="C55" s="237"/>
      <c r="D55" s="256" t="str">
        <f>IFERROR(IF(ISBLANK(C55),"",VLOOKUP(C55,'Awards &gt; 50000'!$H$13:$I$200,2,FALSE)),"Not Found")</f>
        <v/>
      </c>
      <c r="E55" s="236"/>
      <c r="F55" s="236"/>
      <c r="G55" s="206"/>
    </row>
    <row r="56" spans="1:7" ht="12.75" customHeight="1" x14ac:dyDescent="0.3">
      <c r="A56" s="239"/>
      <c r="B56" s="239"/>
      <c r="C56" s="237"/>
      <c r="D56" s="256" t="str">
        <f>IFERROR(IF(ISBLANK(C56),"",VLOOKUP(C56,'Awards &gt; 50000'!$H$13:$I$200,2,FALSE)),"Not Found")</f>
        <v/>
      </c>
      <c r="E56" s="236"/>
      <c r="F56" s="236"/>
      <c r="G56" s="206"/>
    </row>
    <row r="57" spans="1:7" ht="12.75" customHeight="1" x14ac:dyDescent="0.3">
      <c r="A57" s="239"/>
      <c r="B57" s="239"/>
      <c r="C57" s="237"/>
      <c r="D57" s="256" t="str">
        <f>IFERROR(IF(ISBLANK(C57),"",VLOOKUP(C57,'Awards &gt; 50000'!$H$13:$I$200,2,FALSE)),"Not Found")</f>
        <v/>
      </c>
      <c r="E57" s="236"/>
      <c r="F57" s="236"/>
      <c r="G57" s="206"/>
    </row>
    <row r="58" spans="1:7" ht="12.75" customHeight="1" x14ac:dyDescent="0.3">
      <c r="A58" s="239"/>
      <c r="B58" s="239"/>
      <c r="C58" s="237"/>
      <c r="D58" s="256" t="str">
        <f>IFERROR(IF(ISBLANK(C58),"",VLOOKUP(C58,'Awards &gt; 50000'!$H$13:$I$200,2,FALSE)),"Not Found")</f>
        <v/>
      </c>
      <c r="E58" s="236"/>
      <c r="F58" s="236"/>
      <c r="G58" s="206"/>
    </row>
    <row r="59" spans="1:7" ht="12.75" customHeight="1" x14ac:dyDescent="0.3">
      <c r="A59" s="239"/>
      <c r="B59" s="239"/>
      <c r="C59" s="237"/>
      <c r="D59" s="256" t="str">
        <f>IFERROR(IF(ISBLANK(C59),"",VLOOKUP(C59,'Awards &gt; 50000'!$H$13:$I$200,2,FALSE)),"Not Found")</f>
        <v/>
      </c>
      <c r="E59" s="236"/>
      <c r="F59" s="236"/>
      <c r="G59" s="206"/>
    </row>
    <row r="60" spans="1:7" ht="12.75" customHeight="1" x14ac:dyDescent="0.3">
      <c r="A60" s="239"/>
      <c r="B60" s="239"/>
      <c r="C60" s="237"/>
      <c r="D60" s="256" t="str">
        <f>IFERROR(IF(ISBLANK(C60),"",VLOOKUP(C60,'Awards &gt; 50000'!$H$13:$I$200,2,FALSE)),"Not Found")</f>
        <v/>
      </c>
      <c r="E60" s="236"/>
      <c r="F60" s="236"/>
      <c r="G60" s="206"/>
    </row>
    <row r="61" spans="1:7" ht="12.75" customHeight="1" x14ac:dyDescent="0.3">
      <c r="A61" s="239"/>
      <c r="B61" s="239"/>
      <c r="C61" s="237"/>
      <c r="D61" s="256" t="str">
        <f>IFERROR(IF(ISBLANK(C61),"",VLOOKUP(C61,'Awards &gt; 50000'!$H$13:$I$200,2,FALSE)),"Not Found")</f>
        <v/>
      </c>
      <c r="E61" s="236"/>
      <c r="F61" s="236"/>
      <c r="G61" s="206"/>
    </row>
    <row r="62" spans="1:7" ht="12.75" customHeight="1" x14ac:dyDescent="0.3">
      <c r="A62" s="239"/>
      <c r="B62" s="239"/>
      <c r="C62" s="237"/>
      <c r="D62" s="256" t="str">
        <f>IFERROR(IF(ISBLANK(C62),"",VLOOKUP(C62,'Awards &gt; 50000'!$H$13:$I$200,2,FALSE)),"Not Found")</f>
        <v/>
      </c>
      <c r="E62" s="236"/>
      <c r="F62" s="236"/>
      <c r="G62" s="206"/>
    </row>
    <row r="63" spans="1:7" ht="12.75" customHeight="1" x14ac:dyDescent="0.3">
      <c r="A63" s="239"/>
      <c r="B63" s="239"/>
      <c r="C63" s="237"/>
      <c r="D63" s="256" t="str">
        <f>IFERROR(IF(ISBLANK(C63),"",VLOOKUP(C63,'Awards &gt; 50000'!$H$13:$I$200,2,FALSE)),"Not Found")</f>
        <v/>
      </c>
      <c r="E63" s="236"/>
      <c r="F63" s="236"/>
      <c r="G63" s="206"/>
    </row>
    <row r="64" spans="1:7" ht="12.75" customHeight="1" x14ac:dyDescent="0.3">
      <c r="A64" s="239"/>
      <c r="B64" s="239"/>
      <c r="C64" s="237"/>
      <c r="D64" s="256" t="str">
        <f>IFERROR(IF(ISBLANK(C64),"",VLOOKUP(C64,'Awards &gt; 50000'!$H$13:$I$200,2,FALSE)),"Not Found")</f>
        <v/>
      </c>
      <c r="E64" s="236"/>
      <c r="F64" s="236"/>
      <c r="G64" s="206"/>
    </row>
    <row r="65" spans="1:7" ht="12.75" customHeight="1" x14ac:dyDescent="0.3">
      <c r="A65" s="239"/>
      <c r="B65" s="239"/>
      <c r="C65" s="237"/>
      <c r="D65" s="256" t="str">
        <f>IFERROR(IF(ISBLANK(C65),"",VLOOKUP(C65,'Awards &gt; 50000'!$H$13:$I$200,2,FALSE)),"Not Found")</f>
        <v/>
      </c>
      <c r="E65" s="236"/>
      <c r="F65" s="236"/>
      <c r="G65" s="206"/>
    </row>
    <row r="66" spans="1:7" ht="12.75" customHeight="1" x14ac:dyDescent="0.3">
      <c r="A66" s="239"/>
      <c r="B66" s="239"/>
      <c r="C66" s="237"/>
      <c r="D66" s="256" t="str">
        <f>IFERROR(IF(ISBLANK(C66),"",VLOOKUP(C66,'Awards &gt; 50000'!$H$13:$I$200,2,FALSE)),"Not Found")</f>
        <v/>
      </c>
      <c r="E66" s="236"/>
      <c r="F66" s="236"/>
      <c r="G66" s="206"/>
    </row>
    <row r="67" spans="1:7" ht="12.75" customHeight="1" x14ac:dyDescent="0.3">
      <c r="A67" s="239"/>
      <c r="B67" s="239"/>
      <c r="C67" s="237"/>
      <c r="D67" s="256" t="str">
        <f>IFERROR(IF(ISBLANK(C67),"",VLOOKUP(C67,'Awards &gt; 50000'!$H$13:$I$200,2,FALSE)),"Not Found")</f>
        <v/>
      </c>
      <c r="E67" s="236"/>
      <c r="F67" s="236"/>
      <c r="G67" s="206"/>
    </row>
    <row r="68" spans="1:7" ht="12.75" customHeight="1" x14ac:dyDescent="0.3">
      <c r="A68" s="239"/>
      <c r="B68" s="239"/>
      <c r="C68" s="237"/>
      <c r="D68" s="256" t="str">
        <f>IFERROR(IF(ISBLANK(C68),"",VLOOKUP(C68,'Awards &gt; 50000'!$H$13:$I$200,2,FALSE)),"Not Found")</f>
        <v/>
      </c>
      <c r="E68" s="236"/>
      <c r="F68" s="236"/>
      <c r="G68" s="206"/>
    </row>
    <row r="69" spans="1:7" ht="12.75" customHeight="1" x14ac:dyDescent="0.3">
      <c r="A69" s="239"/>
      <c r="B69" s="239"/>
      <c r="C69" s="237"/>
      <c r="D69" s="256" t="str">
        <f>IFERROR(IF(ISBLANK(C69),"",VLOOKUP(C69,'Awards &gt; 50000'!$H$13:$I$200,2,FALSE)),"Not Found")</f>
        <v/>
      </c>
      <c r="E69" s="236"/>
      <c r="F69" s="236"/>
      <c r="G69" s="206"/>
    </row>
    <row r="70" spans="1:7" ht="12.75" customHeight="1" x14ac:dyDescent="0.3">
      <c r="A70" s="239"/>
      <c r="B70" s="239"/>
      <c r="C70" s="237"/>
      <c r="D70" s="256" t="str">
        <f>IFERROR(IF(ISBLANK(C70),"",VLOOKUP(C70,'Awards &gt; 50000'!$H$13:$I$200,2,FALSE)),"Not Found")</f>
        <v/>
      </c>
      <c r="E70" s="236"/>
      <c r="F70" s="236"/>
      <c r="G70" s="206"/>
    </row>
    <row r="71" spans="1:7" ht="12.75" customHeight="1" x14ac:dyDescent="0.3">
      <c r="A71" s="239"/>
      <c r="B71" s="239"/>
      <c r="C71" s="237"/>
      <c r="D71" s="256" t="str">
        <f>IFERROR(IF(ISBLANK(C71),"",VLOOKUP(C71,'Awards &gt; 50000'!$H$13:$I$200,2,FALSE)),"Not Found")</f>
        <v/>
      </c>
      <c r="E71" s="236"/>
      <c r="F71" s="236"/>
      <c r="G71" s="206"/>
    </row>
    <row r="72" spans="1:7" ht="12.75" customHeight="1" x14ac:dyDescent="0.3">
      <c r="A72" s="239"/>
      <c r="B72" s="239"/>
      <c r="C72" s="237"/>
      <c r="D72" s="256" t="str">
        <f>IFERROR(IF(ISBLANK(C72),"",VLOOKUP(C72,'Awards &gt; 50000'!$H$13:$I$200,2,FALSE)),"Not Found")</f>
        <v/>
      </c>
      <c r="E72" s="236"/>
      <c r="F72" s="236"/>
      <c r="G72" s="206"/>
    </row>
    <row r="73" spans="1:7" ht="12.75" customHeight="1" x14ac:dyDescent="0.3">
      <c r="A73" s="239"/>
      <c r="B73" s="239"/>
      <c r="C73" s="237"/>
      <c r="D73" s="256" t="str">
        <f>IFERROR(IF(ISBLANK(C73),"",VLOOKUP(C73,'Awards &gt; 50000'!$H$13:$I$200,2,FALSE)),"Not Found")</f>
        <v/>
      </c>
      <c r="E73" s="236"/>
      <c r="F73" s="236"/>
      <c r="G73" s="206"/>
    </row>
    <row r="74" spans="1:7" ht="12.75" customHeight="1" x14ac:dyDescent="0.3">
      <c r="A74" s="239"/>
      <c r="B74" s="239"/>
      <c r="C74" s="237"/>
      <c r="D74" s="256" t="str">
        <f>IFERROR(IF(ISBLANK(C74),"",VLOOKUP(C74,'Awards &gt; 50000'!$H$13:$I$200,2,FALSE)),"Not Found")</f>
        <v/>
      </c>
      <c r="E74" s="236"/>
      <c r="F74" s="236"/>
      <c r="G74" s="206"/>
    </row>
    <row r="75" spans="1:7" ht="12.75" customHeight="1" x14ac:dyDescent="0.3">
      <c r="A75" s="239"/>
      <c r="B75" s="239"/>
      <c r="C75" s="237"/>
      <c r="D75" s="256" t="str">
        <f>IFERROR(IF(ISBLANK(C75),"",VLOOKUP(C75,'Awards &gt; 50000'!$H$13:$I$200,2,FALSE)),"Not Found")</f>
        <v/>
      </c>
      <c r="E75" s="236"/>
      <c r="F75" s="236"/>
      <c r="G75" s="206"/>
    </row>
    <row r="76" spans="1:7" ht="12.75" customHeight="1" x14ac:dyDescent="0.3">
      <c r="A76" s="239"/>
      <c r="B76" s="239"/>
      <c r="C76" s="237"/>
      <c r="D76" s="256" t="str">
        <f>IFERROR(IF(ISBLANK(C76),"",VLOOKUP(C76,'Awards &gt; 50000'!$H$13:$I$200,2,FALSE)),"Not Found")</f>
        <v/>
      </c>
      <c r="E76" s="236"/>
      <c r="F76" s="236"/>
      <c r="G76" s="206"/>
    </row>
    <row r="77" spans="1:7" ht="12.75" customHeight="1" x14ac:dyDescent="0.3">
      <c r="A77" s="239"/>
      <c r="B77" s="239"/>
      <c r="C77" s="237"/>
      <c r="D77" s="256" t="str">
        <f>IFERROR(IF(ISBLANK(C77),"",VLOOKUP(C77,'Awards &gt; 50000'!$H$13:$I$200,2,FALSE)),"Not Found")</f>
        <v/>
      </c>
      <c r="E77" s="236"/>
      <c r="F77" s="236"/>
      <c r="G77" s="206"/>
    </row>
    <row r="78" spans="1:7" ht="12.75" customHeight="1" x14ac:dyDescent="0.3">
      <c r="A78" s="239"/>
      <c r="B78" s="239"/>
      <c r="C78" s="237"/>
      <c r="D78" s="256" t="str">
        <f>IFERROR(IF(ISBLANK(C78),"",VLOOKUP(C78,'Awards &gt; 50000'!$H$13:$I$200,2,FALSE)),"Not Found")</f>
        <v/>
      </c>
      <c r="E78" s="236"/>
      <c r="F78" s="236"/>
      <c r="G78" s="206"/>
    </row>
    <row r="79" spans="1:7" ht="12.75" customHeight="1" x14ac:dyDescent="0.3">
      <c r="A79" s="239"/>
      <c r="B79" s="239"/>
      <c r="C79" s="237"/>
      <c r="D79" s="256" t="str">
        <f>IFERROR(IF(ISBLANK(C79),"",VLOOKUP(C79,'Awards &gt; 50000'!$H$13:$I$200,2,FALSE)),"Not Found")</f>
        <v/>
      </c>
      <c r="E79" s="236"/>
      <c r="F79" s="236"/>
      <c r="G79" s="206"/>
    </row>
    <row r="80" spans="1:7" ht="12.75" customHeight="1" x14ac:dyDescent="0.3">
      <c r="A80" s="239"/>
      <c r="B80" s="239"/>
      <c r="C80" s="237"/>
      <c r="D80" s="256" t="str">
        <f>IFERROR(IF(ISBLANK(C80),"",VLOOKUP(C80,'Awards &gt; 50000'!$H$13:$I$200,2,FALSE)),"Not Found")</f>
        <v/>
      </c>
      <c r="E80" s="236"/>
      <c r="F80" s="236"/>
      <c r="G80" s="206"/>
    </row>
    <row r="81" spans="1:7" ht="12.75" customHeight="1" x14ac:dyDescent="0.3">
      <c r="A81" s="239"/>
      <c r="B81" s="239"/>
      <c r="C81" s="237"/>
      <c r="D81" s="256" t="str">
        <f>IFERROR(IF(ISBLANK(C81),"",VLOOKUP(C81,'Awards &gt; 50000'!$H$13:$I$200,2,FALSE)),"Not Found")</f>
        <v/>
      </c>
      <c r="E81" s="236"/>
      <c r="F81" s="236"/>
      <c r="G81" s="206"/>
    </row>
    <row r="82" spans="1:7" ht="12.75" customHeight="1" x14ac:dyDescent="0.3">
      <c r="A82" s="239"/>
      <c r="B82" s="239"/>
      <c r="C82" s="237"/>
      <c r="D82" s="256" t="str">
        <f>IFERROR(IF(ISBLANK(C82),"",VLOOKUP(C82,'Awards &gt; 50000'!$H$13:$I$200,2,FALSE)),"Not Found")</f>
        <v/>
      </c>
      <c r="E82" s="236"/>
      <c r="F82" s="236"/>
      <c r="G82" s="206"/>
    </row>
    <row r="83" spans="1:7" ht="12.75" customHeight="1" x14ac:dyDescent="0.3">
      <c r="A83" s="239"/>
      <c r="B83" s="239"/>
      <c r="C83" s="237"/>
      <c r="D83" s="256" t="str">
        <f>IFERROR(IF(ISBLANK(C83),"",VLOOKUP(C83,'Awards &gt; 50000'!$H$13:$I$200,2,FALSE)),"Not Found")</f>
        <v/>
      </c>
      <c r="E83" s="236"/>
      <c r="F83" s="236"/>
      <c r="G83" s="206"/>
    </row>
    <row r="84" spans="1:7" ht="12.75" customHeight="1" x14ac:dyDescent="0.3">
      <c r="A84" s="239"/>
      <c r="B84" s="239"/>
      <c r="C84" s="237"/>
      <c r="D84" s="256" t="str">
        <f>IFERROR(IF(ISBLANK(C84),"",VLOOKUP(C84,'Awards &gt; 50000'!$H$13:$I$200,2,FALSE)),"Not Found")</f>
        <v/>
      </c>
      <c r="E84" s="236"/>
      <c r="F84" s="236"/>
      <c r="G84" s="206"/>
    </row>
    <row r="85" spans="1:7" ht="12.75" customHeight="1" x14ac:dyDescent="0.3">
      <c r="A85" s="239"/>
      <c r="B85" s="239"/>
      <c r="C85" s="237"/>
      <c r="D85" s="256" t="str">
        <f>IFERROR(IF(ISBLANK(C85),"",VLOOKUP(C85,'Awards &gt; 50000'!$H$13:$I$200,2,FALSE)),"Not Found")</f>
        <v/>
      </c>
      <c r="E85" s="236"/>
      <c r="F85" s="236"/>
      <c r="G85" s="206"/>
    </row>
    <row r="86" spans="1:7" ht="12.75" customHeight="1" x14ac:dyDescent="0.3">
      <c r="A86" s="239"/>
      <c r="B86" s="239"/>
      <c r="C86" s="237"/>
      <c r="D86" s="256" t="str">
        <f>IFERROR(IF(ISBLANK(C86),"",VLOOKUP(C86,'Awards &gt; 50000'!$H$13:$I$200,2,FALSE)),"Not Found")</f>
        <v/>
      </c>
      <c r="E86" s="236"/>
      <c r="F86" s="236"/>
      <c r="G86" s="206"/>
    </row>
    <row r="87" spans="1:7" ht="12.75" customHeight="1" x14ac:dyDescent="0.3">
      <c r="A87" s="239"/>
      <c r="B87" s="239"/>
      <c r="C87" s="237"/>
      <c r="D87" s="256" t="str">
        <f>IFERROR(IF(ISBLANK(C87),"",VLOOKUP(C87,'Awards &gt; 50000'!$H$13:$I$200,2,FALSE)),"Not Found")</f>
        <v/>
      </c>
      <c r="E87" s="236"/>
      <c r="F87" s="236"/>
      <c r="G87" s="206"/>
    </row>
    <row r="88" spans="1:7" ht="12.75" customHeight="1" x14ac:dyDescent="0.3">
      <c r="A88" s="239"/>
      <c r="B88" s="239"/>
      <c r="C88" s="237"/>
      <c r="D88" s="256" t="str">
        <f>IFERROR(IF(ISBLANK(C88),"",VLOOKUP(C88,'Awards &gt; 50000'!$H$13:$I$200,2,FALSE)),"Not Found")</f>
        <v/>
      </c>
      <c r="E88" s="236"/>
      <c r="F88" s="236"/>
      <c r="G88" s="206"/>
    </row>
    <row r="89" spans="1:7" ht="12.75" customHeight="1" x14ac:dyDescent="0.3">
      <c r="A89" s="239"/>
      <c r="B89" s="239"/>
      <c r="C89" s="237"/>
      <c r="D89" s="256" t="str">
        <f>IFERROR(IF(ISBLANK(C89),"",VLOOKUP(C89,'Awards &gt; 50000'!$H$13:$I$200,2,FALSE)),"Not Found")</f>
        <v/>
      </c>
      <c r="E89" s="236"/>
      <c r="F89" s="236"/>
      <c r="G89" s="206"/>
    </row>
    <row r="90" spans="1:7" ht="12.75" customHeight="1" x14ac:dyDescent="0.3">
      <c r="A90" s="239"/>
      <c r="B90" s="239"/>
      <c r="C90" s="237"/>
      <c r="D90" s="256" t="str">
        <f>IFERROR(IF(ISBLANK(C90),"",VLOOKUP(C90,'Awards &gt; 50000'!$H$13:$I$200,2,FALSE)),"Not Found")</f>
        <v/>
      </c>
      <c r="E90" s="236"/>
      <c r="F90" s="236"/>
      <c r="G90" s="206"/>
    </row>
    <row r="91" spans="1:7" ht="12.75" customHeight="1" x14ac:dyDescent="0.3">
      <c r="A91" s="239"/>
      <c r="B91" s="239"/>
      <c r="C91" s="237"/>
      <c r="D91" s="256" t="str">
        <f>IFERROR(IF(ISBLANK(C91),"",VLOOKUP(C91,'Awards &gt; 50000'!$H$13:$I$200,2,FALSE)),"Not Found")</f>
        <v/>
      </c>
      <c r="E91" s="236"/>
      <c r="F91" s="236"/>
      <c r="G91" s="206"/>
    </row>
    <row r="92" spans="1:7" ht="12.75" customHeight="1" x14ac:dyDescent="0.3">
      <c r="A92" s="239"/>
      <c r="B92" s="239"/>
      <c r="C92" s="237"/>
      <c r="D92" s="256" t="str">
        <f>IFERROR(IF(ISBLANK(C92),"",VLOOKUP(C92,'Awards &gt; 50000'!$H$13:$I$200,2,FALSE)),"Not Found")</f>
        <v/>
      </c>
      <c r="E92" s="236"/>
      <c r="F92" s="236"/>
      <c r="G92" s="206"/>
    </row>
    <row r="93" spans="1:7" ht="12.75" customHeight="1" x14ac:dyDescent="0.3">
      <c r="A93" s="239"/>
      <c r="B93" s="239"/>
      <c r="C93" s="237"/>
      <c r="D93" s="256" t="str">
        <f>IFERROR(IF(ISBLANK(C93),"",VLOOKUP(C93,'Awards &gt; 50000'!$H$13:$I$200,2,FALSE)),"Not Found")</f>
        <v/>
      </c>
      <c r="E93" s="236"/>
      <c r="F93" s="236"/>
      <c r="G93" s="206"/>
    </row>
    <row r="94" spans="1:7" ht="12.75" customHeight="1" x14ac:dyDescent="0.3">
      <c r="A94" s="239"/>
      <c r="B94" s="239"/>
      <c r="C94" s="237"/>
      <c r="D94" s="256" t="str">
        <f>IFERROR(IF(ISBLANK(C94),"",VLOOKUP(C94,'Awards &gt; 50000'!$H$13:$I$200,2,FALSE)),"Not Found")</f>
        <v/>
      </c>
      <c r="E94" s="236"/>
      <c r="F94" s="236"/>
      <c r="G94" s="206"/>
    </row>
    <row r="95" spans="1:7" ht="12.75" customHeight="1" x14ac:dyDescent="0.3">
      <c r="A95" s="239"/>
      <c r="B95" s="239"/>
      <c r="C95" s="237"/>
      <c r="D95" s="256" t="str">
        <f>IFERROR(IF(ISBLANK(C95),"",VLOOKUP(C95,'Awards &gt; 50000'!$H$13:$I$200,2,FALSE)),"Not Found")</f>
        <v/>
      </c>
      <c r="E95" s="236"/>
      <c r="F95" s="236"/>
      <c r="G95" s="206"/>
    </row>
    <row r="96" spans="1:7" ht="12.75" customHeight="1" x14ac:dyDescent="0.3">
      <c r="A96" s="239"/>
      <c r="B96" s="239"/>
      <c r="C96" s="237"/>
      <c r="D96" s="256" t="str">
        <f>IFERROR(IF(ISBLANK(C96),"",VLOOKUP(C96,'Awards &gt; 50000'!$H$13:$I$200,2,FALSE)),"Not Found")</f>
        <v/>
      </c>
      <c r="E96" s="236"/>
      <c r="F96" s="236"/>
      <c r="G96" s="206"/>
    </row>
    <row r="97" spans="1:7" ht="12.75" customHeight="1" x14ac:dyDescent="0.3">
      <c r="A97" s="239"/>
      <c r="B97" s="239"/>
      <c r="C97" s="237"/>
      <c r="D97" s="256" t="str">
        <f>IFERROR(IF(ISBLANK(C97),"",VLOOKUP(C97,'Awards &gt; 50000'!$H$13:$I$200,2,FALSE)),"Not Found")</f>
        <v/>
      </c>
      <c r="E97" s="236"/>
      <c r="F97" s="236"/>
      <c r="G97" s="206"/>
    </row>
    <row r="98" spans="1:7" ht="12.75" customHeight="1" x14ac:dyDescent="0.3">
      <c r="A98" s="239"/>
      <c r="B98" s="239"/>
      <c r="C98" s="237"/>
      <c r="D98" s="256" t="str">
        <f>IFERROR(IF(ISBLANK(C98),"",VLOOKUP(C98,'Awards &gt; 50000'!$H$13:$I$200,2,FALSE)),"Not Found")</f>
        <v/>
      </c>
      <c r="E98" s="236"/>
      <c r="F98" s="236"/>
      <c r="G98" s="206"/>
    </row>
    <row r="99" spans="1:7" ht="12.75" customHeight="1" x14ac:dyDescent="0.3">
      <c r="A99" s="239"/>
      <c r="B99" s="239"/>
      <c r="C99" s="237"/>
      <c r="D99" s="256" t="str">
        <f>IFERROR(IF(ISBLANK(C99),"",VLOOKUP(C99,'Awards &gt; 50000'!$H$13:$I$200,2,FALSE)),"Not Found")</f>
        <v/>
      </c>
      <c r="E99" s="236"/>
      <c r="F99" s="236"/>
      <c r="G99" s="206"/>
    </row>
    <row r="100" spans="1:7" ht="12.75" customHeight="1" x14ac:dyDescent="0.3">
      <c r="A100" s="239"/>
      <c r="B100" s="239"/>
      <c r="C100" s="237"/>
      <c r="D100" s="256" t="str">
        <f>IFERROR(IF(ISBLANK(C100),"",VLOOKUP(C100,'Awards &gt; 50000'!$H$13:$I$200,2,FALSE)),"Not Found")</f>
        <v/>
      </c>
      <c r="E100" s="236"/>
      <c r="F100" s="236"/>
      <c r="G100" s="206"/>
    </row>
    <row r="101" spans="1:7" ht="12.75" customHeight="1" x14ac:dyDescent="0.3">
      <c r="A101" s="239"/>
      <c r="B101" s="239"/>
      <c r="C101" s="237"/>
      <c r="D101" s="256" t="str">
        <f>IFERROR(IF(ISBLANK(C101),"",VLOOKUP(C101,'Awards &gt; 50000'!$H$13:$I$200,2,FALSE)),"Not Found")</f>
        <v/>
      </c>
      <c r="E101" s="236"/>
      <c r="F101" s="236"/>
      <c r="G101" s="206"/>
    </row>
    <row r="102" spans="1:7" ht="12.75" customHeight="1" x14ac:dyDescent="0.3">
      <c r="A102" s="239"/>
      <c r="B102" s="239"/>
      <c r="C102" s="237"/>
      <c r="D102" s="256" t="str">
        <f>IFERROR(IF(ISBLANK(C102),"",VLOOKUP(C102,'Awards &gt; 50000'!$H$13:$I$200,2,FALSE)),"Not Found")</f>
        <v/>
      </c>
      <c r="E102" s="236"/>
      <c r="F102" s="236"/>
      <c r="G102" s="206"/>
    </row>
    <row r="103" spans="1:7" ht="12.75" customHeight="1" x14ac:dyDescent="0.3">
      <c r="A103" s="239"/>
      <c r="B103" s="239"/>
      <c r="C103" s="237"/>
      <c r="D103" s="256" t="str">
        <f>IFERROR(IF(ISBLANK(C103),"",VLOOKUP(C103,'Awards &gt; 50000'!$H$13:$I$200,2,FALSE)),"Not Found")</f>
        <v/>
      </c>
      <c r="E103" s="236"/>
      <c r="F103" s="236"/>
      <c r="G103" s="206"/>
    </row>
    <row r="104" spans="1:7" ht="12.75" customHeight="1" x14ac:dyDescent="0.3">
      <c r="A104" s="239"/>
      <c r="B104" s="239"/>
      <c r="C104" s="237"/>
      <c r="D104" s="256" t="str">
        <f>IFERROR(IF(ISBLANK(C104),"",VLOOKUP(C104,'Awards &gt; 50000'!$H$13:$I$200,2,FALSE)),"Not Found")</f>
        <v/>
      </c>
      <c r="E104" s="236"/>
      <c r="F104" s="236"/>
      <c r="G104" s="206"/>
    </row>
    <row r="105" spans="1:7" ht="12.75" customHeight="1" x14ac:dyDescent="0.3">
      <c r="A105" s="239"/>
      <c r="B105" s="239"/>
      <c r="C105" s="237"/>
      <c r="D105" s="256" t="str">
        <f>IFERROR(IF(ISBLANK(C105),"",VLOOKUP(C105,'Awards &gt; 50000'!$H$13:$I$200,2,FALSE)),"Not Found")</f>
        <v/>
      </c>
      <c r="E105" s="236"/>
      <c r="F105" s="236"/>
      <c r="G105" s="206"/>
    </row>
    <row r="106" spans="1:7" ht="12.75" customHeight="1" x14ac:dyDescent="0.3">
      <c r="A106" s="239"/>
      <c r="B106" s="239"/>
      <c r="C106" s="237"/>
      <c r="D106" s="256" t="str">
        <f>IFERROR(IF(ISBLANK(C106),"",VLOOKUP(C106,'Awards &gt; 50000'!$H$13:$I$200,2,FALSE)),"Not Found")</f>
        <v/>
      </c>
      <c r="E106" s="236"/>
      <c r="F106" s="236"/>
      <c r="G106" s="206"/>
    </row>
    <row r="107" spans="1:7" ht="12.75" customHeight="1" x14ac:dyDescent="0.3">
      <c r="A107" s="239"/>
      <c r="B107" s="239"/>
      <c r="C107" s="237"/>
      <c r="D107" s="256" t="str">
        <f>IFERROR(IF(ISBLANK(C107),"",VLOOKUP(C107,'Awards &gt; 50000'!$H$13:$I$200,2,FALSE)),"Not Found")</f>
        <v/>
      </c>
      <c r="E107" s="236"/>
      <c r="F107" s="236"/>
      <c r="G107" s="206"/>
    </row>
    <row r="108" spans="1:7" ht="12.75" customHeight="1" x14ac:dyDescent="0.3">
      <c r="A108" s="239"/>
      <c r="B108" s="239"/>
      <c r="C108" s="237"/>
      <c r="D108" s="256" t="str">
        <f>IFERROR(IF(ISBLANK(C108),"",VLOOKUP(C108,'Awards &gt; 50000'!$H$13:$I$200,2,FALSE)),"Not Found")</f>
        <v/>
      </c>
      <c r="E108" s="236"/>
      <c r="F108" s="236"/>
      <c r="G108" s="206"/>
    </row>
    <row r="109" spans="1:7" ht="12.75" customHeight="1" x14ac:dyDescent="0.3">
      <c r="A109" s="239"/>
      <c r="B109" s="239"/>
      <c r="C109" s="237"/>
      <c r="D109" s="256" t="str">
        <f>IFERROR(IF(ISBLANK(C109),"",VLOOKUP(C109,'Awards &gt; 50000'!$H$13:$I$200,2,FALSE)),"Not Found")</f>
        <v/>
      </c>
      <c r="E109" s="236"/>
      <c r="F109" s="236"/>
      <c r="G109" s="206"/>
    </row>
    <row r="110" spans="1:7" ht="12.75" customHeight="1" x14ac:dyDescent="0.3">
      <c r="A110" s="239"/>
      <c r="B110" s="239"/>
      <c r="C110" s="237"/>
      <c r="D110" s="256" t="str">
        <f>IFERROR(IF(ISBLANK(C110),"",VLOOKUP(C110,'Awards &gt; 50000'!$H$13:$I$200,2,FALSE)),"Not Found")</f>
        <v/>
      </c>
      <c r="E110" s="236"/>
      <c r="F110" s="236"/>
      <c r="G110" s="206"/>
    </row>
    <row r="111" spans="1:7" ht="12.75" customHeight="1" x14ac:dyDescent="0.3">
      <c r="A111" s="239"/>
      <c r="B111" s="239"/>
      <c r="C111" s="237"/>
      <c r="D111" s="256" t="str">
        <f>IFERROR(IF(ISBLANK(C111),"",VLOOKUP(C111,'Awards &gt; 50000'!$H$13:$I$200,2,FALSE)),"Not Found")</f>
        <v/>
      </c>
      <c r="E111" s="236"/>
      <c r="F111" s="236"/>
      <c r="G111" s="206"/>
    </row>
    <row r="112" spans="1:7" ht="12.75" customHeight="1" x14ac:dyDescent="0.3">
      <c r="A112" s="239"/>
      <c r="B112" s="239"/>
      <c r="C112" s="237"/>
      <c r="D112" s="256" t="str">
        <f>IFERROR(IF(ISBLANK(C112),"",VLOOKUP(C112,'Awards &gt; 50000'!$H$13:$I$200,2,FALSE)),"Not Found")</f>
        <v/>
      </c>
      <c r="E112" s="236"/>
      <c r="F112" s="236"/>
      <c r="G112" s="206"/>
    </row>
    <row r="113" spans="1:7" ht="12.75" customHeight="1" x14ac:dyDescent="0.3">
      <c r="A113" s="239"/>
      <c r="B113" s="239"/>
      <c r="C113" s="237"/>
      <c r="D113" s="256" t="str">
        <f>IFERROR(IF(ISBLANK(C113),"",VLOOKUP(C113,'Awards &gt; 50000'!$H$13:$I$200,2,FALSE)),"Not Found")</f>
        <v/>
      </c>
      <c r="E113" s="236"/>
      <c r="F113" s="236"/>
      <c r="G113" s="206"/>
    </row>
    <row r="114" spans="1:7" ht="12.75" customHeight="1" x14ac:dyDescent="0.3">
      <c r="A114" s="239"/>
      <c r="B114" s="239"/>
      <c r="C114" s="237"/>
      <c r="D114" s="256" t="str">
        <f>IFERROR(IF(ISBLANK(C114),"",VLOOKUP(C114,'Awards &gt; 50000'!$H$13:$I$200,2,FALSE)),"Not Found")</f>
        <v/>
      </c>
      <c r="E114" s="236"/>
      <c r="F114" s="236"/>
      <c r="G114" s="206"/>
    </row>
    <row r="115" spans="1:7" ht="12.75" customHeight="1" x14ac:dyDescent="0.3">
      <c r="A115" s="239"/>
      <c r="B115" s="239"/>
      <c r="C115" s="237"/>
      <c r="D115" s="256" t="str">
        <f>IFERROR(IF(ISBLANK(C115),"",VLOOKUP(C115,'Awards &gt; 50000'!$H$13:$I$200,2,FALSE)),"Not Found")</f>
        <v/>
      </c>
      <c r="E115" s="236"/>
      <c r="F115" s="236"/>
      <c r="G115" s="206"/>
    </row>
    <row r="116" spans="1:7" ht="12.75" customHeight="1" x14ac:dyDescent="0.3">
      <c r="A116" s="239"/>
      <c r="B116" s="239"/>
      <c r="C116" s="237"/>
      <c r="D116" s="256" t="str">
        <f>IFERROR(IF(ISBLANK(C116),"",VLOOKUP(C116,'Awards &gt; 50000'!$H$13:$I$200,2,FALSE)),"Not Found")</f>
        <v/>
      </c>
      <c r="E116" s="236"/>
      <c r="F116" s="236"/>
      <c r="G116" s="206"/>
    </row>
    <row r="117" spans="1:7" ht="12.75" customHeight="1" x14ac:dyDescent="0.3">
      <c r="A117" s="239"/>
      <c r="B117" s="239"/>
      <c r="C117" s="237"/>
      <c r="D117" s="256" t="str">
        <f>IFERROR(IF(ISBLANK(C117),"",VLOOKUP(C117,'Awards &gt; 50000'!$H$13:$I$200,2,FALSE)),"Not Found")</f>
        <v/>
      </c>
      <c r="E117" s="236"/>
      <c r="F117" s="236"/>
      <c r="G117" s="206"/>
    </row>
    <row r="118" spans="1:7" ht="12.75" customHeight="1" x14ac:dyDescent="0.3">
      <c r="A118" s="239"/>
      <c r="B118" s="239"/>
      <c r="C118" s="237"/>
      <c r="D118" s="256" t="str">
        <f>IFERROR(IF(ISBLANK(C118),"",VLOOKUP(C118,'Awards &gt; 50000'!$H$13:$I$200,2,FALSE)),"Not Found")</f>
        <v/>
      </c>
      <c r="E118" s="236"/>
      <c r="F118" s="236"/>
      <c r="G118" s="206"/>
    </row>
    <row r="119" spans="1:7" ht="12.75" customHeight="1" x14ac:dyDescent="0.3">
      <c r="A119" s="239"/>
      <c r="B119" s="239"/>
      <c r="C119" s="237"/>
      <c r="D119" s="256" t="str">
        <f>IFERROR(IF(ISBLANK(C119),"",VLOOKUP(C119,'Awards &gt; 50000'!$H$13:$I$200,2,FALSE)),"Not Found")</f>
        <v/>
      </c>
      <c r="E119" s="236"/>
      <c r="F119" s="236"/>
      <c r="G119" s="206"/>
    </row>
    <row r="120" spans="1:7" ht="12.75" customHeight="1" x14ac:dyDescent="0.3">
      <c r="A120" s="239"/>
      <c r="B120" s="239"/>
      <c r="C120" s="237"/>
      <c r="D120" s="256" t="str">
        <f>IFERROR(IF(ISBLANK(C120),"",VLOOKUP(C120,'Awards &gt; 50000'!$H$13:$I$200,2,FALSE)),"Not Found")</f>
        <v/>
      </c>
      <c r="E120" s="236"/>
      <c r="F120" s="236"/>
      <c r="G120" s="206"/>
    </row>
    <row r="121" spans="1:7" ht="12.75" customHeight="1" x14ac:dyDescent="0.3">
      <c r="A121" s="239"/>
      <c r="B121" s="239"/>
      <c r="C121" s="237"/>
      <c r="D121" s="256" t="str">
        <f>IFERROR(IF(ISBLANK(C121),"",VLOOKUP(C121,'Awards &gt; 50000'!$H$13:$I$200,2,FALSE)),"Not Found")</f>
        <v/>
      </c>
      <c r="E121" s="236"/>
      <c r="F121" s="236"/>
      <c r="G121" s="206"/>
    </row>
    <row r="122" spans="1:7" ht="12.75" customHeight="1" x14ac:dyDescent="0.3">
      <c r="A122" s="239"/>
      <c r="B122" s="239"/>
      <c r="C122" s="237"/>
      <c r="D122" s="256" t="str">
        <f>IFERROR(IF(ISBLANK(C122),"",VLOOKUP(C122,'Awards &gt; 50000'!$H$13:$I$200,2,FALSE)),"Not Found")</f>
        <v/>
      </c>
      <c r="E122" s="236"/>
      <c r="F122" s="236"/>
      <c r="G122" s="206"/>
    </row>
    <row r="123" spans="1:7" ht="12.75" customHeight="1" x14ac:dyDescent="0.3">
      <c r="A123" s="239"/>
      <c r="B123" s="239"/>
      <c r="C123" s="237"/>
      <c r="D123" s="256" t="str">
        <f>IFERROR(IF(ISBLANK(C123),"",VLOOKUP(C123,'Awards &gt; 50000'!$H$13:$I$200,2,FALSE)),"Not Found")</f>
        <v/>
      </c>
      <c r="E123" s="236"/>
      <c r="F123" s="236"/>
      <c r="G123" s="206"/>
    </row>
    <row r="124" spans="1:7" ht="12.75" customHeight="1" x14ac:dyDescent="0.3">
      <c r="A124" s="239"/>
      <c r="B124" s="239"/>
      <c r="C124" s="237"/>
      <c r="D124" s="256" t="str">
        <f>IFERROR(IF(ISBLANK(C124),"",VLOOKUP(C124,'Awards &gt; 50000'!$H$13:$I$200,2,FALSE)),"Not Found")</f>
        <v/>
      </c>
      <c r="E124" s="236"/>
      <c r="F124" s="236"/>
      <c r="G124" s="206"/>
    </row>
    <row r="125" spans="1:7" ht="12.75" customHeight="1" x14ac:dyDescent="0.3">
      <c r="A125" s="239"/>
      <c r="B125" s="239"/>
      <c r="C125" s="237"/>
      <c r="D125" s="256" t="str">
        <f>IFERROR(IF(ISBLANK(C125),"",VLOOKUP(C125,'Awards &gt; 50000'!$H$13:$I$200,2,FALSE)),"Not Found")</f>
        <v/>
      </c>
      <c r="E125" s="236"/>
      <c r="F125" s="236"/>
      <c r="G125" s="206"/>
    </row>
    <row r="126" spans="1:7" ht="12.75" customHeight="1" x14ac:dyDescent="0.3">
      <c r="A126" s="239"/>
      <c r="B126" s="239"/>
      <c r="C126" s="237"/>
      <c r="D126" s="256" t="str">
        <f>IFERROR(IF(ISBLANK(C126),"",VLOOKUP(C126,'Awards &gt; 50000'!$H$13:$I$200,2,FALSE)),"Not Found")</f>
        <v/>
      </c>
      <c r="E126" s="236"/>
      <c r="F126" s="236"/>
      <c r="G126" s="206"/>
    </row>
    <row r="127" spans="1:7" ht="12.75" customHeight="1" x14ac:dyDescent="0.3">
      <c r="A127" s="239"/>
      <c r="B127" s="239"/>
      <c r="C127" s="237"/>
      <c r="D127" s="256" t="str">
        <f>IFERROR(IF(ISBLANK(C127),"",VLOOKUP(C127,'Awards &gt; 50000'!$H$13:$I$200,2,FALSE)),"Not Found")</f>
        <v/>
      </c>
      <c r="E127" s="236"/>
      <c r="F127" s="236"/>
      <c r="G127" s="206"/>
    </row>
    <row r="128" spans="1:7" ht="12.75" customHeight="1" x14ac:dyDescent="0.3">
      <c r="A128" s="239"/>
      <c r="B128" s="239"/>
      <c r="C128" s="237"/>
      <c r="D128" s="256" t="str">
        <f>IFERROR(IF(ISBLANK(C128),"",VLOOKUP(C128,'Awards &gt; 50000'!$H$13:$I$200,2,FALSE)),"Not Found")</f>
        <v/>
      </c>
      <c r="E128" s="236"/>
      <c r="F128" s="236"/>
      <c r="G128" s="206"/>
    </row>
    <row r="129" spans="1:7" ht="12.75" customHeight="1" x14ac:dyDescent="0.3">
      <c r="A129" s="239"/>
      <c r="B129" s="239"/>
      <c r="C129" s="237"/>
      <c r="D129" s="256" t="str">
        <f>IFERROR(IF(ISBLANK(C129),"",VLOOKUP(C129,'Awards &gt; 50000'!$H$13:$I$200,2,FALSE)),"Not Found")</f>
        <v/>
      </c>
      <c r="E129" s="236"/>
      <c r="F129" s="236"/>
      <c r="G129" s="206"/>
    </row>
    <row r="130" spans="1:7" ht="12.75" customHeight="1" x14ac:dyDescent="0.3">
      <c r="A130" s="239"/>
      <c r="B130" s="239"/>
      <c r="C130" s="237"/>
      <c r="D130" s="256" t="str">
        <f>IFERROR(IF(ISBLANK(C130),"",VLOOKUP(C130,'Awards &gt; 50000'!$H$13:$I$200,2,FALSE)),"Not Found")</f>
        <v/>
      </c>
      <c r="E130" s="236"/>
      <c r="F130" s="236"/>
      <c r="G130" s="206"/>
    </row>
    <row r="131" spans="1:7" ht="12.75" customHeight="1" x14ac:dyDescent="0.3">
      <c r="A131" s="239"/>
      <c r="B131" s="239"/>
      <c r="C131" s="237"/>
      <c r="D131" s="256" t="str">
        <f>IFERROR(IF(ISBLANK(C131),"",VLOOKUP(C131,'Awards &gt; 50000'!$H$13:$I$200,2,FALSE)),"Not Found")</f>
        <v/>
      </c>
      <c r="E131" s="236"/>
      <c r="F131" s="236"/>
      <c r="G131" s="206"/>
    </row>
    <row r="132" spans="1:7" ht="12.75" customHeight="1" x14ac:dyDescent="0.3">
      <c r="A132" s="239"/>
      <c r="B132" s="239"/>
      <c r="C132" s="237"/>
      <c r="D132" s="256" t="str">
        <f>IFERROR(IF(ISBLANK(C132),"",VLOOKUP(C132,'Awards &gt; 50000'!$H$13:$I$200,2,FALSE)),"Not Found")</f>
        <v/>
      </c>
      <c r="E132" s="236"/>
      <c r="F132" s="236"/>
      <c r="G132" s="206"/>
    </row>
    <row r="133" spans="1:7" ht="12.75" customHeight="1" x14ac:dyDescent="0.3">
      <c r="A133" s="239"/>
      <c r="B133" s="239"/>
      <c r="C133" s="237"/>
      <c r="D133" s="256" t="str">
        <f>IFERROR(IF(ISBLANK(C133),"",VLOOKUP(C133,'Awards &gt; 50000'!$H$13:$I$200,2,FALSE)),"Not Found")</f>
        <v/>
      </c>
      <c r="E133" s="236"/>
      <c r="F133" s="236"/>
      <c r="G133" s="206"/>
    </row>
    <row r="134" spans="1:7" ht="12.75" customHeight="1" x14ac:dyDescent="0.3">
      <c r="A134" s="239"/>
      <c r="B134" s="239"/>
      <c r="C134" s="237"/>
      <c r="D134" s="256" t="str">
        <f>IFERROR(IF(ISBLANK(C134),"",VLOOKUP(C134,'Awards &gt; 50000'!$H$13:$I$200,2,FALSE)),"Not Found")</f>
        <v/>
      </c>
      <c r="E134" s="236"/>
      <c r="F134" s="236"/>
      <c r="G134" s="206"/>
    </row>
    <row r="135" spans="1:7" ht="12.75" customHeight="1" x14ac:dyDescent="0.3">
      <c r="A135" s="239"/>
      <c r="B135" s="239"/>
      <c r="C135" s="237"/>
      <c r="D135" s="256" t="str">
        <f>IFERROR(IF(ISBLANK(C135),"",VLOOKUP(C135,'Awards &gt; 50000'!$H$13:$I$200,2,FALSE)),"Not Found")</f>
        <v/>
      </c>
      <c r="E135" s="236"/>
      <c r="F135" s="236"/>
      <c r="G135" s="206"/>
    </row>
    <row r="136" spans="1:7" ht="12.75" customHeight="1" x14ac:dyDescent="0.3">
      <c r="A136" s="239"/>
      <c r="B136" s="239"/>
      <c r="C136" s="237"/>
      <c r="D136" s="256" t="str">
        <f>IFERROR(IF(ISBLANK(C136),"",VLOOKUP(C136,'Awards &gt; 50000'!$H$13:$I$200,2,FALSE)),"Not Found")</f>
        <v/>
      </c>
      <c r="E136" s="236"/>
      <c r="F136" s="236"/>
      <c r="G136" s="206"/>
    </row>
    <row r="137" spans="1:7" ht="12.75" customHeight="1" x14ac:dyDescent="0.3">
      <c r="A137" s="239"/>
      <c r="B137" s="239"/>
      <c r="C137" s="237"/>
      <c r="D137" s="256" t="str">
        <f>IFERROR(IF(ISBLANK(C137),"",VLOOKUP(C137,'Awards &gt; 50000'!$H$13:$I$200,2,FALSE)),"Not Found")</f>
        <v/>
      </c>
      <c r="E137" s="236"/>
      <c r="F137" s="236"/>
      <c r="G137" s="206"/>
    </row>
    <row r="138" spans="1:7" ht="12.75" customHeight="1" x14ac:dyDescent="0.3">
      <c r="A138" s="239"/>
      <c r="B138" s="239"/>
      <c r="C138" s="237"/>
      <c r="D138" s="256" t="str">
        <f>IFERROR(IF(ISBLANK(C138),"",VLOOKUP(C138,'Awards &gt; 50000'!$H$13:$I$200,2,FALSE)),"Not Found")</f>
        <v/>
      </c>
      <c r="E138" s="236"/>
      <c r="F138" s="236"/>
      <c r="G138" s="206"/>
    </row>
    <row r="139" spans="1:7" ht="12.75" customHeight="1" x14ac:dyDescent="0.3">
      <c r="A139" s="239"/>
      <c r="B139" s="239"/>
      <c r="C139" s="237"/>
      <c r="D139" s="256" t="str">
        <f>IFERROR(IF(ISBLANK(C139),"",VLOOKUP(C139,'Awards &gt; 50000'!$H$13:$I$200,2,FALSE)),"Not Found")</f>
        <v/>
      </c>
      <c r="E139" s="236"/>
      <c r="F139" s="236"/>
      <c r="G139" s="206"/>
    </row>
    <row r="140" spans="1:7" ht="12.75" customHeight="1" x14ac:dyDescent="0.3">
      <c r="A140" s="239"/>
      <c r="B140" s="239"/>
      <c r="C140" s="237"/>
      <c r="D140" s="256" t="str">
        <f>IFERROR(IF(ISBLANK(C140),"",VLOOKUP(C140,'Awards &gt; 50000'!$H$13:$I$200,2,FALSE)),"Not Found")</f>
        <v/>
      </c>
      <c r="E140" s="236"/>
      <c r="F140" s="236"/>
      <c r="G140" s="206"/>
    </row>
    <row r="141" spans="1:7" ht="12.75" customHeight="1" x14ac:dyDescent="0.3">
      <c r="A141" s="239"/>
      <c r="B141" s="239"/>
      <c r="C141" s="237"/>
      <c r="D141" s="256" t="str">
        <f>IFERROR(IF(ISBLANK(C141),"",VLOOKUP(C141,'Awards &gt; 50000'!$H$13:$I$200,2,FALSE)),"Not Found")</f>
        <v/>
      </c>
      <c r="E141" s="236"/>
      <c r="F141" s="236"/>
      <c r="G141" s="206"/>
    </row>
    <row r="142" spans="1:7" ht="12.75" customHeight="1" x14ac:dyDescent="0.3">
      <c r="A142" s="239"/>
      <c r="B142" s="239"/>
      <c r="C142" s="237"/>
      <c r="D142" s="256" t="str">
        <f>IFERROR(IF(ISBLANK(C142),"",VLOOKUP(C142,'Awards &gt; 50000'!$H$13:$I$200,2,FALSE)),"Not Found")</f>
        <v/>
      </c>
      <c r="E142" s="236"/>
      <c r="F142" s="236"/>
      <c r="G142" s="206"/>
    </row>
    <row r="143" spans="1:7" ht="12.75" customHeight="1" x14ac:dyDescent="0.3">
      <c r="A143" s="239"/>
      <c r="B143" s="239"/>
      <c r="C143" s="237"/>
      <c r="D143" s="256" t="str">
        <f>IFERROR(IF(ISBLANK(C143),"",VLOOKUP(C143,'Awards &gt; 50000'!$H$13:$I$200,2,FALSE)),"Not Found")</f>
        <v/>
      </c>
      <c r="E143" s="236"/>
      <c r="F143" s="236"/>
      <c r="G143" s="206"/>
    </row>
    <row r="144" spans="1:7" ht="12.75" customHeight="1" x14ac:dyDescent="0.3">
      <c r="A144" s="239"/>
      <c r="B144" s="239"/>
      <c r="C144" s="237"/>
      <c r="D144" s="256" t="str">
        <f>IFERROR(IF(ISBLANK(C144),"",VLOOKUP(C144,'Awards &gt; 50000'!$H$13:$I$200,2,FALSE)),"Not Found")</f>
        <v/>
      </c>
      <c r="E144" s="236"/>
      <c r="F144" s="236"/>
      <c r="G144" s="206"/>
    </row>
    <row r="145" spans="1:7" ht="12.75" customHeight="1" x14ac:dyDescent="0.3">
      <c r="A145" s="239"/>
      <c r="B145" s="239"/>
      <c r="C145" s="237"/>
      <c r="D145" s="256" t="str">
        <f>IFERROR(IF(ISBLANK(C145),"",VLOOKUP(C145,'Awards &gt; 50000'!$H$13:$I$200,2,FALSE)),"Not Found")</f>
        <v/>
      </c>
      <c r="E145" s="236"/>
      <c r="F145" s="236"/>
      <c r="G145" s="206"/>
    </row>
    <row r="146" spans="1:7" ht="12.75" customHeight="1" x14ac:dyDescent="0.3">
      <c r="A146" s="239"/>
      <c r="B146" s="239"/>
      <c r="C146" s="237"/>
      <c r="D146" s="256" t="str">
        <f>IFERROR(IF(ISBLANK(C146),"",VLOOKUP(C146,'Awards &gt; 50000'!$H$13:$I$200,2,FALSE)),"Not Found")</f>
        <v/>
      </c>
      <c r="E146" s="236"/>
      <c r="F146" s="236"/>
      <c r="G146" s="206"/>
    </row>
    <row r="147" spans="1:7" ht="12.75" customHeight="1" x14ac:dyDescent="0.3">
      <c r="A147" s="239"/>
      <c r="B147" s="239"/>
      <c r="C147" s="237"/>
      <c r="D147" s="256" t="str">
        <f>IFERROR(IF(ISBLANK(C147),"",VLOOKUP(C147,'Awards &gt; 50000'!$H$13:$I$200,2,FALSE)),"Not Found")</f>
        <v/>
      </c>
      <c r="E147" s="236"/>
      <c r="F147" s="236"/>
      <c r="G147" s="206"/>
    </row>
    <row r="148" spans="1:7" ht="12.75" customHeight="1" x14ac:dyDescent="0.3">
      <c r="A148" s="239"/>
      <c r="B148" s="239"/>
      <c r="C148" s="237"/>
      <c r="D148" s="256" t="str">
        <f>IFERROR(IF(ISBLANK(C148),"",VLOOKUP(C148,'Awards &gt; 50000'!$H$13:$I$200,2,FALSE)),"Not Found")</f>
        <v/>
      </c>
      <c r="E148" s="236"/>
      <c r="F148" s="236"/>
      <c r="G148" s="206"/>
    </row>
    <row r="149" spans="1:7" ht="12.75" customHeight="1" x14ac:dyDescent="0.3">
      <c r="A149" s="239"/>
      <c r="B149" s="239"/>
      <c r="C149" s="237"/>
      <c r="D149" s="256" t="str">
        <f>IFERROR(IF(ISBLANK(C149),"",VLOOKUP(C149,'Awards &gt; 50000'!$H$13:$I$200,2,FALSE)),"Not Found")</f>
        <v/>
      </c>
      <c r="E149" s="236"/>
      <c r="F149" s="236"/>
      <c r="G149" s="206"/>
    </row>
    <row r="150" spans="1:7" ht="12.75" customHeight="1" x14ac:dyDescent="0.3">
      <c r="A150" s="239"/>
      <c r="B150" s="239"/>
      <c r="C150" s="237"/>
      <c r="D150" s="256" t="str">
        <f>IFERROR(IF(ISBLANK(C150),"",VLOOKUP(C150,'Awards &gt; 50000'!$H$13:$I$200,2,FALSE)),"Not Found")</f>
        <v/>
      </c>
      <c r="E150" s="236"/>
      <c r="F150" s="236"/>
      <c r="G150" s="206"/>
    </row>
    <row r="151" spans="1:7" ht="12.75" customHeight="1" x14ac:dyDescent="0.3">
      <c r="A151" s="239"/>
      <c r="B151" s="239"/>
      <c r="C151" s="237"/>
      <c r="D151" s="256" t="str">
        <f>IFERROR(IF(ISBLANK(C151),"",VLOOKUP(C151,'Awards &gt; 50000'!$H$13:$I$200,2,FALSE)),"Not Found")</f>
        <v/>
      </c>
      <c r="E151" s="236"/>
      <c r="F151" s="236"/>
      <c r="G151" s="206"/>
    </row>
    <row r="152" spans="1:7" ht="12.75" customHeight="1" x14ac:dyDescent="0.3">
      <c r="A152" s="239"/>
      <c r="B152" s="239"/>
      <c r="C152" s="237"/>
      <c r="D152" s="256" t="str">
        <f>IFERROR(IF(ISBLANK(C152),"",VLOOKUP(C152,'Awards &gt; 50000'!$H$13:$I$200,2,FALSE)),"Not Found")</f>
        <v/>
      </c>
      <c r="E152" s="236"/>
      <c r="F152" s="236"/>
      <c r="G152" s="206"/>
    </row>
    <row r="153" spans="1:7" ht="12.75" customHeight="1" x14ac:dyDescent="0.3">
      <c r="A153" s="239"/>
      <c r="B153" s="239"/>
      <c r="C153" s="237"/>
      <c r="D153" s="256" t="str">
        <f>IFERROR(IF(ISBLANK(C153),"",VLOOKUP(C153,'Awards &gt; 50000'!$H$13:$I$200,2,FALSE)),"Not Found")</f>
        <v/>
      </c>
      <c r="E153" s="236"/>
      <c r="F153" s="236"/>
      <c r="G153" s="206"/>
    </row>
    <row r="154" spans="1:7" ht="12.75" customHeight="1" x14ac:dyDescent="0.3">
      <c r="A154" s="239"/>
      <c r="B154" s="239"/>
      <c r="C154" s="237"/>
      <c r="D154" s="256" t="str">
        <f>IFERROR(IF(ISBLANK(C154),"",VLOOKUP(C154,'Awards &gt; 50000'!$H$13:$I$200,2,FALSE)),"Not Found")</f>
        <v/>
      </c>
      <c r="E154" s="236"/>
      <c r="F154" s="236"/>
      <c r="G154" s="206"/>
    </row>
    <row r="155" spans="1:7" ht="12.75" customHeight="1" x14ac:dyDescent="0.3">
      <c r="A155" s="239"/>
      <c r="B155" s="239"/>
      <c r="C155" s="237"/>
      <c r="D155" s="256" t="str">
        <f>IFERROR(IF(ISBLANK(C155),"",VLOOKUP(C155,'Awards &gt; 50000'!$H$13:$I$200,2,FALSE)),"Not Found")</f>
        <v/>
      </c>
      <c r="E155" s="236"/>
      <c r="F155" s="236"/>
      <c r="G155" s="206"/>
    </row>
    <row r="156" spans="1:7" ht="12.75" customHeight="1" x14ac:dyDescent="0.3">
      <c r="A156" s="239"/>
      <c r="B156" s="239"/>
      <c r="C156" s="237"/>
      <c r="D156" s="256" t="str">
        <f>IFERROR(IF(ISBLANK(C156),"",VLOOKUP(C156,'Awards &gt; 50000'!$H$13:$I$200,2,FALSE)),"Not Found")</f>
        <v/>
      </c>
      <c r="E156" s="236"/>
      <c r="F156" s="236"/>
      <c r="G156" s="206"/>
    </row>
    <row r="157" spans="1:7" ht="12.75" customHeight="1" x14ac:dyDescent="0.3">
      <c r="A157" s="239"/>
      <c r="B157" s="239"/>
      <c r="C157" s="237"/>
      <c r="D157" s="256" t="str">
        <f>IFERROR(IF(ISBLANK(C157),"",VLOOKUP(C157,'Awards &gt; 50000'!$H$13:$I$200,2,FALSE)),"Not Found")</f>
        <v/>
      </c>
      <c r="E157" s="236"/>
      <c r="F157" s="236"/>
      <c r="G157" s="206"/>
    </row>
    <row r="158" spans="1:7" ht="12.75" customHeight="1" x14ac:dyDescent="0.3">
      <c r="A158" s="239"/>
      <c r="B158" s="239"/>
      <c r="C158" s="237"/>
      <c r="D158" s="256" t="str">
        <f>IFERROR(IF(ISBLANK(C158),"",VLOOKUP(C158,'Awards &gt; 50000'!$H$13:$I$200,2,FALSE)),"Not Found")</f>
        <v/>
      </c>
      <c r="E158" s="236"/>
      <c r="F158" s="236"/>
      <c r="G158" s="206"/>
    </row>
    <row r="159" spans="1:7" ht="12.75" customHeight="1" x14ac:dyDescent="0.3">
      <c r="A159" s="239"/>
      <c r="B159" s="239"/>
      <c r="C159" s="237"/>
      <c r="D159" s="256" t="str">
        <f>IFERROR(IF(ISBLANK(C159),"",VLOOKUP(C159,'Awards &gt; 50000'!$H$13:$I$200,2,FALSE)),"Not Found")</f>
        <v/>
      </c>
      <c r="E159" s="236"/>
      <c r="F159" s="236"/>
      <c r="G159" s="206"/>
    </row>
    <row r="160" spans="1:7" ht="12.75" customHeight="1" x14ac:dyDescent="0.3">
      <c r="A160" s="239"/>
      <c r="B160" s="239"/>
      <c r="C160" s="237"/>
      <c r="D160" s="256" t="str">
        <f>IFERROR(IF(ISBLANK(C160),"",VLOOKUP(C160,'Awards &gt; 50000'!$H$13:$I$200,2,FALSE)),"Not Found")</f>
        <v/>
      </c>
      <c r="E160" s="236"/>
      <c r="F160" s="236"/>
      <c r="G160" s="206"/>
    </row>
    <row r="161" spans="1:7" ht="12.75" customHeight="1" x14ac:dyDescent="0.3">
      <c r="A161" s="239"/>
      <c r="B161" s="239"/>
      <c r="C161" s="237"/>
      <c r="D161" s="256" t="str">
        <f>IFERROR(IF(ISBLANK(C161),"",VLOOKUP(C161,'Awards &gt; 50000'!$H$13:$I$200,2,FALSE)),"Not Found")</f>
        <v/>
      </c>
      <c r="E161" s="236"/>
      <c r="F161" s="236"/>
      <c r="G161" s="206"/>
    </row>
    <row r="162" spans="1:7" ht="12.75" customHeight="1" x14ac:dyDescent="0.3">
      <c r="A162" s="239"/>
      <c r="B162" s="239"/>
      <c r="C162" s="237"/>
      <c r="D162" s="256" t="str">
        <f>IFERROR(IF(ISBLANK(C162),"",VLOOKUP(C162,'Awards &gt; 50000'!$H$13:$I$200,2,FALSE)),"Not Found")</f>
        <v/>
      </c>
      <c r="E162" s="236"/>
      <c r="F162" s="236"/>
      <c r="G162" s="206"/>
    </row>
    <row r="163" spans="1:7" ht="12.75" customHeight="1" x14ac:dyDescent="0.3">
      <c r="A163" s="239"/>
      <c r="B163" s="239"/>
      <c r="C163" s="237"/>
      <c r="D163" s="256" t="str">
        <f>IFERROR(IF(ISBLANK(C163),"",VLOOKUP(C163,'Awards &gt; 50000'!$H$13:$I$200,2,FALSE)),"Not Found")</f>
        <v/>
      </c>
      <c r="E163" s="236"/>
      <c r="F163" s="236"/>
      <c r="G163" s="206"/>
    </row>
    <row r="164" spans="1:7" ht="12.75" customHeight="1" x14ac:dyDescent="0.3">
      <c r="A164" s="239"/>
      <c r="B164" s="239"/>
      <c r="C164" s="237"/>
      <c r="D164" s="256" t="str">
        <f>IFERROR(IF(ISBLANK(C164),"",VLOOKUP(C164,'Awards &gt; 50000'!$H$13:$I$200,2,FALSE)),"Not Found")</f>
        <v/>
      </c>
      <c r="E164" s="236"/>
      <c r="F164" s="236"/>
      <c r="G164" s="206"/>
    </row>
    <row r="165" spans="1:7" ht="12.75" customHeight="1" x14ac:dyDescent="0.3">
      <c r="A165" s="239"/>
      <c r="B165" s="239"/>
      <c r="C165" s="237"/>
      <c r="D165" s="256" t="str">
        <f>IFERROR(IF(ISBLANK(C165),"",VLOOKUP(C165,'Awards &gt; 50000'!$H$13:$I$200,2,FALSE)),"Not Found")</f>
        <v/>
      </c>
      <c r="E165" s="236"/>
      <c r="F165" s="236"/>
      <c r="G165" s="206"/>
    </row>
    <row r="166" spans="1:7" ht="12.75" customHeight="1" x14ac:dyDescent="0.3">
      <c r="A166" s="239"/>
      <c r="B166" s="239"/>
      <c r="C166" s="237"/>
      <c r="D166" s="256" t="str">
        <f>IFERROR(IF(ISBLANK(C166),"",VLOOKUP(C166,'Awards &gt; 50000'!$H$13:$I$200,2,FALSE)),"Not Found")</f>
        <v/>
      </c>
      <c r="E166" s="236"/>
      <c r="F166" s="236"/>
      <c r="G166" s="206"/>
    </row>
    <row r="167" spans="1:7" ht="12.75" customHeight="1" x14ac:dyDescent="0.3">
      <c r="A167" s="239"/>
      <c r="B167" s="239"/>
      <c r="C167" s="237"/>
      <c r="D167" s="256" t="str">
        <f>IFERROR(IF(ISBLANK(C167),"",VLOOKUP(C167,'Awards &gt; 50000'!$H$13:$I$200,2,FALSE)),"Not Found")</f>
        <v/>
      </c>
      <c r="E167" s="236"/>
      <c r="F167" s="236"/>
      <c r="G167" s="206"/>
    </row>
    <row r="168" spans="1:7" ht="12.75" customHeight="1" x14ac:dyDescent="0.3">
      <c r="A168" s="239"/>
      <c r="B168" s="239"/>
      <c r="C168" s="237"/>
      <c r="D168" s="256" t="str">
        <f>IFERROR(IF(ISBLANK(C168),"",VLOOKUP(C168,'Awards &gt; 50000'!$H$13:$I$200,2,FALSE)),"Not Found")</f>
        <v/>
      </c>
      <c r="E168" s="236"/>
      <c r="F168" s="236"/>
      <c r="G168" s="206"/>
    </row>
    <row r="169" spans="1:7" ht="12.75" customHeight="1" x14ac:dyDescent="0.3">
      <c r="A169" s="239"/>
      <c r="B169" s="239"/>
      <c r="C169" s="237"/>
      <c r="D169" s="256" t="str">
        <f>IFERROR(IF(ISBLANK(C169),"",VLOOKUP(C169,'Awards &gt; 50000'!$H$13:$I$200,2,FALSE)),"Not Found")</f>
        <v/>
      </c>
      <c r="E169" s="236"/>
      <c r="F169" s="236"/>
      <c r="G169" s="206"/>
    </row>
    <row r="170" spans="1:7" ht="12.75" customHeight="1" x14ac:dyDescent="0.3">
      <c r="A170" s="239"/>
      <c r="B170" s="239"/>
      <c r="C170" s="237"/>
      <c r="D170" s="256" t="str">
        <f>IFERROR(IF(ISBLANK(C170),"",VLOOKUP(C170,'Awards &gt; 50000'!$H$13:$I$200,2,FALSE)),"Not Found")</f>
        <v/>
      </c>
      <c r="E170" s="236"/>
      <c r="F170" s="236"/>
      <c r="G170" s="206"/>
    </row>
    <row r="171" spans="1:7" ht="12.75" customHeight="1" x14ac:dyDescent="0.3">
      <c r="A171" s="239"/>
      <c r="B171" s="239"/>
      <c r="C171" s="237"/>
      <c r="D171" s="256" t="str">
        <f>IFERROR(IF(ISBLANK(C171),"",VLOOKUP(C171,'Awards &gt; 50000'!$H$13:$I$200,2,FALSE)),"Not Found")</f>
        <v/>
      </c>
      <c r="E171" s="236"/>
      <c r="F171" s="236"/>
      <c r="G171" s="206"/>
    </row>
    <row r="172" spans="1:7" ht="12.75" customHeight="1" x14ac:dyDescent="0.3">
      <c r="A172" s="239"/>
      <c r="B172" s="239"/>
      <c r="C172" s="237"/>
      <c r="D172" s="256" t="str">
        <f>IFERROR(IF(ISBLANK(C172),"",VLOOKUP(C172,'Awards &gt; 50000'!$H$13:$I$200,2,FALSE)),"Not Found")</f>
        <v/>
      </c>
      <c r="E172" s="236"/>
      <c r="F172" s="236"/>
      <c r="G172" s="206"/>
    </row>
    <row r="173" spans="1:7" ht="12.75" customHeight="1" x14ac:dyDescent="0.3">
      <c r="A173" s="239"/>
      <c r="B173" s="239"/>
      <c r="C173" s="237"/>
      <c r="D173" s="256" t="str">
        <f>IFERROR(IF(ISBLANK(C173),"",VLOOKUP(C173,'Awards &gt; 50000'!$H$13:$I$200,2,FALSE)),"Not Found")</f>
        <v/>
      </c>
      <c r="E173" s="236"/>
      <c r="F173" s="236"/>
      <c r="G173" s="206"/>
    </row>
    <row r="174" spans="1:7" ht="12.75" customHeight="1" x14ac:dyDescent="0.3">
      <c r="A174" s="239"/>
      <c r="B174" s="239"/>
      <c r="C174" s="237"/>
      <c r="D174" s="256" t="str">
        <f>IFERROR(IF(ISBLANK(C174),"",VLOOKUP(C174,'Awards &gt; 50000'!$H$13:$I$200,2,FALSE)),"Not Found")</f>
        <v/>
      </c>
      <c r="E174" s="236"/>
      <c r="F174" s="236"/>
      <c r="G174" s="206"/>
    </row>
    <row r="175" spans="1:7" ht="12.75" customHeight="1" x14ac:dyDescent="0.3">
      <c r="A175" s="239"/>
      <c r="B175" s="239"/>
      <c r="C175" s="237"/>
      <c r="D175" s="256" t="str">
        <f>IFERROR(IF(ISBLANK(C175),"",VLOOKUP(C175,'Awards &gt; 50000'!$H$13:$I$200,2,FALSE)),"Not Found")</f>
        <v/>
      </c>
      <c r="E175" s="236"/>
      <c r="F175" s="236"/>
      <c r="G175" s="206"/>
    </row>
    <row r="176" spans="1:7" ht="12.75" customHeight="1" x14ac:dyDescent="0.3">
      <c r="A176" s="239"/>
      <c r="B176" s="239"/>
      <c r="C176" s="237"/>
      <c r="D176" s="256" t="str">
        <f>IFERROR(IF(ISBLANK(C176),"",VLOOKUP(C176,'Awards &gt; 50000'!$H$13:$I$200,2,FALSE)),"Not Found")</f>
        <v/>
      </c>
      <c r="E176" s="236"/>
      <c r="F176" s="236"/>
      <c r="G176" s="206"/>
    </row>
    <row r="177" spans="1:7" ht="12.75" customHeight="1" x14ac:dyDescent="0.3">
      <c r="A177" s="239"/>
      <c r="B177" s="239"/>
      <c r="C177" s="237"/>
      <c r="D177" s="256" t="str">
        <f>IFERROR(IF(ISBLANK(C177),"",VLOOKUP(C177,'Awards &gt; 50000'!$H$13:$I$200,2,FALSE)),"Not Found")</f>
        <v/>
      </c>
      <c r="E177" s="236"/>
      <c r="F177" s="236"/>
      <c r="G177" s="206"/>
    </row>
    <row r="178" spans="1:7" ht="12.75" customHeight="1" x14ac:dyDescent="0.3">
      <c r="A178" s="239"/>
      <c r="B178" s="239"/>
      <c r="C178" s="237"/>
      <c r="D178" s="256" t="str">
        <f>IFERROR(IF(ISBLANK(C178),"",VLOOKUP(C178,'Awards &gt; 50000'!$H$13:$I$200,2,FALSE)),"Not Found")</f>
        <v/>
      </c>
      <c r="E178" s="236"/>
      <c r="F178" s="236"/>
      <c r="G178" s="206"/>
    </row>
    <row r="179" spans="1:7" ht="12.75" customHeight="1" x14ac:dyDescent="0.3">
      <c r="A179" s="239"/>
      <c r="B179" s="239"/>
      <c r="C179" s="237"/>
      <c r="D179" s="256" t="str">
        <f>IFERROR(IF(ISBLANK(C179),"",VLOOKUP(C179,'Awards &gt; 50000'!$H$13:$I$200,2,FALSE)),"Not Found")</f>
        <v/>
      </c>
      <c r="E179" s="236"/>
      <c r="F179" s="236"/>
      <c r="G179" s="206"/>
    </row>
    <row r="180" spans="1:7" ht="12.75" customHeight="1" x14ac:dyDescent="0.3">
      <c r="A180" s="239"/>
      <c r="B180" s="239"/>
      <c r="C180" s="237"/>
      <c r="D180" s="256" t="str">
        <f>IFERROR(IF(ISBLANK(C180),"",VLOOKUP(C180,'Awards &gt; 50000'!$H$13:$I$200,2,FALSE)),"Not Found")</f>
        <v/>
      </c>
      <c r="E180" s="236"/>
      <c r="F180" s="236"/>
      <c r="G180" s="206"/>
    </row>
    <row r="181" spans="1:7" ht="12.75" customHeight="1" x14ac:dyDescent="0.3">
      <c r="A181" s="239"/>
      <c r="B181" s="239"/>
      <c r="C181" s="237"/>
      <c r="D181" s="256" t="str">
        <f>IFERROR(IF(ISBLANK(C181),"",VLOOKUP(C181,'Awards &gt; 50000'!$H$13:$I$200,2,FALSE)),"Not Found")</f>
        <v/>
      </c>
      <c r="E181" s="236"/>
      <c r="F181" s="236"/>
      <c r="G181" s="206"/>
    </row>
    <row r="182" spans="1:7" ht="12.75" customHeight="1" x14ac:dyDescent="0.3">
      <c r="A182" s="239"/>
      <c r="B182" s="239"/>
      <c r="C182" s="237"/>
      <c r="D182" s="256" t="str">
        <f>IFERROR(IF(ISBLANK(C182),"",VLOOKUP(C182,'Awards &gt; 50000'!$H$13:$I$200,2,FALSE)),"Not Found")</f>
        <v/>
      </c>
      <c r="E182" s="236"/>
      <c r="F182" s="236"/>
      <c r="G182" s="206"/>
    </row>
    <row r="183" spans="1:7" ht="12.75" customHeight="1" x14ac:dyDescent="0.3">
      <c r="A183" s="239"/>
      <c r="B183" s="239"/>
      <c r="C183" s="237"/>
      <c r="D183" s="256" t="str">
        <f>IFERROR(IF(ISBLANK(C183),"",VLOOKUP(C183,'Awards &gt; 50000'!$H$13:$I$200,2,FALSE)),"Not Found")</f>
        <v/>
      </c>
      <c r="E183" s="236"/>
      <c r="F183" s="236"/>
      <c r="G183" s="206"/>
    </row>
    <row r="184" spans="1:7" ht="12.75" customHeight="1" x14ac:dyDescent="0.3">
      <c r="A184" s="239"/>
      <c r="B184" s="239"/>
      <c r="C184" s="237"/>
      <c r="D184" s="256" t="str">
        <f>IFERROR(IF(ISBLANK(C184),"",VLOOKUP(C184,'Awards &gt; 50000'!$H$13:$I$200,2,FALSE)),"Not Found")</f>
        <v/>
      </c>
      <c r="E184" s="236"/>
      <c r="F184" s="236"/>
      <c r="G184" s="206"/>
    </row>
    <row r="185" spans="1:7" ht="12.75" customHeight="1" x14ac:dyDescent="0.3">
      <c r="A185" s="239"/>
      <c r="B185" s="239"/>
      <c r="C185" s="237"/>
      <c r="D185" s="256" t="str">
        <f>IFERROR(IF(ISBLANK(C185),"",VLOOKUP(C185,'Awards &gt; 50000'!$H$13:$I$200,2,FALSE)),"Not Found")</f>
        <v/>
      </c>
      <c r="E185" s="236"/>
      <c r="F185" s="236"/>
      <c r="G185" s="206"/>
    </row>
    <row r="186" spans="1:7" ht="12.75" customHeight="1" x14ac:dyDescent="0.3">
      <c r="A186" s="239"/>
      <c r="B186" s="239"/>
      <c r="C186" s="237"/>
      <c r="D186" s="256" t="str">
        <f>IFERROR(IF(ISBLANK(C186),"",VLOOKUP(C186,'Awards &gt; 50000'!$H$13:$I$200,2,FALSE)),"Not Found")</f>
        <v/>
      </c>
      <c r="E186" s="236"/>
      <c r="F186" s="236"/>
      <c r="G186" s="206"/>
    </row>
    <row r="187" spans="1:7" ht="12.75" customHeight="1" x14ac:dyDescent="0.3">
      <c r="A187" s="239"/>
      <c r="B187" s="239"/>
      <c r="C187" s="237"/>
      <c r="D187" s="256" t="str">
        <f>IFERROR(IF(ISBLANK(C187),"",VLOOKUP(C187,'Awards &gt; 50000'!$H$13:$I$200,2,FALSE)),"Not Found")</f>
        <v/>
      </c>
      <c r="E187" s="236"/>
      <c r="F187" s="236"/>
      <c r="G187" s="206"/>
    </row>
    <row r="188" spans="1:7" ht="12.75" customHeight="1" x14ac:dyDescent="0.3">
      <c r="A188" s="239"/>
      <c r="B188" s="239"/>
      <c r="C188" s="237"/>
      <c r="D188" s="256" t="str">
        <f>IFERROR(IF(ISBLANK(C188),"",VLOOKUP(C188,'Awards &gt; 50000'!$H$13:$I$200,2,FALSE)),"Not Found")</f>
        <v/>
      </c>
      <c r="E188" s="236"/>
      <c r="F188" s="236"/>
      <c r="G188" s="206"/>
    </row>
    <row r="189" spans="1:7" ht="12.75" customHeight="1" x14ac:dyDescent="0.3">
      <c r="A189" s="239"/>
      <c r="B189" s="239"/>
      <c r="C189" s="237"/>
      <c r="D189" s="256" t="str">
        <f>IFERROR(IF(ISBLANK(C189),"",VLOOKUP(C189,'Awards &gt; 50000'!$H$13:$I$200,2,FALSE)),"Not Found")</f>
        <v/>
      </c>
      <c r="E189" s="236"/>
      <c r="F189" s="236"/>
      <c r="G189" s="206"/>
    </row>
    <row r="190" spans="1:7" ht="12.75" customHeight="1" x14ac:dyDescent="0.3">
      <c r="A190" s="239"/>
      <c r="B190" s="239"/>
      <c r="C190" s="237"/>
      <c r="D190" s="256" t="str">
        <f>IFERROR(IF(ISBLANK(C190),"",VLOOKUP(C190,'Awards &gt; 50000'!$H$13:$I$200,2,FALSE)),"Not Found")</f>
        <v/>
      </c>
      <c r="E190" s="236"/>
      <c r="F190" s="236"/>
      <c r="G190" s="206"/>
    </row>
    <row r="191" spans="1:7" ht="12.75" customHeight="1" x14ac:dyDescent="0.3">
      <c r="A191" s="239"/>
      <c r="B191" s="239"/>
      <c r="C191" s="237"/>
      <c r="D191" s="256" t="str">
        <f>IFERROR(IF(ISBLANK(C191),"",VLOOKUP(C191,'Awards &gt; 50000'!$H$13:$I$200,2,FALSE)),"Not Found")</f>
        <v/>
      </c>
      <c r="E191" s="236"/>
      <c r="F191" s="236"/>
      <c r="G191" s="206"/>
    </row>
    <row r="192" spans="1:7" ht="12.75" customHeight="1" x14ac:dyDescent="0.3">
      <c r="A192" s="239"/>
      <c r="B192" s="239"/>
      <c r="C192" s="237"/>
      <c r="D192" s="256" t="str">
        <f>IFERROR(IF(ISBLANK(C192),"",VLOOKUP(C192,'Awards &gt; 50000'!$H$13:$I$200,2,FALSE)),"Not Found")</f>
        <v/>
      </c>
      <c r="E192" s="236"/>
      <c r="F192" s="236"/>
      <c r="G192" s="206"/>
    </row>
    <row r="193" spans="1:7" ht="12.75" customHeight="1" x14ac:dyDescent="0.3">
      <c r="A193" s="239"/>
      <c r="B193" s="239"/>
      <c r="C193" s="237"/>
      <c r="D193" s="256" t="str">
        <f>IFERROR(IF(ISBLANK(C193),"",VLOOKUP(C193,'Awards &gt; 50000'!$H$13:$I$200,2,FALSE)),"Not Found")</f>
        <v/>
      </c>
      <c r="E193" s="236"/>
      <c r="F193" s="236"/>
      <c r="G193" s="206"/>
    </row>
    <row r="194" spans="1:7" ht="12.75" customHeight="1" x14ac:dyDescent="0.3">
      <c r="A194" s="239"/>
      <c r="B194" s="239"/>
      <c r="C194" s="237"/>
      <c r="D194" s="256" t="str">
        <f>IFERROR(IF(ISBLANK(C194),"",VLOOKUP(C194,'Awards &gt; 50000'!$H$13:$I$200,2,FALSE)),"Not Found")</f>
        <v/>
      </c>
      <c r="E194" s="236"/>
      <c r="F194" s="236"/>
      <c r="G194" s="206"/>
    </row>
    <row r="195" spans="1:7" ht="12.75" customHeight="1" x14ac:dyDescent="0.3">
      <c r="A195" s="239"/>
      <c r="B195" s="239"/>
      <c r="C195" s="237"/>
      <c r="D195" s="256" t="str">
        <f>IFERROR(IF(ISBLANK(C195),"",VLOOKUP(C195,'Awards &gt; 50000'!$H$13:$I$200,2,FALSE)),"Not Found")</f>
        <v/>
      </c>
      <c r="E195" s="236"/>
      <c r="F195" s="236"/>
      <c r="G195" s="206"/>
    </row>
    <row r="196" spans="1:7" ht="12.75" customHeight="1" x14ac:dyDescent="0.3">
      <c r="A196" s="239"/>
      <c r="B196" s="239"/>
      <c r="C196" s="237"/>
      <c r="D196" s="256" t="str">
        <f>IFERROR(IF(ISBLANK(C196),"",VLOOKUP(C196,'Awards &gt; 50000'!$H$13:$I$200,2,FALSE)),"Not Found")</f>
        <v/>
      </c>
      <c r="E196" s="236"/>
      <c r="F196" s="236"/>
      <c r="G196" s="206"/>
    </row>
    <row r="197" spans="1:7" ht="12.75" customHeight="1" x14ac:dyDescent="0.3">
      <c r="A197" s="239"/>
      <c r="B197" s="239"/>
      <c r="C197" s="237"/>
      <c r="D197" s="256" t="str">
        <f>IFERROR(IF(ISBLANK(C197),"",VLOOKUP(C197,'Awards &gt; 50000'!$H$13:$I$200,2,FALSE)),"Not Found")</f>
        <v/>
      </c>
      <c r="E197" s="236"/>
      <c r="F197" s="236"/>
      <c r="G197" s="206"/>
    </row>
    <row r="198" spans="1:7" ht="12.75" customHeight="1" x14ac:dyDescent="0.3">
      <c r="A198" s="239"/>
      <c r="B198" s="239"/>
      <c r="C198" s="237"/>
      <c r="D198" s="256" t="str">
        <f>IFERROR(IF(ISBLANK(C198),"",VLOOKUP(C198,'Awards &gt; 50000'!$H$13:$I$200,2,FALSE)),"Not Found")</f>
        <v/>
      </c>
      <c r="E198" s="236"/>
      <c r="F198" s="236"/>
      <c r="G198" s="206"/>
    </row>
    <row r="199" spans="1:7" ht="12.75" customHeight="1" x14ac:dyDescent="0.3">
      <c r="A199" s="239"/>
      <c r="B199" s="239"/>
      <c r="C199" s="237"/>
      <c r="D199" s="256" t="str">
        <f>IFERROR(IF(ISBLANK(C199),"",VLOOKUP(C199,'Awards &gt; 50000'!$H$13:$I$200,2,FALSE)),"Not Found")</f>
        <v/>
      </c>
      <c r="E199" s="236"/>
      <c r="F199" s="236"/>
      <c r="G199" s="206"/>
    </row>
    <row r="200" spans="1:7" ht="12.75" customHeight="1" x14ac:dyDescent="0.3">
      <c r="A200" s="239"/>
      <c r="B200" s="239"/>
      <c r="C200" s="237"/>
      <c r="D200" s="256" t="str">
        <f>IFERROR(IF(ISBLANK(C200),"",VLOOKUP(C200,'Awards &gt; 50000'!$H$13:$I$200,2,FALSE)),"Not Found")</f>
        <v/>
      </c>
      <c r="E200" s="236"/>
      <c r="F200" s="236"/>
      <c r="G200" s="206"/>
    </row>
  </sheetData>
  <sheetProtection algorithmName="SHA-512" hashValue="24qLmZuufuvPQwIeuCd21b9h7Ufc2Hn7mXEAFOqAmcD89zNMZ4cysQ4B70Awf7nW1Il94JiQPszBxLhSDHaf3w==" saltValue="/IpFfhYbo9RK7rQb9KOqBQ==" spinCount="100000" sheet="1" objects="1" scenarios="1" formatCells="0" formatRows="0"/>
  <dataConsolidate/>
  <conditionalFormatting sqref="D13:D200">
    <cfRule type="expression" priority="1">
      <formula>D13&lt;&gt;"Not Found"</formula>
    </cfRule>
    <cfRule type="expression" dxfId="1" priority="2">
      <formula>D13="Not Found"</formula>
    </cfRule>
  </conditionalFormatting>
  <dataValidations count="5">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3630A921-C2DE-4D69-899B-0BA90527AC6B}">
      <formula1>20</formula1>
    </dataValidation>
    <dataValidation type="date" operator="lessThan" allowBlank="1" showInputMessage="1" showErrorMessage="1" errorTitle="Date Format" error="Please check the format of the date you entered." sqref="E13:E200" xr:uid="{7712C36C-1A4A-47D6-96B8-0A5013F5BE22}">
      <formula1>46753</formula1>
    </dataValidation>
    <dataValidation type="date" operator="lessThan" allowBlank="1" showInputMessage="1" showErrorMessage="1" errorTitle="Date Format" error="Please check the format of the date you entered." sqref="F13:F200" xr:uid="{7D8A8DF0-6369-48FA-890C-3483C5B4580E}">
      <formula1>46753</formula1>
    </dataValidation>
    <dataValidation type="decimal" operator="lessThanOrEqual" allowBlank="1" showInputMessage="1" showErrorMessage="1" errorTitle="Maximum Exceeded" error="Value cannot exceed 999,999,999,999.99" sqref="G13:G200" xr:uid="{3F0C64F8-B107-461C-A68F-76CA99F295D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159" hidden="1" customWidth="1"/>
    <col min="2" max="2" width="6.453125" style="159" hidden="1" customWidth="1"/>
    <col min="3" max="3" width="20.7265625" style="164" customWidth="1"/>
    <col min="4" max="4" width="32.5429687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691</v>
      </c>
      <c r="D1" s="67"/>
      <c r="E1" s="67" t="s">
        <v>688</v>
      </c>
      <c r="F1" s="67" t="s">
        <v>690</v>
      </c>
    </row>
    <row r="2" spans="1:6" ht="27" hidden="1" customHeight="1" x14ac:dyDescent="0.25">
      <c r="A2" s="61" t="s">
        <v>346</v>
      </c>
      <c r="B2" s="75"/>
      <c r="C2" s="80" t="s">
        <v>595</v>
      </c>
      <c r="D2" s="67" t="s">
        <v>595</v>
      </c>
      <c r="E2" s="67" t="s">
        <v>595</v>
      </c>
      <c r="F2" s="67" t="s">
        <v>595</v>
      </c>
    </row>
    <row r="3" spans="1:6" ht="27" hidden="1" customHeight="1" x14ac:dyDescent="0.25">
      <c r="A3" s="61" t="s">
        <v>134</v>
      </c>
      <c r="B3" s="75"/>
      <c r="C3" s="80" t="s">
        <v>110</v>
      </c>
      <c r="D3" s="67" t="s">
        <v>692</v>
      </c>
      <c r="E3" s="67" t="s">
        <v>687</v>
      </c>
      <c r="F3" s="67" t="s">
        <v>689</v>
      </c>
    </row>
    <row r="4" spans="1:6" ht="27" hidden="1" customHeight="1" x14ac:dyDescent="0.25">
      <c r="A4" s="61" t="s">
        <v>133</v>
      </c>
      <c r="B4" s="75"/>
      <c r="C4" s="81" t="s">
        <v>120</v>
      </c>
      <c r="D4" s="82" t="s">
        <v>120</v>
      </c>
      <c r="E4" s="74" t="s">
        <v>120</v>
      </c>
      <c r="F4" s="74" t="s">
        <v>120</v>
      </c>
    </row>
    <row r="5" spans="1:6" ht="27" hidden="1" customHeight="1" x14ac:dyDescent="0.25">
      <c r="A5" s="61" t="s">
        <v>347</v>
      </c>
      <c r="B5" s="75"/>
      <c r="C5" s="83" t="s">
        <v>602</v>
      </c>
      <c r="D5" s="67" t="s">
        <v>603</v>
      </c>
      <c r="E5" s="67" t="s">
        <v>604</v>
      </c>
      <c r="F5" s="67" t="s">
        <v>605</v>
      </c>
    </row>
    <row r="6" spans="1:6" ht="27" hidden="1" customHeight="1" x14ac:dyDescent="0.25">
      <c r="A6" s="61" t="s">
        <v>137</v>
      </c>
      <c r="B6" s="75"/>
      <c r="C6" s="81" t="s">
        <v>106</v>
      </c>
      <c r="D6" s="84" t="s">
        <v>244</v>
      </c>
      <c r="E6" s="74" t="s">
        <v>106</v>
      </c>
      <c r="F6" s="74" t="s">
        <v>106</v>
      </c>
    </row>
    <row r="7" spans="1:6" ht="27" hidden="1" customHeight="1" x14ac:dyDescent="0.25">
      <c r="A7" s="61" t="s">
        <v>138</v>
      </c>
      <c r="B7" s="75"/>
      <c r="C7" s="81" t="s">
        <v>140</v>
      </c>
      <c r="D7" s="82" t="s">
        <v>142</v>
      </c>
      <c r="E7" s="74" t="s">
        <v>144</v>
      </c>
      <c r="F7" s="74" t="s">
        <v>144</v>
      </c>
    </row>
    <row r="8" spans="1:6" ht="27" hidden="1" customHeight="1" x14ac:dyDescent="0.25">
      <c r="A8" s="61" t="s">
        <v>139</v>
      </c>
      <c r="B8" s="75"/>
      <c r="C8" s="81">
        <v>20</v>
      </c>
      <c r="D8" s="85" t="s">
        <v>106</v>
      </c>
      <c r="E8" s="74" t="s">
        <v>245</v>
      </c>
      <c r="F8" s="74" t="s">
        <v>245</v>
      </c>
    </row>
    <row r="9" spans="1:6" ht="27" hidden="1" customHeight="1" x14ac:dyDescent="0.25">
      <c r="A9" s="61" t="s">
        <v>348</v>
      </c>
      <c r="B9" s="75"/>
      <c r="C9" s="83"/>
      <c r="D9" s="74"/>
      <c r="E9" s="74"/>
      <c r="F9" s="74"/>
    </row>
    <row r="10" spans="1:6" ht="35.15" hidden="1" customHeight="1" x14ac:dyDescent="0.25">
      <c r="A10" s="38" t="s">
        <v>704</v>
      </c>
      <c r="B10" s="43"/>
      <c r="C10" s="76" t="s">
        <v>753</v>
      </c>
      <c r="D10" s="78" t="s">
        <v>756</v>
      </c>
      <c r="E10" s="78" t="s">
        <v>754</v>
      </c>
      <c r="F10" s="78" t="s">
        <v>755</v>
      </c>
    </row>
    <row r="11" spans="1:6" ht="14" x14ac:dyDescent="0.25">
      <c r="A11" s="54"/>
      <c r="B11" s="54"/>
      <c r="C11" s="34">
        <f>Cover!$C$2</f>
        <v>0</v>
      </c>
      <c r="D11" s="53"/>
      <c r="E11" s="53"/>
      <c r="F11" s="53"/>
    </row>
    <row r="12" spans="1:6" ht="26" x14ac:dyDescent="0.3">
      <c r="A12" s="6" t="s">
        <v>135</v>
      </c>
      <c r="B12" s="6"/>
      <c r="C12" s="185" t="s">
        <v>5</v>
      </c>
      <c r="D12" s="186" t="s">
        <v>283</v>
      </c>
      <c r="E12" s="186" t="s">
        <v>61</v>
      </c>
      <c r="F12" s="186" t="s">
        <v>66</v>
      </c>
    </row>
    <row r="13" spans="1:6" ht="12.75" customHeight="1" x14ac:dyDescent="0.25">
      <c r="A13" s="178" t="s">
        <v>136</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pQc+jlyUzaxEZG2+cKkTyA2ihrT6F3X2pjmocUwn1ONUZlKhM2kmks+0Ts5DF/nyzhabDCq8XXhzO+Yi3uuL4A==" saltValue="B+u+E9yTcW10K02FBhzvsw==" spinCount="100000" sheet="1" objects="1" scenarios="1" formatCells="0" formatRows="0"/>
  <dataConsolidate/>
  <conditionalFormatting sqref="C4:D4 C6:D8">
    <cfRule type="containsBlanks" dxfId="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512F297F-BD2A-477A-B0F4-86A0ADBDE1C8}">
      <formula1>20</formula1>
    </dataValidation>
    <dataValidation type="decimal" operator="lessThanOrEqual" allowBlank="1" showInputMessage="1" showErrorMessage="1" errorTitle="Maximum Exceeded" error="Value cannot exceed 999,999,999,999.99" sqref="E13:E200" xr:uid="{0F5417A4-23BA-48F3-AFCB-C9860E51EE1A}">
      <formula1>999999999999.99</formula1>
    </dataValidation>
    <dataValidation type="decimal" operator="lessThanOrEqual" allowBlank="1" showInputMessage="1" showErrorMessage="1" errorTitle="Maximum Exceeded" error="Value cannot exceed 999,999,999,999.99" sqref="F13:F200" xr:uid="{1B2AB6E8-37FA-4FA0-B35E-E8B131F4B734}">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4" sqref="B4"/>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67</v>
      </c>
      <c r="B1" s="242" t="s">
        <v>68</v>
      </c>
      <c r="C1" s="241" t="s">
        <v>68</v>
      </c>
      <c r="D1" s="241" t="s">
        <v>68</v>
      </c>
      <c r="E1" s="241" t="s">
        <v>69</v>
      </c>
      <c r="F1" s="241" t="s">
        <v>69</v>
      </c>
      <c r="G1" s="241" t="s">
        <v>69</v>
      </c>
      <c r="H1" s="241" t="s">
        <v>69</v>
      </c>
      <c r="I1" s="241" t="s">
        <v>264</v>
      </c>
      <c r="J1" s="241" t="s">
        <v>70</v>
      </c>
      <c r="K1" s="241" t="s">
        <v>69</v>
      </c>
      <c r="L1" s="241" t="s">
        <v>326</v>
      </c>
      <c r="M1" s="241" t="s">
        <v>510</v>
      </c>
      <c r="N1" s="241" t="s">
        <v>69</v>
      </c>
      <c r="O1" s="241" t="s">
        <v>621</v>
      </c>
      <c r="P1" s="241" t="s">
        <v>264</v>
      </c>
      <c r="Q1" s="35"/>
      <c r="R1" s="35"/>
      <c r="S1" s="35"/>
      <c r="T1" s="35"/>
      <c r="U1" s="35"/>
      <c r="V1" s="35"/>
      <c r="W1" s="35"/>
      <c r="X1" s="35"/>
    </row>
    <row r="2" spans="1:24" ht="15" customHeight="1" x14ac:dyDescent="0.3">
      <c r="A2" s="243" t="s">
        <v>71</v>
      </c>
      <c r="B2" s="244" t="s">
        <v>4</v>
      </c>
      <c r="C2" s="243" t="s">
        <v>296</v>
      </c>
      <c r="D2" s="243" t="s">
        <v>102</v>
      </c>
      <c r="E2" s="245" t="s">
        <v>13</v>
      </c>
      <c r="F2" s="245" t="s">
        <v>72</v>
      </c>
      <c r="G2" s="245" t="s">
        <v>290</v>
      </c>
      <c r="H2" s="245" t="s">
        <v>295</v>
      </c>
      <c r="I2" s="245" t="s">
        <v>265</v>
      </c>
      <c r="J2" s="245" t="s">
        <v>65</v>
      </c>
      <c r="K2" s="245" t="s">
        <v>169</v>
      </c>
      <c r="L2" s="240" t="s">
        <v>251</v>
      </c>
      <c r="M2" s="240" t="s">
        <v>511</v>
      </c>
      <c r="N2" s="243" t="s">
        <v>521</v>
      </c>
      <c r="O2" s="243" t="s">
        <v>621</v>
      </c>
      <c r="P2" s="243" t="s">
        <v>787</v>
      </c>
      <c r="Q2" s="35"/>
      <c r="R2" s="35"/>
      <c r="S2" s="35"/>
      <c r="T2" s="35"/>
      <c r="U2" s="35"/>
      <c r="V2" s="35"/>
      <c r="W2" s="35"/>
      <c r="X2" s="35"/>
    </row>
    <row r="3" spans="1:24" ht="15" customHeight="1" x14ac:dyDescent="0.3">
      <c r="A3" s="241" t="s">
        <v>73</v>
      </c>
      <c r="B3" s="246" t="s">
        <v>992</v>
      </c>
      <c r="C3" s="247" t="s">
        <v>392</v>
      </c>
      <c r="D3" s="247" t="s">
        <v>392</v>
      </c>
      <c r="E3" s="248" t="s">
        <v>52</v>
      </c>
      <c r="F3" s="248" t="s">
        <v>16</v>
      </c>
      <c r="G3" s="248" t="s">
        <v>74</v>
      </c>
      <c r="H3" s="248" t="s">
        <v>75</v>
      </c>
      <c r="I3" s="248" t="s">
        <v>266</v>
      </c>
      <c r="J3" s="248" t="s">
        <v>285</v>
      </c>
      <c r="K3" s="248" t="s">
        <v>905</v>
      </c>
      <c r="L3" s="248" t="s">
        <v>327</v>
      </c>
      <c r="M3" s="249" t="s">
        <v>482</v>
      </c>
      <c r="N3" s="249" t="s">
        <v>527</v>
      </c>
      <c r="O3" s="250" t="s">
        <v>349</v>
      </c>
      <c r="P3" s="249" t="s">
        <v>788</v>
      </c>
    </row>
    <row r="4" spans="1:24" ht="15" customHeight="1" x14ac:dyDescent="0.25">
      <c r="A4" s="249"/>
      <c r="B4" s="251"/>
      <c r="C4" s="248"/>
      <c r="D4" s="4"/>
      <c r="E4" s="248" t="s">
        <v>76</v>
      </c>
      <c r="F4" s="248" t="s">
        <v>77</v>
      </c>
      <c r="G4" s="248" t="s">
        <v>292</v>
      </c>
      <c r="H4" s="248" t="s">
        <v>78</v>
      </c>
      <c r="I4" s="248" t="s">
        <v>267</v>
      </c>
      <c r="J4" s="248" t="s">
        <v>286</v>
      </c>
      <c r="K4" s="248" t="s">
        <v>906</v>
      </c>
      <c r="L4" s="248" t="s">
        <v>328</v>
      </c>
      <c r="M4" s="249" t="s">
        <v>483</v>
      </c>
      <c r="N4" s="249" t="s">
        <v>528</v>
      </c>
      <c r="O4" s="250" t="s">
        <v>930</v>
      </c>
      <c r="P4" s="249" t="s">
        <v>789</v>
      </c>
    </row>
    <row r="5" spans="1:24" ht="15" customHeight="1" x14ac:dyDescent="0.25">
      <c r="A5" s="249"/>
      <c r="B5" s="251"/>
      <c r="C5" s="248"/>
      <c r="D5" s="3"/>
      <c r="E5" s="248" t="s">
        <v>80</v>
      </c>
      <c r="F5" s="248" t="s">
        <v>81</v>
      </c>
      <c r="G5" s="248" t="s">
        <v>79</v>
      </c>
      <c r="H5" s="248"/>
      <c r="I5" s="248" t="s">
        <v>268</v>
      </c>
      <c r="J5" s="248" t="s">
        <v>287</v>
      </c>
      <c r="K5" s="248" t="s">
        <v>907</v>
      </c>
      <c r="L5" s="248" t="s">
        <v>329</v>
      </c>
      <c r="M5" s="249" t="s">
        <v>484</v>
      </c>
      <c r="N5" s="249" t="s">
        <v>823</v>
      </c>
      <c r="O5" s="250" t="s">
        <v>931</v>
      </c>
      <c r="P5" s="249" t="s">
        <v>790</v>
      </c>
    </row>
    <row r="6" spans="1:24" ht="15" customHeight="1" x14ac:dyDescent="0.25">
      <c r="A6" s="249"/>
      <c r="B6" s="251"/>
      <c r="C6" s="248"/>
      <c r="D6" s="3"/>
      <c r="E6" s="248" t="s">
        <v>49</v>
      </c>
      <c r="F6" s="249"/>
      <c r="G6" s="248" t="s">
        <v>293</v>
      </c>
      <c r="H6" s="249"/>
      <c r="I6" s="248" t="s">
        <v>269</v>
      </c>
      <c r="J6" s="248" t="s">
        <v>288</v>
      </c>
      <c r="K6" s="248" t="s">
        <v>908</v>
      </c>
      <c r="L6" s="248" t="s">
        <v>330</v>
      </c>
      <c r="M6" s="249" t="s">
        <v>485</v>
      </c>
      <c r="N6" s="249" t="s">
        <v>529</v>
      </c>
      <c r="O6" s="249"/>
      <c r="P6" s="249" t="s">
        <v>86</v>
      </c>
    </row>
    <row r="7" spans="1:24" ht="15" customHeight="1" x14ac:dyDescent="0.25">
      <c r="A7" s="249"/>
      <c r="B7" s="251"/>
      <c r="C7" s="248"/>
      <c r="D7" s="3"/>
      <c r="E7" s="248" t="s">
        <v>38</v>
      </c>
      <c r="F7" s="249"/>
      <c r="G7" s="249" t="s">
        <v>825</v>
      </c>
      <c r="H7" s="249"/>
      <c r="I7" s="248" t="s">
        <v>270</v>
      </c>
      <c r="J7" s="248" t="s">
        <v>289</v>
      </c>
      <c r="K7" s="248" t="s">
        <v>909</v>
      </c>
      <c r="L7" s="248"/>
      <c r="M7" s="249" t="s">
        <v>486</v>
      </c>
      <c r="N7" s="249" t="s">
        <v>946</v>
      </c>
      <c r="O7" s="249"/>
      <c r="P7" s="249"/>
    </row>
    <row r="8" spans="1:24" ht="15" customHeight="1" x14ac:dyDescent="0.25">
      <c r="A8" s="249"/>
      <c r="B8" s="251"/>
      <c r="C8" s="248"/>
      <c r="D8" s="3"/>
      <c r="E8" s="248" t="s">
        <v>25</v>
      </c>
      <c r="F8" s="248"/>
      <c r="G8" s="248"/>
      <c r="H8" s="248"/>
      <c r="I8" s="248" t="s">
        <v>271</v>
      </c>
      <c r="J8" s="248" t="s">
        <v>284</v>
      </c>
      <c r="K8" s="248" t="s">
        <v>910</v>
      </c>
      <c r="L8" s="248"/>
      <c r="M8" s="249" t="s">
        <v>487</v>
      </c>
      <c r="N8" s="249" t="s">
        <v>945</v>
      </c>
      <c r="O8" s="249"/>
      <c r="P8" s="249"/>
    </row>
    <row r="9" spans="1:24" ht="15" customHeight="1" x14ac:dyDescent="0.25">
      <c r="A9" s="249"/>
      <c r="B9" s="251"/>
      <c r="C9" s="248"/>
      <c r="D9" s="3"/>
      <c r="E9" s="248" t="s">
        <v>34</v>
      </c>
      <c r="F9" s="249"/>
      <c r="G9" s="249"/>
      <c r="H9" s="249"/>
      <c r="I9" s="248" t="s">
        <v>272</v>
      </c>
      <c r="J9" s="249"/>
      <c r="K9" s="248" t="s">
        <v>911</v>
      </c>
      <c r="L9" s="248"/>
      <c r="M9" s="249" t="s">
        <v>488</v>
      </c>
      <c r="N9" s="249" t="s">
        <v>530</v>
      </c>
      <c r="O9" s="249"/>
      <c r="P9" s="249"/>
    </row>
    <row r="10" spans="1:24" ht="15" customHeight="1" x14ac:dyDescent="0.25">
      <c r="A10" s="249"/>
      <c r="B10" s="251"/>
      <c r="C10" s="248"/>
      <c r="D10" s="3"/>
      <c r="E10" s="248" t="s">
        <v>20</v>
      </c>
      <c r="F10" s="249"/>
      <c r="G10" s="249"/>
      <c r="H10" s="249"/>
      <c r="I10" s="248" t="s">
        <v>273</v>
      </c>
      <c r="J10" s="249"/>
      <c r="K10" s="248" t="s">
        <v>912</v>
      </c>
      <c r="L10" s="248"/>
      <c r="M10" s="249" t="s">
        <v>489</v>
      </c>
      <c r="N10" s="249" t="s">
        <v>531</v>
      </c>
      <c r="O10" s="249"/>
      <c r="P10" s="249"/>
    </row>
    <row r="11" spans="1:24" ht="15" customHeight="1" x14ac:dyDescent="0.25">
      <c r="A11" s="249"/>
      <c r="B11" s="251"/>
      <c r="C11" s="248"/>
      <c r="D11" s="3"/>
      <c r="E11" s="248" t="s">
        <v>82</v>
      </c>
      <c r="F11" s="249"/>
      <c r="G11" s="249"/>
      <c r="H11" s="249"/>
      <c r="I11" s="248" t="s">
        <v>274</v>
      </c>
      <c r="J11" s="249"/>
      <c r="K11" s="248" t="s">
        <v>913</v>
      </c>
      <c r="L11" s="248"/>
      <c r="M11" s="249" t="s">
        <v>490</v>
      </c>
      <c r="N11" s="249" t="s">
        <v>532</v>
      </c>
      <c r="O11" s="249"/>
      <c r="P11" s="249"/>
    </row>
    <row r="12" spans="1:24" ht="15" customHeight="1" x14ac:dyDescent="0.25">
      <c r="A12" s="249"/>
      <c r="B12" s="251"/>
      <c r="C12" s="248"/>
      <c r="D12" s="3"/>
      <c r="E12" s="248" t="s">
        <v>35</v>
      </c>
      <c r="F12" s="249"/>
      <c r="G12" s="249"/>
      <c r="H12" s="249"/>
      <c r="I12" s="248" t="s">
        <v>275</v>
      </c>
      <c r="J12" s="249"/>
      <c r="K12" s="248" t="s">
        <v>914</v>
      </c>
      <c r="L12" s="248"/>
      <c r="M12" s="249" t="s">
        <v>491</v>
      </c>
      <c r="N12" s="249" t="s">
        <v>533</v>
      </c>
      <c r="O12" s="249"/>
      <c r="P12" s="249"/>
    </row>
    <row r="13" spans="1:24" ht="15" customHeight="1" x14ac:dyDescent="0.25">
      <c r="A13" s="249"/>
      <c r="B13" s="251"/>
      <c r="C13" s="248"/>
      <c r="D13" s="3"/>
      <c r="E13" s="248" t="s">
        <v>83</v>
      </c>
      <c r="F13" s="249"/>
      <c r="G13" s="249"/>
      <c r="H13" s="249"/>
      <c r="I13" s="248" t="s">
        <v>276</v>
      </c>
      <c r="J13" s="249"/>
      <c r="K13" s="248" t="s">
        <v>915</v>
      </c>
      <c r="L13" s="248"/>
      <c r="M13" s="249" t="s">
        <v>492</v>
      </c>
      <c r="N13" s="249" t="s">
        <v>534</v>
      </c>
      <c r="O13" s="249"/>
      <c r="P13" s="249"/>
    </row>
    <row r="14" spans="1:24" ht="15" customHeight="1" x14ac:dyDescent="0.25">
      <c r="A14" s="249"/>
      <c r="B14" s="251"/>
      <c r="C14" s="248"/>
      <c r="D14" s="3"/>
      <c r="E14" s="248" t="s">
        <v>21</v>
      </c>
      <c r="F14" s="249"/>
      <c r="G14" s="249"/>
      <c r="H14" s="249"/>
      <c r="I14" s="248" t="s">
        <v>277</v>
      </c>
      <c r="J14" s="249"/>
      <c r="K14" s="248" t="s">
        <v>916</v>
      </c>
      <c r="L14" s="248"/>
      <c r="M14" s="249" t="s">
        <v>493</v>
      </c>
      <c r="N14" s="249" t="s">
        <v>535</v>
      </c>
      <c r="O14" s="249"/>
      <c r="P14" s="249"/>
    </row>
    <row r="15" spans="1:24" ht="15" customHeight="1" x14ac:dyDescent="0.25">
      <c r="A15" s="249"/>
      <c r="B15" s="251"/>
      <c r="C15" s="248"/>
      <c r="D15" s="3"/>
      <c r="E15" s="248" t="s">
        <v>7</v>
      </c>
      <c r="F15" s="249"/>
      <c r="G15" s="249"/>
      <c r="H15" s="249"/>
      <c r="I15" s="248" t="s">
        <v>278</v>
      </c>
      <c r="J15" s="249"/>
      <c r="K15" s="248" t="s">
        <v>917</v>
      </c>
      <c r="L15" s="248"/>
      <c r="M15" s="249" t="s">
        <v>494</v>
      </c>
      <c r="N15" s="249" t="s">
        <v>536</v>
      </c>
      <c r="O15" s="249"/>
      <c r="P15" s="249"/>
    </row>
    <row r="16" spans="1:24" ht="15" customHeight="1" x14ac:dyDescent="0.25">
      <c r="A16" s="249"/>
      <c r="B16" s="251"/>
      <c r="C16" s="248"/>
      <c r="D16" s="3"/>
      <c r="E16" s="248" t="s">
        <v>84</v>
      </c>
      <c r="F16" s="249"/>
      <c r="G16" s="249"/>
      <c r="H16" s="249"/>
      <c r="I16" s="248"/>
      <c r="J16" s="249"/>
      <c r="K16" s="248" t="s">
        <v>918</v>
      </c>
      <c r="L16" s="248"/>
      <c r="M16" s="249" t="s">
        <v>495</v>
      </c>
      <c r="N16" s="249" t="s">
        <v>537</v>
      </c>
      <c r="O16" s="249"/>
      <c r="P16" s="249"/>
    </row>
    <row r="17" spans="1:16" ht="15" customHeight="1" x14ac:dyDescent="0.25">
      <c r="A17" s="249"/>
      <c r="B17" s="251"/>
      <c r="C17" s="248"/>
      <c r="D17" s="3"/>
      <c r="E17" s="248" t="s">
        <v>85</v>
      </c>
      <c r="F17" s="249"/>
      <c r="G17" s="249"/>
      <c r="H17" s="249"/>
      <c r="I17" s="248"/>
      <c r="J17" s="249"/>
      <c r="K17" s="248" t="s">
        <v>919</v>
      </c>
      <c r="L17" s="248"/>
      <c r="M17" s="249" t="s">
        <v>496</v>
      </c>
      <c r="N17" s="249" t="s">
        <v>538</v>
      </c>
      <c r="O17" s="249"/>
      <c r="P17" s="249"/>
    </row>
    <row r="18" spans="1:16" ht="15" customHeight="1" x14ac:dyDescent="0.25">
      <c r="A18" s="249"/>
      <c r="B18" s="251"/>
      <c r="C18" s="248"/>
      <c r="D18" s="3"/>
      <c r="E18" s="248" t="s">
        <v>31</v>
      </c>
      <c r="F18" s="249"/>
      <c r="G18" s="249"/>
      <c r="H18" s="249"/>
      <c r="I18" s="248"/>
      <c r="J18" s="249"/>
      <c r="K18" s="248" t="s">
        <v>920</v>
      </c>
      <c r="L18" s="248"/>
      <c r="M18" s="249" t="s">
        <v>497</v>
      </c>
      <c r="N18" s="249" t="s">
        <v>944</v>
      </c>
      <c r="O18" s="249"/>
      <c r="P18" s="249"/>
    </row>
    <row r="19" spans="1:16" ht="15" customHeight="1" x14ac:dyDescent="0.25">
      <c r="A19" s="249"/>
      <c r="B19" s="251"/>
      <c r="C19" s="248"/>
      <c r="D19" s="3"/>
      <c r="E19" s="248" t="s">
        <v>19</v>
      </c>
      <c r="F19" s="249"/>
      <c r="G19" s="249"/>
      <c r="H19" s="249"/>
      <c r="I19" s="248"/>
      <c r="J19" s="249"/>
      <c r="K19" s="248" t="s">
        <v>921</v>
      </c>
      <c r="L19" s="248"/>
      <c r="M19" s="249" t="s">
        <v>498</v>
      </c>
      <c r="N19" s="249" t="s">
        <v>539</v>
      </c>
      <c r="O19" s="249"/>
      <c r="P19" s="249"/>
    </row>
    <row r="20" spans="1:16" ht="15" customHeight="1" x14ac:dyDescent="0.25">
      <c r="A20" s="249"/>
      <c r="B20" s="251"/>
      <c r="C20" s="248"/>
      <c r="D20" s="3"/>
      <c r="E20" s="248" t="s">
        <v>44</v>
      </c>
      <c r="F20" s="249"/>
      <c r="G20" s="249"/>
      <c r="H20" s="249"/>
      <c r="I20" s="248"/>
      <c r="J20" s="249"/>
      <c r="K20" s="248" t="s">
        <v>922</v>
      </c>
      <c r="L20" s="248"/>
      <c r="M20" s="249" t="s">
        <v>499</v>
      </c>
      <c r="N20" s="249" t="s">
        <v>540</v>
      </c>
      <c r="O20" s="249"/>
      <c r="P20" s="249"/>
    </row>
    <row r="21" spans="1:16" ht="15" customHeight="1" x14ac:dyDescent="0.25">
      <c r="A21" s="249"/>
      <c r="B21" s="251"/>
      <c r="C21" s="248"/>
      <c r="D21" s="3"/>
      <c r="E21" s="248" t="s">
        <v>46</v>
      </c>
      <c r="F21" s="249"/>
      <c r="G21" s="249"/>
      <c r="H21" s="249"/>
      <c r="I21" s="248"/>
      <c r="J21" s="249"/>
      <c r="K21" s="248" t="s">
        <v>923</v>
      </c>
      <c r="L21" s="248"/>
      <c r="M21" s="249" t="s">
        <v>500</v>
      </c>
      <c r="N21" s="249" t="s">
        <v>541</v>
      </c>
      <c r="O21" s="249"/>
      <c r="P21" s="249"/>
    </row>
    <row r="22" spans="1:16" ht="15" customHeight="1" x14ac:dyDescent="0.25">
      <c r="A22" s="249"/>
      <c r="B22" s="252"/>
      <c r="C22" s="249"/>
      <c r="D22" s="3"/>
      <c r="E22" s="248" t="s">
        <v>87</v>
      </c>
      <c r="F22" s="249"/>
      <c r="G22" s="249"/>
      <c r="H22" s="249"/>
      <c r="I22" s="249"/>
      <c r="J22" s="249"/>
      <c r="K22" s="248" t="s">
        <v>924</v>
      </c>
      <c r="L22" s="248"/>
      <c r="M22" s="249" t="s">
        <v>501</v>
      </c>
      <c r="N22" s="249" t="s">
        <v>542</v>
      </c>
      <c r="O22" s="249"/>
      <c r="P22" s="249"/>
    </row>
    <row r="23" spans="1:16" ht="15" customHeight="1" x14ac:dyDescent="0.25">
      <c r="A23" s="249"/>
      <c r="B23" s="246"/>
      <c r="C23" s="247"/>
      <c r="D23" s="3"/>
      <c r="E23" s="248" t="s">
        <v>28</v>
      </c>
      <c r="F23" s="249"/>
      <c r="G23" s="249"/>
      <c r="H23" s="249"/>
      <c r="I23" s="249"/>
      <c r="J23" s="249"/>
      <c r="K23" s="248" t="s">
        <v>925</v>
      </c>
      <c r="L23" s="248"/>
      <c r="M23" s="249" t="s">
        <v>502</v>
      </c>
      <c r="N23" s="249" t="s">
        <v>543</v>
      </c>
      <c r="O23" s="249"/>
      <c r="P23" s="249"/>
    </row>
    <row r="24" spans="1:16" ht="15" customHeight="1" x14ac:dyDescent="0.25">
      <c r="A24" s="249"/>
      <c r="B24" s="246"/>
      <c r="C24" s="247"/>
      <c r="D24" s="3"/>
      <c r="E24" s="248" t="s">
        <v>88</v>
      </c>
      <c r="F24" s="249"/>
      <c r="G24" s="249"/>
      <c r="H24" s="249"/>
      <c r="I24" s="249"/>
      <c r="J24" s="249"/>
      <c r="K24" s="248" t="s">
        <v>926</v>
      </c>
      <c r="L24" s="248"/>
      <c r="M24" s="249" t="s">
        <v>503</v>
      </c>
      <c r="N24" s="249" t="s">
        <v>544</v>
      </c>
      <c r="O24" s="249"/>
      <c r="P24" s="249"/>
    </row>
    <row r="25" spans="1:16" ht="15" customHeight="1" x14ac:dyDescent="0.25">
      <c r="A25" s="249"/>
      <c r="B25" s="246"/>
      <c r="C25" s="247"/>
      <c r="D25" s="3"/>
      <c r="E25" s="248" t="s">
        <v>45</v>
      </c>
      <c r="F25" s="249"/>
      <c r="G25" s="249"/>
      <c r="H25" s="249"/>
      <c r="I25" s="249"/>
      <c r="J25" s="249"/>
      <c r="K25" s="248" t="s">
        <v>927</v>
      </c>
      <c r="L25" s="248"/>
      <c r="M25" s="249" t="s">
        <v>504</v>
      </c>
      <c r="N25" s="249" t="s">
        <v>545</v>
      </c>
      <c r="O25" s="249"/>
      <c r="P25" s="249"/>
    </row>
    <row r="26" spans="1:16" ht="15" customHeight="1" x14ac:dyDescent="0.25">
      <c r="A26" s="249"/>
      <c r="B26" s="246"/>
      <c r="C26" s="247"/>
      <c r="D26" s="3"/>
      <c r="E26" s="248" t="s">
        <v>89</v>
      </c>
      <c r="F26" s="249"/>
      <c r="G26" s="249"/>
      <c r="H26" s="249"/>
      <c r="I26" s="249"/>
      <c r="J26" s="249"/>
      <c r="K26" s="248" t="s">
        <v>928</v>
      </c>
      <c r="L26" s="248"/>
      <c r="M26" s="249" t="s">
        <v>505</v>
      </c>
      <c r="N26" s="249" t="s">
        <v>546</v>
      </c>
      <c r="O26" s="249"/>
      <c r="P26" s="249"/>
    </row>
    <row r="27" spans="1:16" ht="15" customHeight="1" x14ac:dyDescent="0.25">
      <c r="A27" s="249"/>
      <c r="B27" s="246"/>
      <c r="C27" s="247"/>
      <c r="D27" s="3"/>
      <c r="E27" s="248" t="s">
        <v>32</v>
      </c>
      <c r="F27" s="249"/>
      <c r="G27" s="249"/>
      <c r="H27" s="249"/>
      <c r="I27" s="249"/>
      <c r="J27" s="249"/>
      <c r="K27" s="248" t="s">
        <v>929</v>
      </c>
      <c r="L27" s="248"/>
      <c r="M27" s="249" t="s">
        <v>506</v>
      </c>
      <c r="N27" s="249" t="s">
        <v>547</v>
      </c>
      <c r="O27" s="249"/>
      <c r="P27" s="249"/>
    </row>
    <row r="28" spans="1:16" ht="15" customHeight="1" x14ac:dyDescent="0.25">
      <c r="A28" s="249"/>
      <c r="B28" s="252"/>
      <c r="C28" s="249"/>
      <c r="D28" s="3"/>
      <c r="E28" s="248" t="s">
        <v>17</v>
      </c>
      <c r="F28" s="249"/>
      <c r="G28" s="249"/>
      <c r="H28" s="249"/>
      <c r="I28" s="249"/>
      <c r="J28" s="249"/>
      <c r="K28" s="248" t="s">
        <v>86</v>
      </c>
      <c r="L28" s="249"/>
      <c r="M28" s="249" t="s">
        <v>507</v>
      </c>
      <c r="N28" s="249" t="s">
        <v>548</v>
      </c>
      <c r="O28" s="249"/>
      <c r="P28" s="249"/>
    </row>
    <row r="29" spans="1:16" ht="15" customHeight="1" x14ac:dyDescent="0.25">
      <c r="A29" s="249"/>
      <c r="B29" s="252"/>
      <c r="C29" s="249"/>
      <c r="D29" s="3"/>
      <c r="E29" s="248" t="s">
        <v>23</v>
      </c>
      <c r="F29" s="249"/>
      <c r="G29" s="249"/>
      <c r="H29" s="249"/>
      <c r="I29" s="249"/>
      <c r="J29" s="249"/>
      <c r="K29" s="249"/>
      <c r="L29" s="249"/>
      <c r="M29" s="249" t="s">
        <v>508</v>
      </c>
      <c r="N29" s="249"/>
      <c r="O29" s="249"/>
      <c r="P29" s="249"/>
    </row>
    <row r="30" spans="1:16" ht="15" customHeight="1" x14ac:dyDescent="0.25">
      <c r="A30" s="249"/>
      <c r="B30" s="252"/>
      <c r="C30" s="249"/>
      <c r="D30" s="3"/>
      <c r="E30" s="248" t="s">
        <v>40</v>
      </c>
      <c r="F30" s="249"/>
      <c r="G30" s="249"/>
      <c r="H30" s="249"/>
      <c r="I30" s="249"/>
      <c r="J30" s="249"/>
      <c r="K30" s="249"/>
      <c r="L30" s="249"/>
      <c r="M30" s="249" t="s">
        <v>509</v>
      </c>
      <c r="N30" s="249"/>
      <c r="O30" s="249"/>
      <c r="P30" s="249"/>
    </row>
    <row r="31" spans="1:16" ht="15" customHeight="1" x14ac:dyDescent="0.25">
      <c r="A31" s="249"/>
      <c r="B31" s="252"/>
      <c r="C31" s="249"/>
      <c r="D31" s="3"/>
      <c r="E31" s="248" t="s">
        <v>43</v>
      </c>
      <c r="F31" s="249"/>
      <c r="G31" s="249"/>
      <c r="H31" s="249"/>
      <c r="I31" s="249"/>
      <c r="J31" s="249"/>
      <c r="K31" s="249"/>
      <c r="L31" s="249"/>
      <c r="M31" s="249"/>
      <c r="N31" s="249"/>
      <c r="O31" s="249"/>
      <c r="P31" s="249"/>
    </row>
    <row r="32" spans="1:16" ht="15" customHeight="1" x14ac:dyDescent="0.25">
      <c r="A32" s="249"/>
      <c r="B32" s="252"/>
      <c r="C32" s="249"/>
      <c r="D32" s="3"/>
      <c r="E32" s="248" t="s">
        <v>41</v>
      </c>
      <c r="F32" s="249"/>
      <c r="G32" s="249"/>
      <c r="H32" s="249"/>
      <c r="I32" s="249"/>
      <c r="J32" s="249"/>
      <c r="K32" s="249"/>
      <c r="L32" s="249"/>
      <c r="M32" s="249"/>
      <c r="N32" s="249"/>
      <c r="O32" s="249"/>
      <c r="P32" s="249"/>
    </row>
    <row r="33" spans="1:16" ht="15" customHeight="1" x14ac:dyDescent="0.25">
      <c r="A33" s="249"/>
      <c r="B33" s="252"/>
      <c r="C33" s="249"/>
      <c r="D33" s="3"/>
      <c r="E33" s="248" t="s">
        <v>48</v>
      </c>
      <c r="F33" s="249"/>
      <c r="G33" s="249"/>
      <c r="H33" s="249"/>
      <c r="I33" s="249"/>
      <c r="J33" s="249"/>
      <c r="K33" s="249"/>
      <c r="L33" s="249"/>
      <c r="M33" s="249"/>
      <c r="N33" s="249"/>
      <c r="O33" s="249"/>
      <c r="P33" s="249"/>
    </row>
    <row r="34" spans="1:16" ht="15" customHeight="1" x14ac:dyDescent="0.25">
      <c r="A34" s="249"/>
      <c r="B34" s="252"/>
      <c r="C34" s="249"/>
      <c r="D34" s="3"/>
      <c r="E34" s="248" t="s">
        <v>51</v>
      </c>
      <c r="F34" s="249"/>
      <c r="G34" s="249"/>
      <c r="H34" s="249"/>
      <c r="I34" s="249"/>
      <c r="J34" s="249"/>
      <c r="K34" s="249"/>
      <c r="L34" s="249"/>
      <c r="M34" s="249"/>
      <c r="N34" s="249"/>
      <c r="O34" s="249"/>
      <c r="P34" s="249"/>
    </row>
    <row r="35" spans="1:16" ht="15" customHeight="1" x14ac:dyDescent="0.25">
      <c r="A35" s="249"/>
      <c r="B35" s="252"/>
      <c r="C35" s="249"/>
      <c r="D35" s="3"/>
      <c r="E35" s="248" t="s">
        <v>47</v>
      </c>
      <c r="F35" s="249"/>
      <c r="G35" s="249"/>
      <c r="H35" s="249"/>
      <c r="I35" s="249"/>
      <c r="J35" s="249"/>
      <c r="K35" s="249"/>
      <c r="L35" s="249"/>
      <c r="M35" s="249"/>
      <c r="N35" s="249"/>
      <c r="O35" s="249"/>
      <c r="P35" s="249"/>
    </row>
    <row r="36" spans="1:16" ht="15" customHeight="1" x14ac:dyDescent="0.25">
      <c r="A36" s="249"/>
      <c r="B36" s="252"/>
      <c r="C36" s="249"/>
      <c r="D36" s="3"/>
      <c r="E36" s="248" t="s">
        <v>42</v>
      </c>
      <c r="F36" s="249"/>
      <c r="G36" s="249"/>
      <c r="H36" s="249"/>
      <c r="I36" s="249"/>
      <c r="J36" s="249"/>
      <c r="K36" s="249"/>
      <c r="L36" s="249"/>
      <c r="M36" s="249"/>
      <c r="N36" s="249"/>
      <c r="O36" s="249"/>
      <c r="P36" s="249"/>
    </row>
    <row r="37" spans="1:16" ht="12.5" x14ac:dyDescent="0.25">
      <c r="A37" s="249"/>
      <c r="B37" s="252"/>
      <c r="C37" s="249"/>
      <c r="D37" s="3"/>
      <c r="E37" s="248" t="s">
        <v>18</v>
      </c>
      <c r="F37" s="249"/>
      <c r="G37" s="249"/>
      <c r="H37" s="249"/>
      <c r="I37" s="249"/>
      <c r="J37" s="249"/>
      <c r="K37" s="249"/>
      <c r="L37" s="249"/>
      <c r="M37" s="249"/>
      <c r="N37" s="249"/>
      <c r="O37" s="249"/>
      <c r="P37" s="249"/>
    </row>
    <row r="38" spans="1:16" ht="12.5" x14ac:dyDescent="0.25">
      <c r="A38" s="249"/>
      <c r="B38" s="252"/>
      <c r="C38" s="249"/>
      <c r="D38" s="3"/>
      <c r="E38" s="248" t="s">
        <v>90</v>
      </c>
      <c r="F38" s="249"/>
      <c r="G38" s="249"/>
      <c r="H38" s="249"/>
      <c r="I38" s="249"/>
      <c r="J38" s="249"/>
      <c r="K38" s="249"/>
      <c r="L38" s="249"/>
      <c r="M38" s="249"/>
      <c r="N38" s="249"/>
      <c r="O38" s="249"/>
      <c r="P38" s="249"/>
    </row>
    <row r="39" spans="1:16" ht="12.5" x14ac:dyDescent="0.25">
      <c r="A39" s="249"/>
      <c r="B39" s="252"/>
      <c r="C39" s="249"/>
      <c r="D39" s="3"/>
      <c r="E39" s="248" t="s">
        <v>22</v>
      </c>
      <c r="F39" s="249"/>
      <c r="G39" s="249"/>
      <c r="H39" s="249"/>
      <c r="I39" s="249"/>
      <c r="J39" s="249"/>
      <c r="K39" s="249"/>
      <c r="L39" s="249"/>
      <c r="M39" s="249"/>
      <c r="N39" s="249"/>
      <c r="O39" s="249"/>
      <c r="P39" s="249"/>
    </row>
    <row r="40" spans="1:16" ht="12.5" x14ac:dyDescent="0.25">
      <c r="A40" s="249"/>
      <c r="B40" s="252"/>
      <c r="C40" s="249"/>
      <c r="D40" s="3"/>
      <c r="E40" s="248" t="s">
        <v>30</v>
      </c>
      <c r="F40" s="249"/>
      <c r="G40" s="249"/>
      <c r="H40" s="249"/>
      <c r="I40" s="249"/>
      <c r="J40" s="249"/>
      <c r="K40" s="249"/>
      <c r="L40" s="249"/>
      <c r="M40" s="249"/>
      <c r="N40" s="249"/>
      <c r="O40" s="249"/>
      <c r="P40" s="249"/>
    </row>
    <row r="41" spans="1:16" ht="12.5" x14ac:dyDescent="0.25">
      <c r="A41" s="249"/>
      <c r="B41" s="252"/>
      <c r="C41" s="249"/>
      <c r="D41" s="3"/>
      <c r="E41" s="248" t="s">
        <v>91</v>
      </c>
      <c r="F41" s="249"/>
      <c r="G41" s="249"/>
      <c r="H41" s="249"/>
      <c r="I41" s="249"/>
      <c r="J41" s="249"/>
      <c r="K41" s="249"/>
      <c r="L41" s="249"/>
      <c r="M41" s="249"/>
      <c r="N41" s="249"/>
      <c r="O41" s="249"/>
      <c r="P41" s="249"/>
    </row>
    <row r="42" spans="1:16" ht="12.5" x14ac:dyDescent="0.25">
      <c r="A42" s="249"/>
      <c r="B42" s="252"/>
      <c r="C42" s="249"/>
      <c r="D42" s="3"/>
      <c r="E42" s="248" t="s">
        <v>92</v>
      </c>
      <c r="F42" s="249"/>
      <c r="G42" s="249"/>
      <c r="H42" s="249"/>
      <c r="I42" s="249"/>
      <c r="J42" s="249"/>
      <c r="K42" s="249"/>
      <c r="L42" s="249"/>
      <c r="M42" s="249"/>
      <c r="N42" s="249"/>
      <c r="O42" s="249"/>
      <c r="P42" s="249"/>
    </row>
    <row r="43" spans="1:16" ht="12.5" x14ac:dyDescent="0.25">
      <c r="A43" s="249"/>
      <c r="B43" s="252"/>
      <c r="C43" s="249"/>
      <c r="D43" s="3"/>
      <c r="E43" s="248" t="s">
        <v>39</v>
      </c>
      <c r="F43" s="249"/>
      <c r="G43" s="249"/>
      <c r="H43" s="249"/>
      <c r="I43" s="249"/>
      <c r="J43" s="249"/>
      <c r="K43" s="249"/>
      <c r="L43" s="249"/>
      <c r="M43" s="249"/>
      <c r="N43" s="249"/>
      <c r="O43" s="249"/>
      <c r="P43" s="249"/>
    </row>
    <row r="44" spans="1:16" ht="12.5" x14ac:dyDescent="0.25">
      <c r="A44" s="249"/>
      <c r="B44" s="252"/>
      <c r="C44" s="249"/>
      <c r="D44" s="3"/>
      <c r="E44" s="248" t="s">
        <v>93</v>
      </c>
      <c r="F44" s="249"/>
      <c r="G44" s="249"/>
      <c r="H44" s="249"/>
      <c r="I44" s="249"/>
      <c r="J44" s="249"/>
      <c r="K44" s="249"/>
      <c r="L44" s="249"/>
      <c r="M44" s="249"/>
      <c r="N44" s="249"/>
      <c r="O44" s="249"/>
      <c r="P44" s="249"/>
    </row>
    <row r="45" spans="1:16" ht="12.5" x14ac:dyDescent="0.25">
      <c r="A45" s="249"/>
      <c r="B45" s="252"/>
      <c r="C45" s="249"/>
      <c r="D45" s="3"/>
      <c r="E45" s="248" t="s">
        <v>94</v>
      </c>
      <c r="F45" s="249"/>
      <c r="G45" s="249"/>
      <c r="H45" s="249"/>
      <c r="I45" s="249"/>
      <c r="J45" s="249"/>
      <c r="K45" s="249"/>
      <c r="L45" s="249"/>
      <c r="M45" s="249"/>
      <c r="N45" s="249"/>
      <c r="O45" s="249"/>
      <c r="P45" s="249"/>
    </row>
    <row r="46" spans="1:16" ht="12.5" x14ac:dyDescent="0.25">
      <c r="A46" s="249"/>
      <c r="B46" s="252"/>
      <c r="C46" s="249"/>
      <c r="D46" s="3"/>
      <c r="E46" s="248" t="s">
        <v>95</v>
      </c>
      <c r="F46" s="249"/>
      <c r="G46" s="249"/>
      <c r="H46" s="249"/>
      <c r="I46" s="249"/>
      <c r="J46" s="249"/>
      <c r="K46" s="249"/>
      <c r="L46" s="249"/>
      <c r="M46" s="249"/>
      <c r="N46" s="249"/>
      <c r="O46" s="249"/>
      <c r="P46" s="249"/>
    </row>
    <row r="47" spans="1:16" ht="12.5" x14ac:dyDescent="0.25">
      <c r="A47" s="249"/>
      <c r="B47" s="252"/>
      <c r="C47" s="249"/>
      <c r="D47" s="3"/>
      <c r="E47" s="248" t="s">
        <v>29</v>
      </c>
      <c r="F47" s="249"/>
      <c r="G47" s="249"/>
      <c r="H47" s="249"/>
      <c r="I47" s="249"/>
      <c r="J47" s="249"/>
      <c r="K47" s="249"/>
      <c r="L47" s="249"/>
      <c r="M47" s="249"/>
      <c r="N47" s="249"/>
      <c r="O47" s="249"/>
      <c r="P47" s="249"/>
    </row>
    <row r="48" spans="1:16" ht="12.5" x14ac:dyDescent="0.25">
      <c r="A48" s="249"/>
      <c r="B48" s="252"/>
      <c r="C48" s="249"/>
      <c r="D48" s="3"/>
      <c r="E48" s="248" t="s">
        <v>96</v>
      </c>
      <c r="F48" s="249"/>
      <c r="G48" s="249"/>
      <c r="H48" s="249"/>
      <c r="I48" s="249"/>
      <c r="J48" s="249"/>
      <c r="K48" s="249"/>
      <c r="L48" s="249"/>
      <c r="M48" s="249"/>
      <c r="N48" s="249"/>
      <c r="O48" s="249"/>
      <c r="P48" s="249"/>
    </row>
    <row r="49" spans="1:16" ht="12.5" x14ac:dyDescent="0.25">
      <c r="A49" s="249"/>
      <c r="B49" s="252"/>
      <c r="C49" s="249"/>
      <c r="D49" s="3"/>
      <c r="E49" s="248" t="s">
        <v>15</v>
      </c>
      <c r="F49" s="249"/>
      <c r="G49" s="249"/>
      <c r="H49" s="249"/>
      <c r="I49" s="249"/>
      <c r="J49" s="249"/>
      <c r="K49" s="249"/>
      <c r="L49" s="249"/>
      <c r="M49" s="249"/>
      <c r="N49" s="249"/>
      <c r="O49" s="249"/>
      <c r="P49" s="249"/>
    </row>
    <row r="50" spans="1:16" ht="12.5" x14ac:dyDescent="0.25">
      <c r="A50" s="249"/>
      <c r="B50" s="252"/>
      <c r="C50" s="249"/>
      <c r="D50" s="3"/>
      <c r="E50" s="248" t="s">
        <v>50</v>
      </c>
      <c r="F50" s="249"/>
      <c r="G50" s="249"/>
      <c r="H50" s="249"/>
      <c r="I50" s="249"/>
      <c r="J50" s="249"/>
      <c r="K50" s="249"/>
      <c r="L50" s="249"/>
      <c r="M50" s="249"/>
      <c r="N50" s="249"/>
      <c r="O50" s="249"/>
      <c r="P50" s="249"/>
    </row>
    <row r="51" spans="1:16" ht="12.5" x14ac:dyDescent="0.25">
      <c r="A51" s="249"/>
      <c r="B51" s="252"/>
      <c r="C51" s="249"/>
      <c r="D51" s="3"/>
      <c r="E51" s="248" t="s">
        <v>97</v>
      </c>
      <c r="F51" s="249"/>
      <c r="G51" s="249"/>
      <c r="H51" s="249"/>
      <c r="I51" s="249"/>
      <c r="J51" s="249"/>
      <c r="K51" s="249"/>
      <c r="L51" s="249"/>
      <c r="M51" s="249"/>
      <c r="N51" s="249"/>
      <c r="O51" s="249"/>
      <c r="P51" s="249"/>
    </row>
    <row r="52" spans="1:16" ht="12.5" x14ac:dyDescent="0.25">
      <c r="A52" s="249"/>
      <c r="B52" s="252"/>
      <c r="C52" s="249"/>
      <c r="D52" s="3"/>
      <c r="E52" s="248" t="s">
        <v>24</v>
      </c>
      <c r="F52" s="249"/>
      <c r="G52" s="249"/>
      <c r="H52" s="249"/>
      <c r="I52" s="249"/>
      <c r="J52" s="249"/>
      <c r="K52" s="249"/>
      <c r="L52" s="249"/>
      <c r="M52" s="249"/>
      <c r="N52" s="249"/>
      <c r="O52" s="249"/>
      <c r="P52" s="249"/>
    </row>
    <row r="53" spans="1:16" ht="12.5" x14ac:dyDescent="0.25">
      <c r="A53" s="249"/>
      <c r="B53" s="252"/>
      <c r="C53" s="249"/>
      <c r="D53" s="3"/>
      <c r="E53" s="248" t="s">
        <v>26</v>
      </c>
      <c r="F53" s="249"/>
      <c r="G53" s="249"/>
      <c r="H53" s="249"/>
      <c r="I53" s="249"/>
      <c r="J53" s="249"/>
      <c r="K53" s="249"/>
      <c r="L53" s="249"/>
      <c r="M53" s="249"/>
      <c r="N53" s="249"/>
      <c r="O53" s="249"/>
      <c r="P53" s="249"/>
    </row>
    <row r="54" spans="1:16" ht="12.5" x14ac:dyDescent="0.25">
      <c r="A54" s="249"/>
      <c r="B54" s="252"/>
      <c r="C54" s="249"/>
      <c r="D54" s="3"/>
      <c r="E54" s="248" t="s">
        <v>33</v>
      </c>
      <c r="F54" s="249"/>
      <c r="G54" s="249"/>
      <c r="H54" s="249"/>
      <c r="I54" s="249"/>
      <c r="J54" s="249"/>
      <c r="K54" s="249"/>
      <c r="L54" s="249"/>
      <c r="M54" s="249"/>
      <c r="N54" s="249"/>
      <c r="O54" s="249"/>
      <c r="P54" s="249"/>
    </row>
    <row r="55" spans="1:16" ht="12.5" x14ac:dyDescent="0.25">
      <c r="A55" s="249"/>
      <c r="B55" s="252"/>
      <c r="C55" s="249"/>
      <c r="D55" s="3"/>
      <c r="E55" s="248" t="s">
        <v>98</v>
      </c>
      <c r="F55" s="249"/>
      <c r="G55" s="249"/>
      <c r="H55" s="249"/>
      <c r="I55" s="249"/>
      <c r="J55" s="249"/>
      <c r="K55" s="249"/>
      <c r="L55" s="249"/>
      <c r="M55" s="249"/>
      <c r="N55" s="249"/>
      <c r="O55" s="249"/>
      <c r="P55" s="249"/>
    </row>
    <row r="56" spans="1:16" ht="12.5" x14ac:dyDescent="0.25">
      <c r="A56" s="249"/>
      <c r="B56" s="252"/>
      <c r="C56" s="249"/>
      <c r="D56" s="3"/>
      <c r="E56" s="248" t="s">
        <v>27</v>
      </c>
      <c r="F56" s="249"/>
      <c r="G56" s="249"/>
      <c r="H56" s="249"/>
      <c r="I56" s="249"/>
      <c r="J56" s="249"/>
      <c r="K56" s="249"/>
      <c r="L56" s="249"/>
      <c r="M56" s="249"/>
      <c r="N56" s="249"/>
      <c r="O56" s="249"/>
      <c r="P56" s="249"/>
    </row>
    <row r="57" spans="1:16" ht="12.5" x14ac:dyDescent="0.25">
      <c r="A57" s="249"/>
      <c r="B57" s="252"/>
      <c r="C57" s="249"/>
      <c r="D57" s="3"/>
      <c r="E57" s="248" t="s">
        <v>99</v>
      </c>
      <c r="F57" s="249"/>
      <c r="G57" s="249"/>
      <c r="H57" s="249"/>
      <c r="I57" s="249"/>
      <c r="J57" s="249"/>
      <c r="K57" s="249"/>
      <c r="L57" s="249"/>
      <c r="M57" s="249"/>
      <c r="N57" s="249"/>
      <c r="O57" s="249"/>
      <c r="P57" s="249"/>
    </row>
    <row r="58" spans="1:16" ht="12.5" x14ac:dyDescent="0.25">
      <c r="A58" s="249"/>
      <c r="B58" s="252"/>
      <c r="C58" s="249"/>
      <c r="D58" s="3"/>
      <c r="E58" s="248" t="s">
        <v>36</v>
      </c>
      <c r="F58" s="249"/>
      <c r="G58" s="249"/>
      <c r="H58" s="249"/>
      <c r="I58" s="249"/>
      <c r="J58" s="249"/>
      <c r="K58" s="249"/>
      <c r="L58" s="249"/>
      <c r="M58" s="249"/>
      <c r="N58" s="249"/>
      <c r="O58" s="249"/>
      <c r="P58" s="249"/>
    </row>
    <row r="59" spans="1:16" ht="12.5" x14ac:dyDescent="0.25">
      <c r="A59" s="249"/>
      <c r="B59" s="252"/>
      <c r="C59" s="249"/>
      <c r="D59" s="3"/>
      <c r="E59" s="248" t="s">
        <v>100</v>
      </c>
      <c r="F59" s="249"/>
      <c r="G59" s="249"/>
      <c r="H59" s="249"/>
      <c r="I59" s="249"/>
      <c r="J59" s="249"/>
      <c r="K59" s="249"/>
      <c r="L59" s="249"/>
      <c r="M59" s="249"/>
      <c r="N59" s="249"/>
      <c r="O59" s="249"/>
      <c r="P59" s="249"/>
    </row>
    <row r="60" spans="1:16" ht="12.5" x14ac:dyDescent="0.25">
      <c r="A60" s="249"/>
      <c r="B60" s="252"/>
      <c r="C60" s="249"/>
      <c r="D60" s="3"/>
      <c r="E60" s="248" t="s">
        <v>37</v>
      </c>
      <c r="F60" s="249"/>
      <c r="G60" s="249"/>
      <c r="H60" s="249"/>
      <c r="I60" s="249"/>
      <c r="J60" s="249"/>
      <c r="K60" s="249"/>
      <c r="L60" s="249"/>
      <c r="M60" s="249"/>
      <c r="N60" s="249"/>
      <c r="O60" s="249"/>
      <c r="P60" s="249"/>
    </row>
    <row r="61" spans="1:16" ht="12.5" x14ac:dyDescent="0.25">
      <c r="A61" s="249"/>
      <c r="B61" s="252"/>
      <c r="C61" s="249"/>
      <c r="D61" s="3"/>
      <c r="E61" s="248" t="s">
        <v>101</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V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4" ht="51.5" customHeight="1" x14ac:dyDescent="0.3">
      <c r="A1" s="7" t="s">
        <v>350</v>
      </c>
      <c r="B1" s="37" t="s">
        <v>1009</v>
      </c>
      <c r="C1" s="8" t="s">
        <v>1008</v>
      </c>
      <c r="D1" s="7" t="s">
        <v>351</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4" ht="13" x14ac:dyDescent="0.3">
      <c r="A2" s="7" t="s">
        <v>352</v>
      </c>
      <c r="B2" s="9" t="s">
        <v>353</v>
      </c>
      <c r="C2" s="7" t="s">
        <v>354</v>
      </c>
      <c r="D2" s="10" t="s">
        <v>355</v>
      </c>
      <c r="E2" s="10" t="s">
        <v>356</v>
      </c>
      <c r="F2" s="10" t="s">
        <v>357</v>
      </c>
      <c r="G2" s="10" t="s">
        <v>358</v>
      </c>
      <c r="H2" s="10" t="s">
        <v>359</v>
      </c>
      <c r="I2" s="10" t="s">
        <v>360</v>
      </c>
      <c r="J2" s="10" t="s">
        <v>361</v>
      </c>
      <c r="K2" s="10" t="s">
        <v>362</v>
      </c>
      <c r="L2" s="10" t="s">
        <v>363</v>
      </c>
      <c r="M2" s="10" t="s">
        <v>364</v>
      </c>
      <c r="N2" s="10" t="s">
        <v>365</v>
      </c>
      <c r="O2" s="10" t="s">
        <v>366</v>
      </c>
      <c r="P2" s="10" t="s">
        <v>367</v>
      </c>
      <c r="Q2" s="10" t="s">
        <v>368</v>
      </c>
      <c r="R2" s="10" t="s">
        <v>369</v>
      </c>
      <c r="S2" s="10" t="s">
        <v>370</v>
      </c>
      <c r="T2" s="10" t="s">
        <v>371</v>
      </c>
      <c r="U2" s="10" t="s">
        <v>372</v>
      </c>
      <c r="V2" s="10" t="s">
        <v>373</v>
      </c>
      <c r="W2" s="10" t="s">
        <v>374</v>
      </c>
      <c r="X2" s="10" t="s">
        <v>375</v>
      </c>
      <c r="Y2" s="10" t="s">
        <v>376</v>
      </c>
      <c r="Z2" s="10" t="s">
        <v>377</v>
      </c>
      <c r="AA2" s="10" t="s">
        <v>378</v>
      </c>
      <c r="AB2" s="10" t="s">
        <v>379</v>
      </c>
      <c r="AC2" s="10" t="s">
        <v>380</v>
      </c>
      <c r="AD2" s="10" t="s">
        <v>381</v>
      </c>
      <c r="AE2" s="10" t="s">
        <v>382</v>
      </c>
      <c r="AF2" s="10" t="s">
        <v>383</v>
      </c>
      <c r="AG2" s="10" t="s">
        <v>384</v>
      </c>
      <c r="AH2" s="10" t="s">
        <v>385</v>
      </c>
      <c r="AI2" s="10" t="s">
        <v>386</v>
      </c>
      <c r="AJ2" s="10" t="s">
        <v>387</v>
      </c>
      <c r="AK2" s="10" t="s">
        <v>388</v>
      </c>
      <c r="AL2" s="10" t="s">
        <v>389</v>
      </c>
      <c r="AM2" s="10" t="s">
        <v>390</v>
      </c>
      <c r="AN2" s="10" t="s">
        <v>76</v>
      </c>
      <c r="AO2" s="10" t="s">
        <v>52</v>
      </c>
      <c r="AP2" s="10" t="s">
        <v>679</v>
      </c>
      <c r="AQ2" s="10" t="s">
        <v>680</v>
      </c>
      <c r="AR2" s="10" t="s">
        <v>681</v>
      </c>
      <c r="AS2" s="10" t="s">
        <v>682</v>
      </c>
      <c r="AT2" s="10" t="s">
        <v>683</v>
      </c>
      <c r="AU2" s="10" t="s">
        <v>38</v>
      </c>
      <c r="AV2" s="10" t="s">
        <v>80</v>
      </c>
      <c r="AW2" s="10" t="s">
        <v>684</v>
      </c>
      <c r="AX2" s="10" t="s">
        <v>685</v>
      </c>
      <c r="AY2" s="10" t="s">
        <v>776</v>
      </c>
      <c r="AZ2" s="10" t="s">
        <v>777</v>
      </c>
      <c r="BA2" s="10" t="s">
        <v>778</v>
      </c>
      <c r="BB2" s="10" t="s">
        <v>779</v>
      </c>
      <c r="BC2" s="10" t="s">
        <v>49</v>
      </c>
      <c r="BD2" s="10" t="s">
        <v>780</v>
      </c>
      <c r="BE2" s="10" t="s">
        <v>781</v>
      </c>
      <c r="BF2" s="10" t="s">
        <v>782</v>
      </c>
      <c r="BG2" s="10" t="s">
        <v>834</v>
      </c>
      <c r="BH2" s="10" t="s">
        <v>894</v>
      </c>
      <c r="BI2" s="10" t="s">
        <v>895</v>
      </c>
      <c r="BJ2" s="10" t="s">
        <v>896</v>
      </c>
      <c r="BK2" s="10" t="s">
        <v>897</v>
      </c>
      <c r="BL2" s="10" t="s">
        <v>898</v>
      </c>
      <c r="BM2" s="10" t="s">
        <v>899</v>
      </c>
      <c r="BN2" s="10" t="s">
        <v>900</v>
      </c>
      <c r="BO2" s="10" t="s">
        <v>901</v>
      </c>
      <c r="BP2" s="10" t="s">
        <v>902</v>
      </c>
      <c r="BQ2" s="10" t="s">
        <v>903</v>
      </c>
      <c r="BR2" s="10" t="s">
        <v>904</v>
      </c>
      <c r="BS2" s="10" t="s">
        <v>971</v>
      </c>
      <c r="BT2" s="10" t="s">
        <v>972</v>
      </c>
      <c r="BU2" s="10" t="s">
        <v>1000</v>
      </c>
      <c r="BV2" s="10" t="s">
        <v>1001</v>
      </c>
    </row>
    <row r="3" spans="1:74" x14ac:dyDescent="0.25">
      <c r="A3" s="4" t="s">
        <v>320</v>
      </c>
      <c r="B3" s="11" t="s">
        <v>297</v>
      </c>
      <c r="C3">
        <v>3</v>
      </c>
      <c r="D3" s="12"/>
      <c r="E3" s="13"/>
      <c r="F3" s="13" t="s">
        <v>391</v>
      </c>
      <c r="G3" s="13" t="s">
        <v>391</v>
      </c>
      <c r="H3" s="13" t="s">
        <v>391</v>
      </c>
      <c r="I3" s="13" t="s">
        <v>391</v>
      </c>
      <c r="J3" s="13" t="s">
        <v>391</v>
      </c>
      <c r="K3" s="13" t="s">
        <v>391</v>
      </c>
      <c r="L3" s="13" t="s">
        <v>391</v>
      </c>
      <c r="M3" s="13" t="s">
        <v>391</v>
      </c>
      <c r="N3" s="13" t="s">
        <v>391</v>
      </c>
      <c r="O3" s="13" t="s">
        <v>391</v>
      </c>
      <c r="P3" s="13" t="s">
        <v>391</v>
      </c>
      <c r="Q3" s="12" t="s">
        <v>391</v>
      </c>
      <c r="R3" s="12" t="s">
        <v>391</v>
      </c>
      <c r="S3" s="12" t="s">
        <v>391</v>
      </c>
      <c r="T3" s="12" t="s">
        <v>391</v>
      </c>
      <c r="U3" s="12" t="s">
        <v>391</v>
      </c>
      <c r="V3" s="12" t="s">
        <v>391</v>
      </c>
      <c r="W3" s="12" t="s">
        <v>391</v>
      </c>
      <c r="X3" s="12" t="s">
        <v>391</v>
      </c>
      <c r="Y3" s="12"/>
      <c r="Z3" s="12"/>
      <c r="AA3" s="12"/>
      <c r="AB3" s="12"/>
      <c r="AC3" s="12" t="s">
        <v>391</v>
      </c>
      <c r="AD3" s="12" t="s">
        <v>391</v>
      </c>
      <c r="AE3" s="12" t="s">
        <v>391</v>
      </c>
      <c r="AF3" s="12" t="s">
        <v>391</v>
      </c>
      <c r="AG3" s="12" t="s">
        <v>391</v>
      </c>
      <c r="AH3" s="12" t="s">
        <v>391</v>
      </c>
      <c r="AI3" s="12" t="s">
        <v>391</v>
      </c>
      <c r="AJ3" s="12" t="s">
        <v>391</v>
      </c>
      <c r="AK3" s="12" t="s">
        <v>391</v>
      </c>
      <c r="AL3" s="12" t="s">
        <v>391</v>
      </c>
      <c r="AM3" s="12" t="s">
        <v>391</v>
      </c>
      <c r="AN3" s="12" t="s">
        <v>391</v>
      </c>
      <c r="AO3" s="12" t="s">
        <v>391</v>
      </c>
      <c r="AP3" s="12" t="s">
        <v>391</v>
      </c>
      <c r="AQ3" s="12" t="s">
        <v>391</v>
      </c>
      <c r="AR3" s="12" t="s">
        <v>391</v>
      </c>
      <c r="AS3" s="12" t="s">
        <v>391</v>
      </c>
      <c r="AT3" s="12" t="s">
        <v>391</v>
      </c>
      <c r="AU3" s="12" t="s">
        <v>391</v>
      </c>
      <c r="AV3" s="12"/>
      <c r="AW3" s="12"/>
      <c r="AX3" s="12"/>
      <c r="AY3" s="13" t="s">
        <v>391</v>
      </c>
      <c r="AZ3" s="12"/>
      <c r="BA3" s="12"/>
      <c r="BB3" s="12"/>
      <c r="BC3" s="12"/>
      <c r="BD3" s="12"/>
      <c r="BE3" s="12"/>
      <c r="BF3" s="12"/>
      <c r="BG3" s="12"/>
      <c r="BH3" s="12"/>
      <c r="BI3" s="12"/>
      <c r="BJ3" s="12"/>
      <c r="BK3" s="12"/>
      <c r="BL3" s="12"/>
      <c r="BM3" s="12"/>
      <c r="BN3" s="12"/>
      <c r="BO3" s="12"/>
      <c r="BP3" s="12"/>
      <c r="BQ3" s="12"/>
      <c r="BR3" s="12"/>
      <c r="BS3" s="12"/>
      <c r="BT3" s="12"/>
      <c r="BU3" s="12"/>
    </row>
    <row r="4" spans="1:74" x14ac:dyDescent="0.25">
      <c r="A4" s="4" t="s">
        <v>321</v>
      </c>
      <c r="B4" s="11" t="s">
        <v>297</v>
      </c>
      <c r="C4">
        <v>3</v>
      </c>
      <c r="D4" s="12"/>
      <c r="E4" s="13"/>
      <c r="F4" s="13" t="s">
        <v>391</v>
      </c>
      <c r="G4" s="13" t="s">
        <v>391</v>
      </c>
      <c r="H4" s="13" t="s">
        <v>391</v>
      </c>
      <c r="I4" s="13" t="s">
        <v>391</v>
      </c>
      <c r="J4" s="13" t="s">
        <v>391</v>
      </c>
      <c r="K4" s="13" t="s">
        <v>391</v>
      </c>
      <c r="L4" s="13" t="s">
        <v>391</v>
      </c>
      <c r="M4" s="13" t="s">
        <v>391</v>
      </c>
      <c r="N4" s="13" t="s">
        <v>391</v>
      </c>
      <c r="O4" s="13" t="s">
        <v>391</v>
      </c>
      <c r="P4" s="13" t="s">
        <v>391</v>
      </c>
      <c r="Q4" s="12" t="s">
        <v>391</v>
      </c>
      <c r="R4" s="12" t="s">
        <v>391</v>
      </c>
      <c r="S4" s="12" t="s">
        <v>391</v>
      </c>
      <c r="T4" s="12" t="s">
        <v>391</v>
      </c>
      <c r="U4" s="12" t="s">
        <v>391</v>
      </c>
      <c r="V4" s="12" t="s">
        <v>391</v>
      </c>
      <c r="W4" s="12" t="s">
        <v>391</v>
      </c>
      <c r="X4" s="12" t="s">
        <v>391</v>
      </c>
      <c r="Y4" s="12"/>
      <c r="Z4" s="12"/>
      <c r="AA4" s="12"/>
      <c r="AB4" s="12"/>
      <c r="AC4" s="12" t="s">
        <v>391</v>
      </c>
      <c r="AD4" s="12" t="s">
        <v>391</v>
      </c>
      <c r="AE4" s="12" t="s">
        <v>391</v>
      </c>
      <c r="AF4" s="12" t="s">
        <v>391</v>
      </c>
      <c r="AG4" s="12" t="s">
        <v>391</v>
      </c>
      <c r="AH4" s="12" t="s">
        <v>391</v>
      </c>
      <c r="AI4" s="12" t="s">
        <v>391</v>
      </c>
      <c r="AJ4" s="12" t="s">
        <v>391</v>
      </c>
      <c r="AK4" s="12" t="s">
        <v>391</v>
      </c>
      <c r="AL4" s="12" t="s">
        <v>391</v>
      </c>
      <c r="AM4" s="12" t="s">
        <v>391</v>
      </c>
      <c r="AN4" s="12" t="s">
        <v>391</v>
      </c>
      <c r="AO4" s="12" t="s">
        <v>391</v>
      </c>
      <c r="AP4" s="12" t="s">
        <v>391</v>
      </c>
      <c r="AQ4" s="12" t="s">
        <v>391</v>
      </c>
      <c r="AR4" s="12" t="s">
        <v>391</v>
      </c>
      <c r="AS4" s="12" t="s">
        <v>391</v>
      </c>
      <c r="AT4" s="12" t="s">
        <v>391</v>
      </c>
      <c r="AU4" s="12" t="s">
        <v>391</v>
      </c>
      <c r="AV4" s="12"/>
      <c r="AW4" s="12"/>
      <c r="AX4" s="12"/>
      <c r="AY4" s="13" t="s">
        <v>391</v>
      </c>
      <c r="AZ4" s="12"/>
      <c r="BA4" s="12"/>
      <c r="BB4" s="12"/>
      <c r="BC4" s="12"/>
      <c r="BD4" s="12"/>
      <c r="BE4" s="12"/>
      <c r="BF4" s="12"/>
      <c r="BG4" s="12"/>
      <c r="BH4" s="12"/>
      <c r="BI4" s="12"/>
      <c r="BJ4" s="12"/>
      <c r="BK4" s="12"/>
      <c r="BL4" s="12"/>
      <c r="BM4" s="12"/>
      <c r="BN4" s="12"/>
      <c r="BO4" s="12"/>
      <c r="BP4" s="12"/>
      <c r="BQ4" s="12"/>
      <c r="BR4" s="12"/>
      <c r="BS4" s="12"/>
      <c r="BT4" s="12"/>
      <c r="BU4" s="12"/>
    </row>
    <row r="5" spans="1:74" x14ac:dyDescent="0.25">
      <c r="A5" s="3" t="s">
        <v>322</v>
      </c>
      <c r="B5" s="11" t="s">
        <v>297</v>
      </c>
      <c r="C5">
        <v>3</v>
      </c>
      <c r="D5" s="12"/>
      <c r="E5" s="13"/>
      <c r="F5" s="13" t="s">
        <v>391</v>
      </c>
      <c r="G5" s="13" t="s">
        <v>391</v>
      </c>
      <c r="H5" s="13" t="s">
        <v>391</v>
      </c>
      <c r="I5" s="13" t="s">
        <v>391</v>
      </c>
      <c r="J5" s="13" t="s">
        <v>391</v>
      </c>
      <c r="K5" s="13" t="s">
        <v>391</v>
      </c>
      <c r="L5" s="13" t="s">
        <v>391</v>
      </c>
      <c r="M5" s="13" t="s">
        <v>391</v>
      </c>
      <c r="N5" s="13" t="s">
        <v>391</v>
      </c>
      <c r="O5" s="13" t="s">
        <v>391</v>
      </c>
      <c r="P5" s="13" t="s">
        <v>391</v>
      </c>
      <c r="Q5" s="12" t="s">
        <v>391</v>
      </c>
      <c r="R5" s="12" t="s">
        <v>391</v>
      </c>
      <c r="S5" s="12" t="s">
        <v>391</v>
      </c>
      <c r="T5" s="12" t="s">
        <v>391</v>
      </c>
      <c r="U5" s="12" t="s">
        <v>391</v>
      </c>
      <c r="V5" s="12" t="s">
        <v>391</v>
      </c>
      <c r="W5" s="12" t="s">
        <v>391</v>
      </c>
      <c r="X5" s="12" t="s">
        <v>391</v>
      </c>
      <c r="Y5" s="12"/>
      <c r="Z5" s="12"/>
      <c r="AA5" s="12"/>
      <c r="AB5" s="12"/>
      <c r="AC5" s="12" t="s">
        <v>391</v>
      </c>
      <c r="AD5" s="12" t="s">
        <v>391</v>
      </c>
      <c r="AE5" s="12" t="s">
        <v>391</v>
      </c>
      <c r="AF5" s="12" t="s">
        <v>391</v>
      </c>
      <c r="AG5" s="12" t="s">
        <v>391</v>
      </c>
      <c r="AH5" s="12" t="s">
        <v>391</v>
      </c>
      <c r="AI5" s="12" t="s">
        <v>391</v>
      </c>
      <c r="AJ5" s="12" t="s">
        <v>391</v>
      </c>
      <c r="AK5" s="12" t="s">
        <v>391</v>
      </c>
      <c r="AL5" s="12" t="s">
        <v>391</v>
      </c>
      <c r="AM5" s="12" t="s">
        <v>391</v>
      </c>
      <c r="AN5" s="12" t="s">
        <v>391</v>
      </c>
      <c r="AO5" s="12" t="s">
        <v>391</v>
      </c>
      <c r="AP5" s="12" t="s">
        <v>391</v>
      </c>
      <c r="AQ5" s="12" t="s">
        <v>391</v>
      </c>
      <c r="AR5" s="12" t="s">
        <v>391</v>
      </c>
      <c r="AS5" s="12" t="s">
        <v>391</v>
      </c>
      <c r="AT5" s="12" t="s">
        <v>391</v>
      </c>
      <c r="AU5" s="12" t="s">
        <v>391</v>
      </c>
      <c r="AV5" s="12"/>
      <c r="AW5" s="12"/>
      <c r="AX5" s="12"/>
      <c r="AY5" s="13" t="s">
        <v>391</v>
      </c>
      <c r="AZ5" s="12"/>
      <c r="BA5" s="12"/>
      <c r="BB5" s="12"/>
      <c r="BC5" s="12"/>
      <c r="BD5" s="12"/>
      <c r="BE5" s="12"/>
      <c r="BF5" s="12"/>
      <c r="BG5" s="12"/>
      <c r="BH5" s="12"/>
      <c r="BI5" s="12"/>
      <c r="BJ5" s="12"/>
      <c r="BK5" s="12"/>
      <c r="BL5" s="12"/>
      <c r="BM5" s="12"/>
      <c r="BN5" s="12"/>
      <c r="BO5" s="12"/>
      <c r="BP5" s="12"/>
      <c r="BQ5" s="12"/>
      <c r="BR5" s="12"/>
      <c r="BS5" s="12"/>
      <c r="BT5" s="12"/>
      <c r="BU5" s="12"/>
    </row>
    <row r="6" spans="1:74" ht="28.5" customHeight="1" x14ac:dyDescent="0.25">
      <c r="A6" s="3" t="s">
        <v>935</v>
      </c>
      <c r="B6" s="11" t="s">
        <v>297</v>
      </c>
      <c r="C6">
        <v>3</v>
      </c>
      <c r="D6" s="12"/>
      <c r="E6" s="13"/>
      <c r="F6" s="13" t="s">
        <v>391</v>
      </c>
      <c r="G6" s="13" t="s">
        <v>391</v>
      </c>
      <c r="H6" s="13" t="s">
        <v>391</v>
      </c>
      <c r="I6" s="13" t="s">
        <v>391</v>
      </c>
      <c r="J6" s="13" t="s">
        <v>391</v>
      </c>
      <c r="K6" s="13" t="s">
        <v>391</v>
      </c>
      <c r="L6" s="13" t="s">
        <v>391</v>
      </c>
      <c r="M6" s="13" t="s">
        <v>391</v>
      </c>
      <c r="N6" s="13" t="s">
        <v>391</v>
      </c>
      <c r="O6" s="13" t="s">
        <v>391</v>
      </c>
      <c r="P6" s="13" t="s">
        <v>391</v>
      </c>
      <c r="Q6" s="12" t="s">
        <v>391</v>
      </c>
      <c r="R6" s="12" t="s">
        <v>391</v>
      </c>
      <c r="S6" s="12" t="s">
        <v>391</v>
      </c>
      <c r="T6" s="12" t="s">
        <v>391</v>
      </c>
      <c r="U6" s="12" t="s">
        <v>391</v>
      </c>
      <c r="V6" s="12" t="s">
        <v>391</v>
      </c>
      <c r="W6" s="12" t="s">
        <v>391</v>
      </c>
      <c r="X6" s="12" t="s">
        <v>391</v>
      </c>
      <c r="Y6" s="12" t="s">
        <v>391</v>
      </c>
      <c r="Z6" s="12" t="s">
        <v>391</v>
      </c>
      <c r="AA6" s="12"/>
      <c r="AB6" s="12"/>
      <c r="AC6" s="12" t="s">
        <v>391</v>
      </c>
      <c r="AD6" s="12" t="s">
        <v>391</v>
      </c>
      <c r="AE6" s="12" t="s">
        <v>391</v>
      </c>
      <c r="AF6" s="12" t="s">
        <v>391</v>
      </c>
      <c r="AG6" s="12" t="s">
        <v>391</v>
      </c>
      <c r="AH6" s="12" t="s">
        <v>391</v>
      </c>
      <c r="AI6" s="12" t="s">
        <v>391</v>
      </c>
      <c r="AJ6" s="12" t="s">
        <v>391</v>
      </c>
      <c r="AK6" s="12" t="s">
        <v>391</v>
      </c>
      <c r="AL6" s="12" t="s">
        <v>391</v>
      </c>
      <c r="AM6" s="12" t="s">
        <v>391</v>
      </c>
      <c r="AN6" s="12" t="s">
        <v>391</v>
      </c>
      <c r="AO6" s="12" t="s">
        <v>391</v>
      </c>
      <c r="AP6" s="12" t="s">
        <v>391</v>
      </c>
      <c r="AQ6" s="12" t="s">
        <v>391</v>
      </c>
      <c r="AR6" s="12" t="s">
        <v>391</v>
      </c>
      <c r="AS6" s="12" t="s">
        <v>391</v>
      </c>
      <c r="AT6" s="12" t="s">
        <v>391</v>
      </c>
      <c r="AU6" s="12" t="s">
        <v>391</v>
      </c>
      <c r="AV6" s="12"/>
      <c r="AW6" s="12"/>
      <c r="AX6" s="12"/>
      <c r="AY6" s="13" t="s">
        <v>391</v>
      </c>
      <c r="AZ6" s="12"/>
      <c r="BA6" s="12"/>
      <c r="BB6" s="12"/>
      <c r="BC6" s="12"/>
      <c r="BD6" s="12"/>
      <c r="BE6" s="12"/>
      <c r="BF6" s="12"/>
      <c r="BG6" s="12"/>
      <c r="BH6" s="12"/>
      <c r="BI6" s="12"/>
      <c r="BJ6" s="12"/>
      <c r="BK6" s="12"/>
      <c r="BL6" s="12"/>
      <c r="BM6" s="12"/>
      <c r="BN6" s="12"/>
      <c r="BO6" s="12"/>
      <c r="BP6" s="12"/>
      <c r="BQ6" s="12"/>
      <c r="BR6" s="12"/>
      <c r="BS6" s="12"/>
      <c r="BT6" s="12"/>
      <c r="BU6" s="12"/>
    </row>
    <row r="7" spans="1:74" x14ac:dyDescent="0.25">
      <c r="A7" s="3" t="s">
        <v>323</v>
      </c>
      <c r="B7" s="11" t="s">
        <v>297</v>
      </c>
      <c r="C7">
        <v>3</v>
      </c>
      <c r="D7" s="12"/>
      <c r="E7" s="13"/>
      <c r="F7" s="13" t="s">
        <v>391</v>
      </c>
      <c r="G7" s="13" t="s">
        <v>391</v>
      </c>
      <c r="H7" s="13" t="s">
        <v>391</v>
      </c>
      <c r="I7" s="13" t="s">
        <v>391</v>
      </c>
      <c r="J7" s="13" t="s">
        <v>391</v>
      </c>
      <c r="K7" s="13" t="s">
        <v>391</v>
      </c>
      <c r="L7" s="13" t="s">
        <v>391</v>
      </c>
      <c r="M7" s="13" t="s">
        <v>391</v>
      </c>
      <c r="N7" s="13" t="s">
        <v>391</v>
      </c>
      <c r="O7" s="13" t="s">
        <v>391</v>
      </c>
      <c r="P7" s="13" t="s">
        <v>391</v>
      </c>
      <c r="Q7" s="12" t="s">
        <v>391</v>
      </c>
      <c r="R7" s="12" t="s">
        <v>391</v>
      </c>
      <c r="S7" s="12" t="s">
        <v>391</v>
      </c>
      <c r="T7" s="12" t="s">
        <v>391</v>
      </c>
      <c r="U7" s="12" t="s">
        <v>391</v>
      </c>
      <c r="V7" s="12" t="s">
        <v>391</v>
      </c>
      <c r="W7" s="12" t="s">
        <v>391</v>
      </c>
      <c r="X7" s="12" t="s">
        <v>391</v>
      </c>
      <c r="Y7" s="12"/>
      <c r="Z7" s="12"/>
      <c r="AA7" s="12"/>
      <c r="AB7" s="12"/>
      <c r="AC7" s="12" t="s">
        <v>391</v>
      </c>
      <c r="AD7" s="12" t="s">
        <v>391</v>
      </c>
      <c r="AE7" s="12" t="s">
        <v>391</v>
      </c>
      <c r="AF7" s="12" t="s">
        <v>391</v>
      </c>
      <c r="AG7" s="12" t="s">
        <v>391</v>
      </c>
      <c r="AH7" s="12" t="s">
        <v>391</v>
      </c>
      <c r="AI7" s="12" t="s">
        <v>391</v>
      </c>
      <c r="AJ7" s="12" t="s">
        <v>391</v>
      </c>
      <c r="AK7" s="12" t="s">
        <v>391</v>
      </c>
      <c r="AL7" s="12" t="s">
        <v>391</v>
      </c>
      <c r="AM7" s="12" t="s">
        <v>391</v>
      </c>
      <c r="AN7" s="12" t="s">
        <v>391</v>
      </c>
      <c r="AO7" s="12" t="s">
        <v>391</v>
      </c>
      <c r="AP7" s="12" t="s">
        <v>391</v>
      </c>
      <c r="AQ7" s="12" t="s">
        <v>391</v>
      </c>
      <c r="AR7" s="12" t="s">
        <v>391</v>
      </c>
      <c r="AS7" s="12" t="s">
        <v>391</v>
      </c>
      <c r="AT7" s="12" t="s">
        <v>391</v>
      </c>
      <c r="AU7" s="12" t="s">
        <v>391</v>
      </c>
      <c r="AV7" s="12"/>
      <c r="AW7" s="12"/>
      <c r="AX7" s="12"/>
      <c r="AY7" s="13" t="s">
        <v>391</v>
      </c>
      <c r="AZ7" s="12"/>
      <c r="BA7" s="12"/>
      <c r="BB7" s="12"/>
      <c r="BC7" s="12"/>
      <c r="BD7" s="12"/>
      <c r="BE7" s="12"/>
      <c r="BF7" s="12"/>
      <c r="BG7" s="12"/>
      <c r="BH7" s="12"/>
      <c r="BI7" s="12"/>
      <c r="BJ7" s="12"/>
      <c r="BK7" s="12"/>
      <c r="BL7" s="12"/>
      <c r="BM7" s="12"/>
      <c r="BN7" s="12"/>
      <c r="BO7" s="12"/>
      <c r="BP7" s="12"/>
      <c r="BQ7" s="12"/>
      <c r="BR7" s="12"/>
      <c r="BS7" s="12"/>
      <c r="BT7" s="12"/>
      <c r="BU7" s="12"/>
    </row>
    <row r="8" spans="1:74" x14ac:dyDescent="0.25">
      <c r="A8" s="3" t="s">
        <v>324</v>
      </c>
      <c r="B8" s="11" t="s">
        <v>297</v>
      </c>
      <c r="C8">
        <v>3</v>
      </c>
      <c r="D8" s="12"/>
      <c r="E8" s="13"/>
      <c r="F8" s="13" t="s">
        <v>391</v>
      </c>
      <c r="G8" s="13" t="s">
        <v>391</v>
      </c>
      <c r="H8" s="13" t="s">
        <v>391</v>
      </c>
      <c r="I8" s="13" t="s">
        <v>391</v>
      </c>
      <c r="J8" s="13" t="s">
        <v>391</v>
      </c>
      <c r="K8" s="13" t="s">
        <v>391</v>
      </c>
      <c r="L8" s="13" t="s">
        <v>391</v>
      </c>
      <c r="M8" s="13" t="s">
        <v>391</v>
      </c>
      <c r="N8" s="13" t="s">
        <v>391</v>
      </c>
      <c r="O8" s="13" t="s">
        <v>391</v>
      </c>
      <c r="P8" s="13" t="s">
        <v>391</v>
      </c>
      <c r="Q8" s="12" t="s">
        <v>391</v>
      </c>
      <c r="R8" s="12" t="s">
        <v>391</v>
      </c>
      <c r="S8" s="12" t="s">
        <v>391</v>
      </c>
      <c r="T8" s="12" t="s">
        <v>391</v>
      </c>
      <c r="U8" s="12" t="s">
        <v>391</v>
      </c>
      <c r="V8" s="12" t="s">
        <v>391</v>
      </c>
      <c r="W8" s="12" t="s">
        <v>391</v>
      </c>
      <c r="X8" s="12" t="s">
        <v>391</v>
      </c>
      <c r="Y8" s="12"/>
      <c r="Z8" s="12"/>
      <c r="AA8" s="12"/>
      <c r="AB8" s="12"/>
      <c r="AC8" s="12" t="s">
        <v>391</v>
      </c>
      <c r="AD8" s="12" t="s">
        <v>391</v>
      </c>
      <c r="AE8" s="12" t="s">
        <v>391</v>
      </c>
      <c r="AF8" s="12" t="s">
        <v>391</v>
      </c>
      <c r="AG8" s="12" t="s">
        <v>391</v>
      </c>
      <c r="AH8" s="12" t="s">
        <v>391</v>
      </c>
      <c r="AI8" s="12" t="s">
        <v>391</v>
      </c>
      <c r="AJ8" s="12" t="s">
        <v>391</v>
      </c>
      <c r="AK8" s="12" t="s">
        <v>391</v>
      </c>
      <c r="AL8" s="12" t="s">
        <v>391</v>
      </c>
      <c r="AM8" s="12" t="s">
        <v>391</v>
      </c>
      <c r="AN8" s="12" t="s">
        <v>391</v>
      </c>
      <c r="AO8" s="12" t="s">
        <v>391</v>
      </c>
      <c r="AP8" s="12" t="s">
        <v>391</v>
      </c>
      <c r="AQ8" s="12" t="s">
        <v>391</v>
      </c>
      <c r="AR8" s="12" t="s">
        <v>391</v>
      </c>
      <c r="AS8" s="12" t="s">
        <v>391</v>
      </c>
      <c r="AT8" s="12" t="s">
        <v>391</v>
      </c>
      <c r="AU8" s="12" t="s">
        <v>391</v>
      </c>
      <c r="AV8" s="12"/>
      <c r="AW8" s="12"/>
      <c r="AX8" s="12"/>
      <c r="AY8" s="13" t="s">
        <v>391</v>
      </c>
      <c r="AZ8" s="12"/>
      <c r="BA8" s="12"/>
      <c r="BB8" s="12"/>
      <c r="BC8" s="12"/>
      <c r="BD8" s="12"/>
      <c r="BE8" s="12"/>
      <c r="BF8" s="12"/>
      <c r="BG8" s="12"/>
      <c r="BH8" s="12"/>
      <c r="BI8" s="12"/>
      <c r="BJ8" s="12"/>
      <c r="BK8" s="12"/>
      <c r="BL8" s="12"/>
      <c r="BM8" s="12"/>
      <c r="BN8" s="12"/>
      <c r="BO8" s="12"/>
      <c r="BP8" s="12"/>
      <c r="BQ8" s="12"/>
      <c r="BR8" s="12"/>
      <c r="BS8" s="12"/>
      <c r="BT8" s="12"/>
      <c r="BU8" s="12"/>
    </row>
    <row r="9" spans="1:74" ht="25" x14ac:dyDescent="0.25">
      <c r="A9" s="3" t="s">
        <v>936</v>
      </c>
      <c r="B9" s="11" t="s">
        <v>297</v>
      </c>
      <c r="C9">
        <v>3</v>
      </c>
      <c r="D9" s="12"/>
      <c r="E9" s="13"/>
      <c r="F9" s="13" t="s">
        <v>391</v>
      </c>
      <c r="G9" s="13" t="s">
        <v>391</v>
      </c>
      <c r="H9" s="13" t="s">
        <v>391</v>
      </c>
      <c r="I9" s="13" t="s">
        <v>391</v>
      </c>
      <c r="J9" s="13" t="s">
        <v>391</v>
      </c>
      <c r="K9" s="13" t="s">
        <v>391</v>
      </c>
      <c r="L9" s="13" t="s">
        <v>391</v>
      </c>
      <c r="M9" s="13" t="s">
        <v>391</v>
      </c>
      <c r="N9" s="13" t="s">
        <v>391</v>
      </c>
      <c r="O9" s="13" t="s">
        <v>391</v>
      </c>
      <c r="P9" s="13" t="s">
        <v>391</v>
      </c>
      <c r="Q9" s="12" t="s">
        <v>391</v>
      </c>
      <c r="R9" s="12" t="s">
        <v>391</v>
      </c>
      <c r="S9" s="12" t="s">
        <v>391</v>
      </c>
      <c r="T9" s="12" t="s">
        <v>391</v>
      </c>
      <c r="U9" s="12" t="s">
        <v>391</v>
      </c>
      <c r="V9" s="12" t="s">
        <v>391</v>
      </c>
      <c r="W9" s="12" t="s">
        <v>391</v>
      </c>
      <c r="X9" s="12" t="s">
        <v>391</v>
      </c>
      <c r="Y9" s="12"/>
      <c r="Z9" s="12"/>
      <c r="AA9" s="12"/>
      <c r="AB9" s="12"/>
      <c r="AC9" s="12" t="s">
        <v>391</v>
      </c>
      <c r="AD9" s="12" t="s">
        <v>391</v>
      </c>
      <c r="AE9" s="12" t="s">
        <v>391</v>
      </c>
      <c r="AF9" s="12" t="s">
        <v>391</v>
      </c>
      <c r="AG9" s="12" t="s">
        <v>391</v>
      </c>
      <c r="AH9" s="12" t="s">
        <v>391</v>
      </c>
      <c r="AI9" s="12" t="s">
        <v>391</v>
      </c>
      <c r="AJ9" s="12" t="s">
        <v>391</v>
      </c>
      <c r="AK9" s="12" t="s">
        <v>391</v>
      </c>
      <c r="AL9" s="12" t="s">
        <v>391</v>
      </c>
      <c r="AM9" s="12" t="s">
        <v>391</v>
      </c>
      <c r="AN9" s="12" t="s">
        <v>391</v>
      </c>
      <c r="AO9" s="12" t="s">
        <v>391</v>
      </c>
      <c r="AP9" s="12" t="s">
        <v>391</v>
      </c>
      <c r="AQ9" s="12" t="s">
        <v>391</v>
      </c>
      <c r="AR9" s="12" t="s">
        <v>391</v>
      </c>
      <c r="AS9" s="12" t="s">
        <v>391</v>
      </c>
      <c r="AT9" s="12" t="s">
        <v>391</v>
      </c>
      <c r="AU9" s="12" t="s">
        <v>391</v>
      </c>
      <c r="AV9" s="12"/>
      <c r="AW9" s="12"/>
      <c r="AX9" s="12"/>
      <c r="AY9" s="13" t="s">
        <v>391</v>
      </c>
      <c r="AZ9" s="12"/>
      <c r="BA9" s="12"/>
      <c r="BB9" s="12"/>
      <c r="BC9" s="12"/>
      <c r="BD9" s="12"/>
      <c r="BE9" s="12"/>
      <c r="BF9" s="12"/>
      <c r="BG9" s="12"/>
      <c r="BH9" s="12"/>
      <c r="BI9" s="12"/>
      <c r="BJ9" s="12"/>
      <c r="BK9" s="12"/>
      <c r="BL9" s="12"/>
      <c r="BM9" s="12"/>
      <c r="BN9" s="12"/>
      <c r="BO9" s="12"/>
      <c r="BP9" s="12"/>
      <c r="BQ9" s="12"/>
      <c r="BR9" s="12"/>
      <c r="BS9" s="12"/>
      <c r="BT9" s="12"/>
      <c r="BU9" s="12"/>
    </row>
    <row r="10" spans="1:74" x14ac:dyDescent="0.25">
      <c r="A10" s="3" t="s">
        <v>411</v>
      </c>
      <c r="B10" s="11" t="s">
        <v>297</v>
      </c>
      <c r="C10">
        <v>3</v>
      </c>
      <c r="D10" s="12"/>
      <c r="E10" s="13"/>
      <c r="F10" s="13" t="s">
        <v>391</v>
      </c>
      <c r="G10" s="13" t="s">
        <v>391</v>
      </c>
      <c r="H10" s="13" t="s">
        <v>391</v>
      </c>
      <c r="I10" s="13" t="s">
        <v>391</v>
      </c>
      <c r="J10" s="13" t="s">
        <v>391</v>
      </c>
      <c r="K10" s="13" t="s">
        <v>391</v>
      </c>
      <c r="L10" s="13" t="s">
        <v>391</v>
      </c>
      <c r="M10" s="13" t="s">
        <v>391</v>
      </c>
      <c r="N10" s="13" t="s">
        <v>391</v>
      </c>
      <c r="O10" s="13" t="s">
        <v>391</v>
      </c>
      <c r="P10" s="13" t="s">
        <v>391</v>
      </c>
      <c r="Q10" s="12" t="s">
        <v>391</v>
      </c>
      <c r="R10" s="12" t="s">
        <v>391</v>
      </c>
      <c r="S10" s="12" t="s">
        <v>391</v>
      </c>
      <c r="T10" s="12" t="s">
        <v>391</v>
      </c>
      <c r="U10" s="12" t="s">
        <v>391</v>
      </c>
      <c r="V10" s="12" t="s">
        <v>391</v>
      </c>
      <c r="W10" s="12" t="s">
        <v>391</v>
      </c>
      <c r="X10" s="12" t="s">
        <v>391</v>
      </c>
      <c r="Y10" s="12"/>
      <c r="Z10" s="12"/>
      <c r="AA10" s="12" t="s">
        <v>391</v>
      </c>
      <c r="AB10" s="12"/>
      <c r="AC10" s="12" t="s">
        <v>391</v>
      </c>
      <c r="AD10" s="12" t="s">
        <v>391</v>
      </c>
      <c r="AE10" s="12" t="s">
        <v>391</v>
      </c>
      <c r="AF10" s="12" t="s">
        <v>391</v>
      </c>
      <c r="AG10" s="12" t="s">
        <v>391</v>
      </c>
      <c r="AH10" s="12" t="s">
        <v>391</v>
      </c>
      <c r="AI10" s="12" t="s">
        <v>391</v>
      </c>
      <c r="AJ10" s="12" t="s">
        <v>391</v>
      </c>
      <c r="AK10" s="12" t="s">
        <v>391</v>
      </c>
      <c r="AL10" s="12" t="s">
        <v>391</v>
      </c>
      <c r="AM10" s="12" t="s">
        <v>391</v>
      </c>
      <c r="AN10" s="12" t="s">
        <v>391</v>
      </c>
      <c r="AO10" s="12" t="s">
        <v>391</v>
      </c>
      <c r="AP10" s="12" t="s">
        <v>391</v>
      </c>
      <c r="AQ10" s="12" t="s">
        <v>391</v>
      </c>
      <c r="AR10" s="12" t="s">
        <v>391</v>
      </c>
      <c r="AS10" s="12" t="s">
        <v>391</v>
      </c>
      <c r="AT10" s="12" t="s">
        <v>391</v>
      </c>
      <c r="AU10" s="12" t="s">
        <v>391</v>
      </c>
      <c r="AV10" s="12"/>
      <c r="AW10" s="12"/>
      <c r="AX10" s="12"/>
      <c r="AY10" s="13" t="s">
        <v>391</v>
      </c>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4" x14ac:dyDescent="0.25">
      <c r="A11" s="3" t="s">
        <v>934</v>
      </c>
      <c r="B11" s="11" t="s">
        <v>297</v>
      </c>
      <c r="C11">
        <v>3</v>
      </c>
      <c r="D11" s="12"/>
      <c r="E11" s="13"/>
      <c r="F11" s="13" t="s">
        <v>391</v>
      </c>
      <c r="G11" s="13" t="s">
        <v>391</v>
      </c>
      <c r="H11" s="13" t="s">
        <v>391</v>
      </c>
      <c r="I11" s="13" t="s">
        <v>391</v>
      </c>
      <c r="J11" s="13" t="s">
        <v>391</v>
      </c>
      <c r="K11" s="13" t="s">
        <v>391</v>
      </c>
      <c r="L11" s="13" t="s">
        <v>391</v>
      </c>
      <c r="M11" s="13" t="s">
        <v>391</v>
      </c>
      <c r="N11" s="13" t="s">
        <v>391</v>
      </c>
      <c r="O11" s="13" t="s">
        <v>391</v>
      </c>
      <c r="P11" s="13" t="s">
        <v>391</v>
      </c>
      <c r="Q11" s="12" t="s">
        <v>391</v>
      </c>
      <c r="R11" s="12" t="s">
        <v>391</v>
      </c>
      <c r="S11" s="12" t="s">
        <v>391</v>
      </c>
      <c r="T11" s="12" t="s">
        <v>391</v>
      </c>
      <c r="U11" s="12" t="s">
        <v>391</v>
      </c>
      <c r="V11" s="12" t="s">
        <v>391</v>
      </c>
      <c r="W11" s="12" t="s">
        <v>391</v>
      </c>
      <c r="X11" s="12" t="s">
        <v>391</v>
      </c>
      <c r="Y11" s="12"/>
      <c r="Z11" s="12"/>
      <c r="AA11" s="12"/>
      <c r="AB11" s="12" t="s">
        <v>391</v>
      </c>
      <c r="AC11" s="12" t="s">
        <v>391</v>
      </c>
      <c r="AD11" s="12" t="s">
        <v>391</v>
      </c>
      <c r="AE11" s="12" t="s">
        <v>391</v>
      </c>
      <c r="AF11" s="12" t="s">
        <v>391</v>
      </c>
      <c r="AG11" s="12" t="s">
        <v>391</v>
      </c>
      <c r="AH11" s="12" t="s">
        <v>391</v>
      </c>
      <c r="AI11" s="12" t="s">
        <v>391</v>
      </c>
      <c r="AJ11" s="12" t="s">
        <v>391</v>
      </c>
      <c r="AK11" s="12" t="s">
        <v>391</v>
      </c>
      <c r="AL11" s="12" t="s">
        <v>391</v>
      </c>
      <c r="AM11" s="12" t="s">
        <v>391</v>
      </c>
      <c r="AN11" s="12" t="s">
        <v>391</v>
      </c>
      <c r="AO11" s="12" t="s">
        <v>391</v>
      </c>
      <c r="AP11" s="12" t="s">
        <v>391</v>
      </c>
      <c r="AQ11" s="12" t="s">
        <v>391</v>
      </c>
      <c r="AR11" s="12" t="s">
        <v>391</v>
      </c>
      <c r="AS11" s="12" t="s">
        <v>391</v>
      </c>
      <c r="AT11" s="12" t="s">
        <v>391</v>
      </c>
      <c r="AU11" s="12" t="s">
        <v>391</v>
      </c>
      <c r="AV11" s="12"/>
      <c r="AW11" s="12"/>
      <c r="AX11" s="12"/>
      <c r="AY11" s="13" t="s">
        <v>391</v>
      </c>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4" x14ac:dyDescent="0.25">
      <c r="A12" s="3" t="s">
        <v>412</v>
      </c>
      <c r="B12" s="11" t="s">
        <v>297</v>
      </c>
      <c r="C12">
        <v>3</v>
      </c>
      <c r="D12" s="12"/>
      <c r="E12" s="13"/>
      <c r="F12" s="13" t="s">
        <v>391</v>
      </c>
      <c r="G12" s="13" t="s">
        <v>391</v>
      </c>
      <c r="H12" s="13" t="s">
        <v>391</v>
      </c>
      <c r="I12" s="13" t="s">
        <v>391</v>
      </c>
      <c r="J12" s="13" t="s">
        <v>391</v>
      </c>
      <c r="K12" s="13" t="s">
        <v>391</v>
      </c>
      <c r="L12" s="13" t="s">
        <v>391</v>
      </c>
      <c r="M12" s="13" t="s">
        <v>391</v>
      </c>
      <c r="N12" s="13" t="s">
        <v>391</v>
      </c>
      <c r="O12" s="13" t="s">
        <v>391</v>
      </c>
      <c r="P12" s="13" t="s">
        <v>391</v>
      </c>
      <c r="Q12" s="12" t="s">
        <v>391</v>
      </c>
      <c r="R12" s="12" t="s">
        <v>391</v>
      </c>
      <c r="S12" s="12" t="s">
        <v>391</v>
      </c>
      <c r="T12" s="12" t="s">
        <v>391</v>
      </c>
      <c r="U12" s="12" t="s">
        <v>391</v>
      </c>
      <c r="V12" s="12" t="s">
        <v>391</v>
      </c>
      <c r="W12" s="12" t="s">
        <v>391</v>
      </c>
      <c r="X12" s="12" t="s">
        <v>391</v>
      </c>
      <c r="Y12" s="12"/>
      <c r="Z12" s="12"/>
      <c r="AA12" s="12"/>
      <c r="AB12" s="12"/>
      <c r="AC12" s="12" t="s">
        <v>391</v>
      </c>
      <c r="AD12" s="12" t="s">
        <v>391</v>
      </c>
      <c r="AE12" s="12" t="s">
        <v>391</v>
      </c>
      <c r="AF12" s="12" t="s">
        <v>391</v>
      </c>
      <c r="AG12" s="12" t="s">
        <v>391</v>
      </c>
      <c r="AH12" s="12" t="s">
        <v>391</v>
      </c>
      <c r="AI12" s="12" t="s">
        <v>391</v>
      </c>
      <c r="AJ12" s="12" t="s">
        <v>391</v>
      </c>
      <c r="AK12" s="12" t="s">
        <v>391</v>
      </c>
      <c r="AL12" s="12" t="s">
        <v>391</v>
      </c>
      <c r="AM12" s="12" t="s">
        <v>391</v>
      </c>
      <c r="AN12" s="12" t="s">
        <v>391</v>
      </c>
      <c r="AO12" s="12" t="s">
        <v>391</v>
      </c>
      <c r="AP12" s="12" t="s">
        <v>391</v>
      </c>
      <c r="AQ12" s="12" t="s">
        <v>391</v>
      </c>
      <c r="AR12" s="12" t="s">
        <v>391</v>
      </c>
      <c r="AS12" s="12" t="s">
        <v>391</v>
      </c>
      <c r="AT12" s="12" t="s">
        <v>391</v>
      </c>
      <c r="AU12" s="12" t="s">
        <v>391</v>
      </c>
      <c r="AV12" s="12"/>
      <c r="AW12" s="12"/>
      <c r="AX12" s="12"/>
      <c r="AY12" s="13" t="s">
        <v>391</v>
      </c>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4" x14ac:dyDescent="0.25">
      <c r="A13" s="3" t="s">
        <v>413</v>
      </c>
      <c r="B13" s="11" t="s">
        <v>297</v>
      </c>
      <c r="C13">
        <v>3</v>
      </c>
      <c r="D13" s="12"/>
      <c r="E13" s="13"/>
      <c r="F13" s="13" t="s">
        <v>391</v>
      </c>
      <c r="G13" s="13" t="s">
        <v>391</v>
      </c>
      <c r="H13" s="13" t="s">
        <v>391</v>
      </c>
      <c r="I13" s="13" t="s">
        <v>391</v>
      </c>
      <c r="J13" s="13" t="s">
        <v>391</v>
      </c>
      <c r="K13" s="13" t="s">
        <v>391</v>
      </c>
      <c r="L13" s="13" t="s">
        <v>391</v>
      </c>
      <c r="M13" s="13" t="s">
        <v>391</v>
      </c>
      <c r="N13" s="13" t="s">
        <v>391</v>
      </c>
      <c r="O13" s="13" t="s">
        <v>391</v>
      </c>
      <c r="P13" s="13" t="s">
        <v>391</v>
      </c>
      <c r="Q13" s="12" t="s">
        <v>391</v>
      </c>
      <c r="R13" s="12" t="s">
        <v>391</v>
      </c>
      <c r="S13" s="12" t="s">
        <v>391</v>
      </c>
      <c r="T13" s="12" t="s">
        <v>391</v>
      </c>
      <c r="U13" s="12" t="s">
        <v>391</v>
      </c>
      <c r="V13" s="12" t="s">
        <v>391</v>
      </c>
      <c r="W13" s="12" t="s">
        <v>391</v>
      </c>
      <c r="X13" s="12" t="s">
        <v>391</v>
      </c>
      <c r="Y13" s="12" t="s">
        <v>391</v>
      </c>
      <c r="Z13" s="12" t="s">
        <v>391</v>
      </c>
      <c r="AA13" s="12"/>
      <c r="AB13" s="12"/>
      <c r="AC13" s="12" t="s">
        <v>391</v>
      </c>
      <c r="AD13" s="12" t="s">
        <v>391</v>
      </c>
      <c r="AE13" s="12" t="s">
        <v>391</v>
      </c>
      <c r="AF13" s="12" t="s">
        <v>391</v>
      </c>
      <c r="AG13" s="12" t="s">
        <v>391</v>
      </c>
      <c r="AH13" s="12" t="s">
        <v>391</v>
      </c>
      <c r="AI13" s="12" t="s">
        <v>391</v>
      </c>
      <c r="AJ13" s="12" t="s">
        <v>391</v>
      </c>
      <c r="AK13" s="12" t="s">
        <v>391</v>
      </c>
      <c r="AL13" s="12" t="s">
        <v>391</v>
      </c>
      <c r="AM13" s="12" t="s">
        <v>391</v>
      </c>
      <c r="AN13" s="12" t="s">
        <v>391</v>
      </c>
      <c r="AO13" s="12" t="s">
        <v>391</v>
      </c>
      <c r="AP13" s="12" t="s">
        <v>391</v>
      </c>
      <c r="AQ13" s="12" t="s">
        <v>391</v>
      </c>
      <c r="AR13" s="12" t="s">
        <v>391</v>
      </c>
      <c r="AS13" s="12" t="s">
        <v>391</v>
      </c>
      <c r="AT13" s="12" t="s">
        <v>391</v>
      </c>
      <c r="AU13" s="12" t="s">
        <v>391</v>
      </c>
      <c r="AV13" s="12" t="s">
        <v>391</v>
      </c>
      <c r="AW13" s="12" t="s">
        <v>391</v>
      </c>
      <c r="AX13" s="12" t="s">
        <v>391</v>
      </c>
      <c r="AY13" s="13" t="s">
        <v>391</v>
      </c>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4" x14ac:dyDescent="0.25">
      <c r="A14" s="3" t="s">
        <v>414</v>
      </c>
      <c r="B14" s="11" t="s">
        <v>297</v>
      </c>
      <c r="C14">
        <v>3</v>
      </c>
      <c r="D14" s="12"/>
      <c r="E14" s="13"/>
      <c r="F14" s="13" t="s">
        <v>391</v>
      </c>
      <c r="G14" s="13" t="s">
        <v>391</v>
      </c>
      <c r="H14" s="13" t="s">
        <v>391</v>
      </c>
      <c r="I14" s="13" t="s">
        <v>391</v>
      </c>
      <c r="J14" s="13" t="s">
        <v>391</v>
      </c>
      <c r="K14" s="13" t="s">
        <v>391</v>
      </c>
      <c r="L14" s="13" t="s">
        <v>391</v>
      </c>
      <c r="M14" s="13" t="s">
        <v>391</v>
      </c>
      <c r="N14" s="13" t="s">
        <v>391</v>
      </c>
      <c r="O14" s="13" t="s">
        <v>391</v>
      </c>
      <c r="P14" s="13" t="s">
        <v>391</v>
      </c>
      <c r="Q14" s="12" t="s">
        <v>391</v>
      </c>
      <c r="R14" s="12" t="s">
        <v>391</v>
      </c>
      <c r="S14" s="12" t="s">
        <v>391</v>
      </c>
      <c r="T14" s="12" t="s">
        <v>391</v>
      </c>
      <c r="U14" s="12" t="s">
        <v>391</v>
      </c>
      <c r="V14" s="12" t="s">
        <v>391</v>
      </c>
      <c r="W14" s="12" t="s">
        <v>391</v>
      </c>
      <c r="X14" s="12" t="s">
        <v>391</v>
      </c>
      <c r="Y14" s="12" t="s">
        <v>391</v>
      </c>
      <c r="Z14" s="12" t="s">
        <v>391</v>
      </c>
      <c r="AA14" s="12"/>
      <c r="AB14" s="12"/>
      <c r="AC14" s="12" t="s">
        <v>391</v>
      </c>
      <c r="AD14" s="12" t="s">
        <v>391</v>
      </c>
      <c r="AE14" s="12" t="s">
        <v>391</v>
      </c>
      <c r="AF14" s="12" t="s">
        <v>391</v>
      </c>
      <c r="AG14" s="12" t="s">
        <v>391</v>
      </c>
      <c r="AH14" s="12" t="s">
        <v>391</v>
      </c>
      <c r="AI14" s="12" t="s">
        <v>391</v>
      </c>
      <c r="AJ14" s="12" t="s">
        <v>391</v>
      </c>
      <c r="AK14" s="12" t="s">
        <v>391</v>
      </c>
      <c r="AL14" s="12" t="s">
        <v>391</v>
      </c>
      <c r="AM14" s="12" t="s">
        <v>391</v>
      </c>
      <c r="AN14" s="12" t="s">
        <v>391</v>
      </c>
      <c r="AO14" s="12" t="s">
        <v>391</v>
      </c>
      <c r="AP14" s="12" t="s">
        <v>391</v>
      </c>
      <c r="AQ14" s="12" t="s">
        <v>391</v>
      </c>
      <c r="AR14" s="12" t="s">
        <v>391</v>
      </c>
      <c r="AS14" s="12" t="s">
        <v>391</v>
      </c>
      <c r="AT14" s="12" t="s">
        <v>391</v>
      </c>
      <c r="AU14" s="12" t="s">
        <v>391</v>
      </c>
      <c r="AV14" s="12"/>
      <c r="AW14" s="12"/>
      <c r="AX14" s="12"/>
      <c r="AY14" s="13" t="s">
        <v>391</v>
      </c>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4" x14ac:dyDescent="0.25">
      <c r="A15" s="3" t="s">
        <v>415</v>
      </c>
      <c r="B15" s="11" t="s">
        <v>297</v>
      </c>
      <c r="C15">
        <v>3</v>
      </c>
      <c r="D15" s="12"/>
      <c r="E15" s="13"/>
      <c r="F15" s="13" t="s">
        <v>391</v>
      </c>
      <c r="G15" s="13" t="s">
        <v>391</v>
      </c>
      <c r="H15" s="13" t="s">
        <v>391</v>
      </c>
      <c r="I15" s="13" t="s">
        <v>391</v>
      </c>
      <c r="J15" s="13" t="s">
        <v>391</v>
      </c>
      <c r="K15" s="13" t="s">
        <v>391</v>
      </c>
      <c r="L15" s="13" t="s">
        <v>391</v>
      </c>
      <c r="M15" s="13" t="s">
        <v>391</v>
      </c>
      <c r="N15" s="13" t="s">
        <v>391</v>
      </c>
      <c r="O15" s="13" t="s">
        <v>391</v>
      </c>
      <c r="P15" s="13" t="s">
        <v>391</v>
      </c>
      <c r="Q15" s="12" t="s">
        <v>391</v>
      </c>
      <c r="R15" s="12" t="s">
        <v>391</v>
      </c>
      <c r="S15" s="12" t="s">
        <v>391</v>
      </c>
      <c r="T15" s="12" t="s">
        <v>391</v>
      </c>
      <c r="U15" s="12" t="s">
        <v>391</v>
      </c>
      <c r="V15" s="12" t="s">
        <v>391</v>
      </c>
      <c r="W15" s="12" t="s">
        <v>391</v>
      </c>
      <c r="X15" s="12" t="s">
        <v>391</v>
      </c>
      <c r="Y15" s="12" t="s">
        <v>391</v>
      </c>
      <c r="Z15" s="12" t="s">
        <v>391</v>
      </c>
      <c r="AA15" s="12"/>
      <c r="AB15" s="12"/>
      <c r="AC15" s="12" t="s">
        <v>391</v>
      </c>
      <c r="AD15" s="12" t="s">
        <v>391</v>
      </c>
      <c r="AE15" s="12" t="s">
        <v>391</v>
      </c>
      <c r="AF15" s="12" t="s">
        <v>391</v>
      </c>
      <c r="AG15" s="12" t="s">
        <v>391</v>
      </c>
      <c r="AH15" s="12" t="s">
        <v>391</v>
      </c>
      <c r="AI15" s="12" t="s">
        <v>391</v>
      </c>
      <c r="AJ15" s="12" t="s">
        <v>391</v>
      </c>
      <c r="AK15" s="12" t="s">
        <v>391</v>
      </c>
      <c r="AL15" s="12" t="s">
        <v>391</v>
      </c>
      <c r="AM15" s="12" t="s">
        <v>391</v>
      </c>
      <c r="AN15" s="12" t="s">
        <v>391</v>
      </c>
      <c r="AO15" s="12" t="s">
        <v>391</v>
      </c>
      <c r="AP15" s="12" t="s">
        <v>391</v>
      </c>
      <c r="AQ15" s="12" t="s">
        <v>391</v>
      </c>
      <c r="AR15" s="12" t="s">
        <v>391</v>
      </c>
      <c r="AS15" s="12" t="s">
        <v>391</v>
      </c>
      <c r="AT15" s="12" t="s">
        <v>391</v>
      </c>
      <c r="AU15" s="12" t="s">
        <v>391</v>
      </c>
      <c r="AV15" s="12"/>
      <c r="AW15" s="12"/>
      <c r="AX15" s="12"/>
      <c r="AY15" s="13" t="s">
        <v>391</v>
      </c>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4" x14ac:dyDescent="0.25">
      <c r="A16" s="3" t="s">
        <v>416</v>
      </c>
      <c r="B16" s="11" t="s">
        <v>297</v>
      </c>
      <c r="C16">
        <v>3</v>
      </c>
      <c r="D16" s="12"/>
      <c r="E16" s="13"/>
      <c r="F16" s="13" t="s">
        <v>391</v>
      </c>
      <c r="G16" s="13" t="s">
        <v>391</v>
      </c>
      <c r="H16" s="13" t="s">
        <v>391</v>
      </c>
      <c r="I16" s="13" t="s">
        <v>391</v>
      </c>
      <c r="J16" s="13" t="s">
        <v>391</v>
      </c>
      <c r="K16" s="13" t="s">
        <v>391</v>
      </c>
      <c r="L16" s="13" t="s">
        <v>391</v>
      </c>
      <c r="M16" s="13" t="s">
        <v>391</v>
      </c>
      <c r="N16" s="13" t="s">
        <v>391</v>
      </c>
      <c r="O16" s="13" t="s">
        <v>391</v>
      </c>
      <c r="P16" s="13" t="s">
        <v>391</v>
      </c>
      <c r="Q16" s="12" t="s">
        <v>391</v>
      </c>
      <c r="R16" s="12" t="s">
        <v>391</v>
      </c>
      <c r="S16" s="12" t="s">
        <v>391</v>
      </c>
      <c r="T16" s="12" t="s">
        <v>391</v>
      </c>
      <c r="U16" s="12" t="s">
        <v>391</v>
      </c>
      <c r="V16" s="12" t="s">
        <v>391</v>
      </c>
      <c r="W16" s="12" t="s">
        <v>391</v>
      </c>
      <c r="X16" s="12" t="s">
        <v>391</v>
      </c>
      <c r="Y16" s="12"/>
      <c r="Z16" s="12"/>
      <c r="AA16" s="12"/>
      <c r="AB16" s="12"/>
      <c r="AC16" s="12" t="s">
        <v>391</v>
      </c>
      <c r="AD16" s="12" t="s">
        <v>391</v>
      </c>
      <c r="AE16" s="12" t="s">
        <v>391</v>
      </c>
      <c r="AF16" s="12" t="s">
        <v>391</v>
      </c>
      <c r="AG16" s="12" t="s">
        <v>391</v>
      </c>
      <c r="AH16" s="12" t="s">
        <v>391</v>
      </c>
      <c r="AI16" s="12" t="s">
        <v>391</v>
      </c>
      <c r="AJ16" s="12" t="s">
        <v>391</v>
      </c>
      <c r="AK16" s="12" t="s">
        <v>391</v>
      </c>
      <c r="AL16" s="12" t="s">
        <v>391</v>
      </c>
      <c r="AM16" s="12" t="s">
        <v>391</v>
      </c>
      <c r="AN16" s="12" t="s">
        <v>391</v>
      </c>
      <c r="AO16" s="12" t="s">
        <v>391</v>
      </c>
      <c r="AP16" s="12" t="s">
        <v>391</v>
      </c>
      <c r="AQ16" s="12" t="s">
        <v>391</v>
      </c>
      <c r="AR16" s="12" t="s">
        <v>391</v>
      </c>
      <c r="AS16" s="12" t="s">
        <v>391</v>
      </c>
      <c r="AT16" s="12" t="s">
        <v>391</v>
      </c>
      <c r="AU16" s="12" t="s">
        <v>391</v>
      </c>
      <c r="AV16" s="12"/>
      <c r="AW16" s="12"/>
      <c r="AX16" s="12"/>
      <c r="AY16" s="13" t="s">
        <v>391</v>
      </c>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315</v>
      </c>
      <c r="B17" s="11" t="s">
        <v>298</v>
      </c>
      <c r="C17">
        <v>4</v>
      </c>
      <c r="D17" s="12"/>
      <c r="E17" s="13"/>
      <c r="F17" s="13" t="s">
        <v>391</v>
      </c>
      <c r="G17" s="13" t="s">
        <v>391</v>
      </c>
      <c r="H17" s="13" t="s">
        <v>391</v>
      </c>
      <c r="I17" s="13" t="s">
        <v>391</v>
      </c>
      <c r="J17" s="13" t="s">
        <v>391</v>
      </c>
      <c r="K17" s="13" t="s">
        <v>391</v>
      </c>
      <c r="L17" s="13" t="s">
        <v>391</v>
      </c>
      <c r="M17" s="13" t="s">
        <v>391</v>
      </c>
      <c r="N17" s="13" t="s">
        <v>391</v>
      </c>
      <c r="O17" s="13" t="s">
        <v>391</v>
      </c>
      <c r="P17" s="13" t="s">
        <v>391</v>
      </c>
      <c r="Q17" s="13" t="s">
        <v>391</v>
      </c>
      <c r="R17" s="13" t="s">
        <v>391</v>
      </c>
      <c r="S17" s="13" t="s">
        <v>391</v>
      </c>
      <c r="T17" s="12" t="s">
        <v>391</v>
      </c>
      <c r="U17" s="12" t="s">
        <v>391</v>
      </c>
      <c r="V17" s="12" t="s">
        <v>391</v>
      </c>
      <c r="W17" s="12" t="s">
        <v>391</v>
      </c>
      <c r="X17" s="12" t="s">
        <v>391</v>
      </c>
      <c r="Y17" s="12" t="s">
        <v>391</v>
      </c>
      <c r="Z17" s="12" t="s">
        <v>391</v>
      </c>
      <c r="AA17" s="12" t="s">
        <v>391</v>
      </c>
      <c r="AB17" s="12"/>
      <c r="AC17" s="12"/>
      <c r="AD17" s="12"/>
      <c r="AE17" s="12"/>
      <c r="AF17" s="12" t="s">
        <v>391</v>
      </c>
      <c r="AG17" s="12" t="s">
        <v>391</v>
      </c>
      <c r="AH17" s="12" t="s">
        <v>391</v>
      </c>
      <c r="AI17" s="12" t="s">
        <v>391</v>
      </c>
      <c r="AJ17" s="12" t="s">
        <v>391</v>
      </c>
      <c r="AK17" s="12" t="s">
        <v>391</v>
      </c>
      <c r="AL17" s="12" t="s">
        <v>391</v>
      </c>
      <c r="AM17" s="12" t="s">
        <v>391</v>
      </c>
      <c r="AN17" s="12" t="s">
        <v>391</v>
      </c>
      <c r="AO17" s="12" t="s">
        <v>391</v>
      </c>
      <c r="AP17" s="12" t="s">
        <v>391</v>
      </c>
      <c r="AQ17" s="12" t="s">
        <v>391</v>
      </c>
      <c r="AR17" s="12" t="s">
        <v>391</v>
      </c>
      <c r="AS17" s="12" t="s">
        <v>391</v>
      </c>
      <c r="AT17" s="12" t="s">
        <v>391</v>
      </c>
      <c r="AU17" s="12" t="s">
        <v>391</v>
      </c>
      <c r="AV17" s="12" t="s">
        <v>391</v>
      </c>
      <c r="AW17" s="12" t="s">
        <v>391</v>
      </c>
      <c r="AX17" s="12" t="s">
        <v>391</v>
      </c>
      <c r="AY17" s="12"/>
      <c r="AZ17" s="12"/>
      <c r="BA17" s="12"/>
      <c r="BB17" s="12"/>
      <c r="BC17" s="12"/>
      <c r="BD17" s="12"/>
      <c r="BE17" s="12"/>
      <c r="BF17" s="12"/>
      <c r="BG17" s="13" t="s">
        <v>391</v>
      </c>
      <c r="BH17" s="12"/>
      <c r="BI17" s="12"/>
      <c r="BJ17" s="12"/>
      <c r="BK17" s="12"/>
      <c r="BL17" s="12"/>
      <c r="BM17" s="12"/>
      <c r="BN17" s="12"/>
      <c r="BO17" s="12"/>
      <c r="BP17" s="12"/>
      <c r="BQ17" s="12"/>
      <c r="BR17" s="12"/>
      <c r="BS17" s="12"/>
      <c r="BT17" s="12"/>
      <c r="BU17" s="12"/>
    </row>
    <row r="18" spans="1:73" x14ac:dyDescent="0.25">
      <c r="A18" s="3" t="s">
        <v>939</v>
      </c>
      <c r="B18" s="11" t="s">
        <v>298</v>
      </c>
      <c r="C18">
        <v>4</v>
      </c>
      <c r="D18" s="12"/>
      <c r="E18" s="13"/>
      <c r="F18" s="13" t="s">
        <v>391</v>
      </c>
      <c r="G18" s="13" t="s">
        <v>391</v>
      </c>
      <c r="H18" s="13" t="s">
        <v>391</v>
      </c>
      <c r="I18" s="13" t="s">
        <v>391</v>
      </c>
      <c r="J18" s="13" t="s">
        <v>391</v>
      </c>
      <c r="K18" s="13" t="s">
        <v>391</v>
      </c>
      <c r="L18" s="13" t="s">
        <v>391</v>
      </c>
      <c r="M18" s="13" t="s">
        <v>391</v>
      </c>
      <c r="N18" s="13" t="s">
        <v>391</v>
      </c>
      <c r="O18" s="13" t="s">
        <v>391</v>
      </c>
      <c r="P18" s="13" t="s">
        <v>391</v>
      </c>
      <c r="Q18" s="13" t="s">
        <v>391</v>
      </c>
      <c r="R18" s="13" t="s">
        <v>391</v>
      </c>
      <c r="S18" s="13" t="s">
        <v>391</v>
      </c>
      <c r="T18" s="12" t="s">
        <v>391</v>
      </c>
      <c r="U18" s="12" t="s">
        <v>391</v>
      </c>
      <c r="V18" s="12" t="s">
        <v>391</v>
      </c>
      <c r="W18" s="12" t="s">
        <v>391</v>
      </c>
      <c r="X18" s="12" t="s">
        <v>391</v>
      </c>
      <c r="Y18" s="12" t="s">
        <v>391</v>
      </c>
      <c r="Z18" s="12" t="s">
        <v>391</v>
      </c>
      <c r="AA18" s="12" t="s">
        <v>391</v>
      </c>
      <c r="AB18" s="12"/>
      <c r="AC18" s="12"/>
      <c r="AD18" s="12"/>
      <c r="AE18" s="12"/>
      <c r="AF18" s="12" t="s">
        <v>391</v>
      </c>
      <c r="AG18" s="12" t="s">
        <v>391</v>
      </c>
      <c r="AH18" s="12" t="s">
        <v>391</v>
      </c>
      <c r="AI18" s="12" t="s">
        <v>391</v>
      </c>
      <c r="AJ18" s="12" t="s">
        <v>391</v>
      </c>
      <c r="AK18" s="12" t="s">
        <v>391</v>
      </c>
      <c r="AL18" s="12" t="s">
        <v>391</v>
      </c>
      <c r="AM18" s="12" t="s">
        <v>391</v>
      </c>
      <c r="AN18" s="12" t="s">
        <v>391</v>
      </c>
      <c r="AO18" s="12" t="s">
        <v>391</v>
      </c>
      <c r="AP18" s="12" t="s">
        <v>391</v>
      </c>
      <c r="AQ18" s="12" t="s">
        <v>391</v>
      </c>
      <c r="AR18" s="12" t="s">
        <v>391</v>
      </c>
      <c r="AS18" s="12" t="s">
        <v>391</v>
      </c>
      <c r="AT18" s="12" t="s">
        <v>391</v>
      </c>
      <c r="AU18" s="12" t="s">
        <v>391</v>
      </c>
      <c r="AV18" s="12" t="s">
        <v>391</v>
      </c>
      <c r="AW18" s="12" t="s">
        <v>391</v>
      </c>
      <c r="AX18" s="12" t="s">
        <v>391</v>
      </c>
      <c r="AY18" s="12"/>
      <c r="AZ18" s="12"/>
      <c r="BA18" s="12"/>
      <c r="BB18" s="12" t="s">
        <v>391</v>
      </c>
      <c r="BC18" s="12" t="s">
        <v>391</v>
      </c>
      <c r="BD18" s="12"/>
      <c r="BE18" s="12"/>
      <c r="BF18" s="12"/>
      <c r="BG18" s="13" t="s">
        <v>391</v>
      </c>
      <c r="BH18" s="12"/>
      <c r="BI18" s="12"/>
      <c r="BJ18" s="12"/>
      <c r="BK18" s="12"/>
      <c r="BL18" s="12"/>
      <c r="BM18" s="12"/>
      <c r="BN18" s="12"/>
      <c r="BO18" s="12"/>
      <c r="BP18" s="12"/>
      <c r="BQ18" s="12"/>
      <c r="BR18" s="12"/>
      <c r="BS18" s="12"/>
      <c r="BT18" s="12"/>
      <c r="BU18" s="12"/>
    </row>
    <row r="19" spans="1:73" x14ac:dyDescent="0.25">
      <c r="A19" s="3" t="s">
        <v>316</v>
      </c>
      <c r="B19" s="11" t="s">
        <v>298</v>
      </c>
      <c r="C19">
        <v>4</v>
      </c>
      <c r="D19" s="12"/>
      <c r="E19" s="13"/>
      <c r="F19" s="13" t="s">
        <v>391</v>
      </c>
      <c r="G19" s="13" t="s">
        <v>391</v>
      </c>
      <c r="H19" s="13" t="s">
        <v>391</v>
      </c>
      <c r="I19" s="13" t="s">
        <v>391</v>
      </c>
      <c r="J19" s="13" t="s">
        <v>391</v>
      </c>
      <c r="K19" s="13" t="s">
        <v>391</v>
      </c>
      <c r="L19" s="13" t="s">
        <v>391</v>
      </c>
      <c r="M19" s="13" t="s">
        <v>391</v>
      </c>
      <c r="N19" s="13" t="s">
        <v>391</v>
      </c>
      <c r="O19" s="13" t="s">
        <v>391</v>
      </c>
      <c r="P19" s="13" t="s">
        <v>391</v>
      </c>
      <c r="Q19" s="13" t="s">
        <v>391</v>
      </c>
      <c r="R19" s="13" t="s">
        <v>391</v>
      </c>
      <c r="S19" s="13" t="s">
        <v>391</v>
      </c>
      <c r="T19" s="12" t="s">
        <v>391</v>
      </c>
      <c r="U19" s="12" t="s">
        <v>391</v>
      </c>
      <c r="V19" s="12" t="s">
        <v>391</v>
      </c>
      <c r="W19" s="12" t="s">
        <v>391</v>
      </c>
      <c r="X19" s="12" t="s">
        <v>391</v>
      </c>
      <c r="Y19" s="12" t="s">
        <v>391</v>
      </c>
      <c r="Z19" s="12" t="s">
        <v>391</v>
      </c>
      <c r="AA19" s="12" t="s">
        <v>391</v>
      </c>
      <c r="AB19" s="12"/>
      <c r="AC19" s="12"/>
      <c r="AD19" s="12"/>
      <c r="AE19" s="12"/>
      <c r="AF19" s="12" t="s">
        <v>391</v>
      </c>
      <c r="AG19" s="12" t="s">
        <v>391</v>
      </c>
      <c r="AH19" s="12" t="s">
        <v>391</v>
      </c>
      <c r="AI19" s="12" t="s">
        <v>391</v>
      </c>
      <c r="AJ19" s="12" t="s">
        <v>391</v>
      </c>
      <c r="AK19" s="12" t="s">
        <v>391</v>
      </c>
      <c r="AL19" s="12" t="s">
        <v>391</v>
      </c>
      <c r="AM19" s="12" t="s">
        <v>391</v>
      </c>
      <c r="AN19" s="12" t="s">
        <v>391</v>
      </c>
      <c r="AO19" s="12" t="s">
        <v>391</v>
      </c>
      <c r="AP19" s="12" t="s">
        <v>391</v>
      </c>
      <c r="AQ19" s="12" t="s">
        <v>391</v>
      </c>
      <c r="AR19" s="12" t="s">
        <v>391</v>
      </c>
      <c r="AS19" s="12" t="s">
        <v>391</v>
      </c>
      <c r="AT19" s="12" t="s">
        <v>391</v>
      </c>
      <c r="AU19" s="12" t="s">
        <v>391</v>
      </c>
      <c r="AV19" s="12" t="s">
        <v>391</v>
      </c>
      <c r="AW19" s="12" t="s">
        <v>391</v>
      </c>
      <c r="AX19" s="12" t="s">
        <v>391</v>
      </c>
      <c r="AY19" s="12"/>
      <c r="AZ19" s="12"/>
      <c r="BA19" s="12"/>
      <c r="BB19" s="12"/>
      <c r="BC19" s="12"/>
      <c r="BD19" s="12"/>
      <c r="BE19" s="12"/>
      <c r="BF19" s="12"/>
      <c r="BG19" s="13" t="s">
        <v>391</v>
      </c>
      <c r="BH19" s="12"/>
      <c r="BI19" s="12"/>
      <c r="BJ19" s="12"/>
      <c r="BK19" s="12"/>
      <c r="BL19" s="12"/>
      <c r="BM19" s="12"/>
      <c r="BN19" s="12"/>
      <c r="BO19" s="12"/>
      <c r="BP19" s="12"/>
      <c r="BQ19" s="12"/>
      <c r="BR19" s="12"/>
      <c r="BS19" s="12"/>
      <c r="BT19" s="12"/>
      <c r="BU19" s="12"/>
    </row>
    <row r="20" spans="1:73" x14ac:dyDescent="0.25">
      <c r="A20" s="3" t="s">
        <v>317</v>
      </c>
      <c r="B20" s="11" t="s">
        <v>298</v>
      </c>
      <c r="C20">
        <v>4</v>
      </c>
      <c r="D20" s="12"/>
      <c r="E20" s="13"/>
      <c r="F20" s="13" t="s">
        <v>391</v>
      </c>
      <c r="G20" s="13" t="s">
        <v>391</v>
      </c>
      <c r="H20" s="13" t="s">
        <v>391</v>
      </c>
      <c r="I20" s="13" t="s">
        <v>391</v>
      </c>
      <c r="J20" s="13" t="s">
        <v>391</v>
      </c>
      <c r="K20" s="13" t="s">
        <v>391</v>
      </c>
      <c r="L20" s="13" t="s">
        <v>391</v>
      </c>
      <c r="M20" s="13" t="s">
        <v>391</v>
      </c>
      <c r="N20" s="13" t="s">
        <v>391</v>
      </c>
      <c r="O20" s="13" t="s">
        <v>391</v>
      </c>
      <c r="P20" s="13" t="s">
        <v>391</v>
      </c>
      <c r="Q20" s="13" t="s">
        <v>391</v>
      </c>
      <c r="R20" s="13" t="s">
        <v>391</v>
      </c>
      <c r="S20" s="13" t="s">
        <v>391</v>
      </c>
      <c r="T20" s="12" t="s">
        <v>391</v>
      </c>
      <c r="U20" s="12" t="s">
        <v>391</v>
      </c>
      <c r="V20" s="12" t="s">
        <v>391</v>
      </c>
      <c r="W20" s="12" t="s">
        <v>391</v>
      </c>
      <c r="X20" s="12" t="s">
        <v>391</v>
      </c>
      <c r="Y20" s="12" t="s">
        <v>391</v>
      </c>
      <c r="Z20" s="12" t="s">
        <v>391</v>
      </c>
      <c r="AA20" s="12" t="s">
        <v>391</v>
      </c>
      <c r="AB20" s="12"/>
      <c r="AC20" s="12"/>
      <c r="AD20" s="12"/>
      <c r="AE20" s="12"/>
      <c r="AF20" s="12" t="s">
        <v>391</v>
      </c>
      <c r="AG20" s="12" t="s">
        <v>391</v>
      </c>
      <c r="AH20" s="12" t="s">
        <v>391</v>
      </c>
      <c r="AI20" s="12" t="s">
        <v>391</v>
      </c>
      <c r="AJ20" s="12" t="s">
        <v>391</v>
      </c>
      <c r="AK20" s="12" t="s">
        <v>391</v>
      </c>
      <c r="AL20" s="12" t="s">
        <v>391</v>
      </c>
      <c r="AM20" s="12" t="s">
        <v>391</v>
      </c>
      <c r="AN20" s="12" t="s">
        <v>391</v>
      </c>
      <c r="AO20" s="12" t="s">
        <v>391</v>
      </c>
      <c r="AP20" s="12" t="s">
        <v>391</v>
      </c>
      <c r="AQ20" s="12" t="s">
        <v>391</v>
      </c>
      <c r="AR20" s="12" t="s">
        <v>391</v>
      </c>
      <c r="AS20" s="12" t="s">
        <v>391</v>
      </c>
      <c r="AT20" s="12" t="s">
        <v>391</v>
      </c>
      <c r="AU20" s="12" t="s">
        <v>391</v>
      </c>
      <c r="AV20" s="12" t="s">
        <v>391</v>
      </c>
      <c r="AW20" s="12" t="s">
        <v>391</v>
      </c>
      <c r="AX20" s="12" t="s">
        <v>391</v>
      </c>
      <c r="AY20" s="12"/>
      <c r="AZ20" s="12"/>
      <c r="BA20" s="12"/>
      <c r="BB20" s="12"/>
      <c r="BC20" s="12"/>
      <c r="BD20" s="12"/>
      <c r="BE20" s="12"/>
      <c r="BF20" s="12"/>
      <c r="BG20" s="13" t="s">
        <v>391</v>
      </c>
      <c r="BH20" s="12"/>
      <c r="BI20" s="12"/>
      <c r="BJ20" s="12"/>
      <c r="BK20" s="12"/>
      <c r="BL20" s="12"/>
      <c r="BM20" s="12"/>
      <c r="BN20" s="12"/>
      <c r="BO20" s="12"/>
      <c r="BP20" s="12"/>
      <c r="BQ20" s="12"/>
      <c r="BR20" s="12"/>
      <c r="BS20" s="12"/>
      <c r="BT20" s="12"/>
      <c r="BU20" s="12"/>
    </row>
    <row r="21" spans="1:73" x14ac:dyDescent="0.25">
      <c r="A21" s="3" t="s">
        <v>417</v>
      </c>
      <c r="B21" s="11" t="s">
        <v>298</v>
      </c>
      <c r="C21">
        <v>4</v>
      </c>
      <c r="D21" s="12"/>
      <c r="E21" s="13"/>
      <c r="F21" s="13" t="s">
        <v>391</v>
      </c>
      <c r="G21" s="13" t="s">
        <v>391</v>
      </c>
      <c r="H21" s="13" t="s">
        <v>391</v>
      </c>
      <c r="I21" s="13" t="s">
        <v>391</v>
      </c>
      <c r="J21" s="13" t="s">
        <v>391</v>
      </c>
      <c r="K21" s="13" t="s">
        <v>391</v>
      </c>
      <c r="L21" s="13" t="s">
        <v>391</v>
      </c>
      <c r="M21" s="13" t="s">
        <v>391</v>
      </c>
      <c r="N21" s="13" t="s">
        <v>391</v>
      </c>
      <c r="O21" s="13" t="s">
        <v>391</v>
      </c>
      <c r="P21" s="13" t="s">
        <v>391</v>
      </c>
      <c r="Q21" s="13" t="s">
        <v>391</v>
      </c>
      <c r="R21" s="13" t="s">
        <v>391</v>
      </c>
      <c r="S21" s="13" t="s">
        <v>391</v>
      </c>
      <c r="T21" s="12" t="s">
        <v>391</v>
      </c>
      <c r="U21" s="12" t="s">
        <v>391</v>
      </c>
      <c r="V21" s="12" t="s">
        <v>391</v>
      </c>
      <c r="W21" s="12" t="s">
        <v>391</v>
      </c>
      <c r="X21" s="12" t="s">
        <v>391</v>
      </c>
      <c r="Y21" s="12" t="s">
        <v>391</v>
      </c>
      <c r="Z21" s="12"/>
      <c r="AA21" s="12"/>
      <c r="AB21" s="12"/>
      <c r="AC21" s="12"/>
      <c r="AD21" s="12"/>
      <c r="AE21" s="12"/>
      <c r="AF21" s="12" t="s">
        <v>391</v>
      </c>
      <c r="AG21" s="12" t="s">
        <v>391</v>
      </c>
      <c r="AH21" s="12" t="s">
        <v>391</v>
      </c>
      <c r="AI21" s="12" t="s">
        <v>391</v>
      </c>
      <c r="AJ21" s="12" t="s">
        <v>391</v>
      </c>
      <c r="AK21" s="12" t="s">
        <v>391</v>
      </c>
      <c r="AL21" s="12" t="s">
        <v>391</v>
      </c>
      <c r="AM21" s="12" t="s">
        <v>391</v>
      </c>
      <c r="AN21" s="12" t="s">
        <v>391</v>
      </c>
      <c r="AO21" s="12" t="s">
        <v>391</v>
      </c>
      <c r="AP21" s="12" t="s">
        <v>391</v>
      </c>
      <c r="AQ21" s="12" t="s">
        <v>391</v>
      </c>
      <c r="AR21" s="12" t="s">
        <v>391</v>
      </c>
      <c r="AS21" s="12" t="s">
        <v>391</v>
      </c>
      <c r="AT21" s="12" t="s">
        <v>391</v>
      </c>
      <c r="AU21" s="12" t="s">
        <v>391</v>
      </c>
      <c r="AV21" s="12" t="s">
        <v>391</v>
      </c>
      <c r="AW21" s="12" t="s">
        <v>391</v>
      </c>
      <c r="AX21" s="12" t="s">
        <v>391</v>
      </c>
      <c r="AY21" s="12"/>
      <c r="AZ21" s="12"/>
      <c r="BA21" s="12"/>
      <c r="BB21" s="12"/>
      <c r="BC21" s="12"/>
      <c r="BD21" s="12"/>
      <c r="BE21" s="12"/>
      <c r="BF21" s="12"/>
      <c r="BG21" s="13" t="s">
        <v>391</v>
      </c>
      <c r="BH21" s="12"/>
      <c r="BI21" s="12"/>
      <c r="BJ21" s="12"/>
      <c r="BK21" s="12"/>
      <c r="BL21" s="12"/>
      <c r="BM21" s="12"/>
      <c r="BN21" s="12"/>
      <c r="BO21" s="12"/>
      <c r="BP21" s="12"/>
      <c r="BQ21" s="12"/>
      <c r="BR21" s="12"/>
      <c r="BS21" s="12"/>
      <c r="BT21" s="12"/>
      <c r="BU21" s="12"/>
    </row>
    <row r="22" spans="1:73" x14ac:dyDescent="0.25">
      <c r="A22" s="3" t="s">
        <v>418</v>
      </c>
      <c r="B22" s="11" t="s">
        <v>298</v>
      </c>
      <c r="C22">
        <v>4</v>
      </c>
      <c r="D22" s="12"/>
      <c r="E22" s="13"/>
      <c r="F22" s="13" t="s">
        <v>391</v>
      </c>
      <c r="G22" s="13" t="s">
        <v>391</v>
      </c>
      <c r="H22" s="13" t="s">
        <v>391</v>
      </c>
      <c r="I22" s="13" t="s">
        <v>391</v>
      </c>
      <c r="J22" s="13" t="s">
        <v>391</v>
      </c>
      <c r="K22" s="13" t="s">
        <v>391</v>
      </c>
      <c r="L22" s="13" t="s">
        <v>391</v>
      </c>
      <c r="M22" s="13" t="s">
        <v>391</v>
      </c>
      <c r="N22" s="13" t="s">
        <v>391</v>
      </c>
      <c r="O22" s="13" t="s">
        <v>391</v>
      </c>
      <c r="P22" s="13" t="s">
        <v>391</v>
      </c>
      <c r="Q22" s="13" t="s">
        <v>391</v>
      </c>
      <c r="R22" s="13" t="s">
        <v>391</v>
      </c>
      <c r="S22" s="13" t="s">
        <v>391</v>
      </c>
      <c r="T22" s="12" t="s">
        <v>391</v>
      </c>
      <c r="U22" s="12" t="s">
        <v>391</v>
      </c>
      <c r="V22" s="12" t="s">
        <v>391</v>
      </c>
      <c r="W22" s="12" t="s">
        <v>391</v>
      </c>
      <c r="X22" s="12" t="s">
        <v>391</v>
      </c>
      <c r="Y22" s="12" t="s">
        <v>391</v>
      </c>
      <c r="Z22" s="12" t="s">
        <v>391</v>
      </c>
      <c r="AA22" s="12" t="s">
        <v>391</v>
      </c>
      <c r="AB22" s="12"/>
      <c r="AC22" s="12"/>
      <c r="AD22" s="12"/>
      <c r="AE22" s="12"/>
      <c r="AF22" s="12" t="s">
        <v>391</v>
      </c>
      <c r="AG22" s="12" t="s">
        <v>391</v>
      </c>
      <c r="AH22" s="12" t="s">
        <v>391</v>
      </c>
      <c r="AI22" s="12" t="s">
        <v>391</v>
      </c>
      <c r="AJ22" s="12" t="s">
        <v>391</v>
      </c>
      <c r="AK22" s="12" t="s">
        <v>391</v>
      </c>
      <c r="AL22" s="12" t="s">
        <v>391</v>
      </c>
      <c r="AM22" s="12" t="s">
        <v>391</v>
      </c>
      <c r="AN22" s="12" t="s">
        <v>391</v>
      </c>
      <c r="AO22" s="12" t="s">
        <v>391</v>
      </c>
      <c r="AP22" s="12" t="s">
        <v>391</v>
      </c>
      <c r="AQ22" s="12" t="s">
        <v>391</v>
      </c>
      <c r="AR22" s="12" t="s">
        <v>391</v>
      </c>
      <c r="AS22" s="12" t="s">
        <v>391</v>
      </c>
      <c r="AT22" s="12" t="s">
        <v>391</v>
      </c>
      <c r="AU22" s="12" t="s">
        <v>391</v>
      </c>
      <c r="AV22" s="12" t="s">
        <v>391</v>
      </c>
      <c r="AW22" s="12" t="s">
        <v>391</v>
      </c>
      <c r="AX22" s="12" t="s">
        <v>391</v>
      </c>
      <c r="AY22" s="12"/>
      <c r="AZ22" s="12"/>
      <c r="BA22" s="12"/>
      <c r="BB22" s="12"/>
      <c r="BC22" s="12"/>
      <c r="BD22" s="12"/>
      <c r="BE22" s="12"/>
      <c r="BF22" s="12"/>
      <c r="BG22" s="13" t="s">
        <v>391</v>
      </c>
      <c r="BH22" s="12"/>
      <c r="BI22" s="12"/>
      <c r="BJ22" s="12"/>
      <c r="BK22" s="12"/>
      <c r="BL22" s="12"/>
      <c r="BM22" s="12"/>
      <c r="BN22" s="12"/>
      <c r="BO22" s="12"/>
      <c r="BP22" s="12"/>
      <c r="BQ22" s="12"/>
      <c r="BR22" s="12"/>
      <c r="BS22" s="12"/>
      <c r="BT22" s="12"/>
      <c r="BU22" s="12"/>
    </row>
    <row r="23" spans="1:73" x14ac:dyDescent="0.25">
      <c r="A23" s="3" t="s">
        <v>419</v>
      </c>
      <c r="B23" s="11" t="s">
        <v>298</v>
      </c>
      <c r="C23">
        <v>4</v>
      </c>
      <c r="D23" s="12"/>
      <c r="E23" s="13"/>
      <c r="F23" s="13" t="s">
        <v>391</v>
      </c>
      <c r="G23" s="13" t="s">
        <v>391</v>
      </c>
      <c r="H23" s="13" t="s">
        <v>391</v>
      </c>
      <c r="I23" s="13" t="s">
        <v>391</v>
      </c>
      <c r="J23" s="13" t="s">
        <v>391</v>
      </c>
      <c r="K23" s="13" t="s">
        <v>391</v>
      </c>
      <c r="L23" s="13" t="s">
        <v>391</v>
      </c>
      <c r="M23" s="13" t="s">
        <v>391</v>
      </c>
      <c r="N23" s="13" t="s">
        <v>391</v>
      </c>
      <c r="O23" s="13" t="s">
        <v>391</v>
      </c>
      <c r="P23" s="13" t="s">
        <v>391</v>
      </c>
      <c r="Q23" s="13" t="s">
        <v>391</v>
      </c>
      <c r="R23" s="13" t="s">
        <v>391</v>
      </c>
      <c r="S23" s="13" t="s">
        <v>391</v>
      </c>
      <c r="T23" s="12" t="s">
        <v>391</v>
      </c>
      <c r="U23" s="12" t="s">
        <v>391</v>
      </c>
      <c r="V23" s="12" t="s">
        <v>391</v>
      </c>
      <c r="W23" s="12" t="s">
        <v>391</v>
      </c>
      <c r="X23" s="12" t="s">
        <v>391</v>
      </c>
      <c r="Y23" s="12" t="s">
        <v>391</v>
      </c>
      <c r="Z23" s="12" t="s">
        <v>391</v>
      </c>
      <c r="AA23" s="12" t="s">
        <v>391</v>
      </c>
      <c r="AB23" s="12"/>
      <c r="AC23" s="12"/>
      <c r="AD23" s="12"/>
      <c r="AE23" s="12"/>
      <c r="AF23" s="12" t="s">
        <v>391</v>
      </c>
      <c r="AG23" s="12" t="s">
        <v>391</v>
      </c>
      <c r="AH23" s="12" t="s">
        <v>391</v>
      </c>
      <c r="AI23" s="12" t="s">
        <v>391</v>
      </c>
      <c r="AJ23" s="12" t="s">
        <v>391</v>
      </c>
      <c r="AK23" s="12" t="s">
        <v>391</v>
      </c>
      <c r="AL23" s="12" t="s">
        <v>391</v>
      </c>
      <c r="AM23" s="12" t="s">
        <v>391</v>
      </c>
      <c r="AN23" s="12" t="s">
        <v>391</v>
      </c>
      <c r="AO23" s="12" t="s">
        <v>391</v>
      </c>
      <c r="AP23" s="12" t="s">
        <v>391</v>
      </c>
      <c r="AQ23" s="12" t="s">
        <v>391</v>
      </c>
      <c r="AR23" s="12" t="s">
        <v>391</v>
      </c>
      <c r="AS23" s="12" t="s">
        <v>391</v>
      </c>
      <c r="AT23" s="12" t="s">
        <v>391</v>
      </c>
      <c r="AU23" s="12" t="s">
        <v>391</v>
      </c>
      <c r="AV23" s="12" t="s">
        <v>391</v>
      </c>
      <c r="AW23" s="12" t="s">
        <v>391</v>
      </c>
      <c r="AX23" s="12" t="s">
        <v>391</v>
      </c>
      <c r="AY23" s="12"/>
      <c r="AZ23" s="12"/>
      <c r="BA23" s="12"/>
      <c r="BB23" s="12"/>
      <c r="BC23" s="12"/>
      <c r="BD23" s="12"/>
      <c r="BE23" s="12"/>
      <c r="BF23" s="12"/>
      <c r="BG23" s="13" t="s">
        <v>391</v>
      </c>
      <c r="BH23" s="12"/>
      <c r="BI23" s="12"/>
      <c r="BJ23" s="12"/>
      <c r="BK23" s="12"/>
      <c r="BL23" s="12"/>
      <c r="BM23" s="12"/>
      <c r="BN23" s="12"/>
      <c r="BO23" s="12"/>
      <c r="BP23" s="12"/>
      <c r="BQ23" s="12"/>
      <c r="BR23" s="12"/>
      <c r="BS23" s="12"/>
      <c r="BT23" s="12"/>
      <c r="BU23" s="12"/>
    </row>
    <row r="24" spans="1:73" x14ac:dyDescent="0.25">
      <c r="A24" s="3" t="s">
        <v>700</v>
      </c>
      <c r="B24" s="11" t="s">
        <v>298</v>
      </c>
      <c r="C24">
        <v>4</v>
      </c>
      <c r="D24" s="12"/>
      <c r="E24" s="13"/>
      <c r="F24" s="13" t="s">
        <v>391</v>
      </c>
      <c r="G24" s="13" t="s">
        <v>391</v>
      </c>
      <c r="H24" s="13" t="s">
        <v>391</v>
      </c>
      <c r="I24" s="13" t="s">
        <v>391</v>
      </c>
      <c r="J24" s="13" t="s">
        <v>391</v>
      </c>
      <c r="K24" s="13" t="s">
        <v>391</v>
      </c>
      <c r="L24" s="13" t="s">
        <v>391</v>
      </c>
      <c r="M24" s="13" t="s">
        <v>391</v>
      </c>
      <c r="N24" s="13" t="s">
        <v>391</v>
      </c>
      <c r="O24" s="13" t="s">
        <v>391</v>
      </c>
      <c r="P24" s="13" t="s">
        <v>391</v>
      </c>
      <c r="Q24" s="13" t="s">
        <v>391</v>
      </c>
      <c r="R24" s="13" t="s">
        <v>391</v>
      </c>
      <c r="S24" s="13" t="s">
        <v>391</v>
      </c>
      <c r="T24" s="12" t="s">
        <v>391</v>
      </c>
      <c r="U24" s="12" t="s">
        <v>391</v>
      </c>
      <c r="V24" s="12" t="s">
        <v>391</v>
      </c>
      <c r="W24" s="12" t="s">
        <v>391</v>
      </c>
      <c r="X24" s="12" t="s">
        <v>391</v>
      </c>
      <c r="Y24" s="12" t="s">
        <v>391</v>
      </c>
      <c r="Z24" s="12"/>
      <c r="AA24" s="12"/>
      <c r="AB24" s="12"/>
      <c r="AC24" s="12"/>
      <c r="AD24" s="12"/>
      <c r="AE24" s="12"/>
      <c r="AF24" s="12" t="s">
        <v>391</v>
      </c>
      <c r="AG24" s="12" t="s">
        <v>391</v>
      </c>
      <c r="AH24" s="12" t="s">
        <v>391</v>
      </c>
      <c r="AI24" s="12" t="s">
        <v>391</v>
      </c>
      <c r="AJ24" s="12" t="s">
        <v>391</v>
      </c>
      <c r="AK24" s="12" t="s">
        <v>391</v>
      </c>
      <c r="AL24" s="12" t="s">
        <v>391</v>
      </c>
      <c r="AM24" s="12" t="s">
        <v>391</v>
      </c>
      <c r="AN24" s="12" t="s">
        <v>391</v>
      </c>
      <c r="AO24" s="12" t="s">
        <v>391</v>
      </c>
      <c r="AP24" s="12" t="s">
        <v>391</v>
      </c>
      <c r="AQ24" s="12" t="s">
        <v>391</v>
      </c>
      <c r="AR24" s="12" t="s">
        <v>391</v>
      </c>
      <c r="AS24" s="12" t="s">
        <v>391</v>
      </c>
      <c r="AT24" s="12" t="s">
        <v>391</v>
      </c>
      <c r="AU24" s="12" t="s">
        <v>391</v>
      </c>
      <c r="AV24" s="12" t="s">
        <v>391</v>
      </c>
      <c r="AW24" s="12" t="s">
        <v>391</v>
      </c>
      <c r="AX24" s="12" t="s">
        <v>391</v>
      </c>
      <c r="AY24" s="12"/>
      <c r="AZ24" s="12"/>
      <c r="BA24" s="12"/>
      <c r="BB24" s="12"/>
      <c r="BC24" s="12"/>
      <c r="BD24" s="12"/>
      <c r="BE24" s="12"/>
      <c r="BF24" s="12"/>
      <c r="BG24" s="13" t="s">
        <v>391</v>
      </c>
      <c r="BH24" s="12"/>
      <c r="BI24" s="12"/>
      <c r="BJ24" s="12"/>
      <c r="BK24" s="12"/>
      <c r="BL24" s="12"/>
      <c r="BM24" s="12"/>
      <c r="BN24" s="12"/>
      <c r="BO24" s="12"/>
      <c r="BP24" s="12"/>
      <c r="BQ24" s="12"/>
      <c r="BR24" s="12"/>
      <c r="BS24" s="12"/>
      <c r="BT24" s="12"/>
      <c r="BU24" s="12"/>
    </row>
    <row r="25" spans="1:73" x14ac:dyDescent="0.25">
      <c r="A25" s="3" t="s">
        <v>420</v>
      </c>
      <c r="B25" s="11" t="s">
        <v>298</v>
      </c>
      <c r="C25">
        <v>4</v>
      </c>
      <c r="D25" s="12"/>
      <c r="E25" s="13"/>
      <c r="F25" s="13" t="s">
        <v>391</v>
      </c>
      <c r="G25" s="13" t="s">
        <v>391</v>
      </c>
      <c r="H25" s="13" t="s">
        <v>391</v>
      </c>
      <c r="I25" s="13" t="s">
        <v>391</v>
      </c>
      <c r="J25" s="13" t="s">
        <v>391</v>
      </c>
      <c r="K25" s="13" t="s">
        <v>391</v>
      </c>
      <c r="L25" s="13" t="s">
        <v>391</v>
      </c>
      <c r="M25" s="13" t="s">
        <v>391</v>
      </c>
      <c r="N25" s="13" t="s">
        <v>391</v>
      </c>
      <c r="O25" s="13" t="s">
        <v>391</v>
      </c>
      <c r="P25" s="13" t="s">
        <v>391</v>
      </c>
      <c r="Q25" s="13" t="s">
        <v>391</v>
      </c>
      <c r="R25" s="13" t="s">
        <v>391</v>
      </c>
      <c r="S25" s="13" t="s">
        <v>391</v>
      </c>
      <c r="T25" s="12" t="s">
        <v>391</v>
      </c>
      <c r="U25" s="12" t="s">
        <v>391</v>
      </c>
      <c r="V25" s="12" t="s">
        <v>391</v>
      </c>
      <c r="W25" s="12" t="s">
        <v>391</v>
      </c>
      <c r="X25" s="12" t="s">
        <v>391</v>
      </c>
      <c r="Y25" s="12"/>
      <c r="Z25" s="12" t="s">
        <v>391</v>
      </c>
      <c r="AA25" s="12" t="s">
        <v>391</v>
      </c>
      <c r="AB25" s="12"/>
      <c r="AC25" s="12"/>
      <c r="AD25" s="12"/>
      <c r="AE25" s="12"/>
      <c r="AF25" s="12" t="s">
        <v>391</v>
      </c>
      <c r="AG25" s="12" t="s">
        <v>391</v>
      </c>
      <c r="AH25" s="12" t="s">
        <v>391</v>
      </c>
      <c r="AI25" s="12" t="s">
        <v>391</v>
      </c>
      <c r="AJ25" s="12" t="s">
        <v>391</v>
      </c>
      <c r="AK25" s="12" t="s">
        <v>391</v>
      </c>
      <c r="AL25" s="12" t="s">
        <v>391</v>
      </c>
      <c r="AM25" s="12" t="s">
        <v>391</v>
      </c>
      <c r="AN25" s="12" t="s">
        <v>391</v>
      </c>
      <c r="AO25" s="12" t="s">
        <v>391</v>
      </c>
      <c r="AP25" s="12" t="s">
        <v>391</v>
      </c>
      <c r="AQ25" s="12" t="s">
        <v>391</v>
      </c>
      <c r="AR25" s="12" t="s">
        <v>391</v>
      </c>
      <c r="AS25" s="12" t="s">
        <v>391</v>
      </c>
      <c r="AT25" s="12" t="s">
        <v>391</v>
      </c>
      <c r="AU25" s="12" t="s">
        <v>391</v>
      </c>
      <c r="AV25" s="12" t="s">
        <v>391</v>
      </c>
      <c r="AW25" s="12" t="s">
        <v>391</v>
      </c>
      <c r="AX25" s="12" t="s">
        <v>391</v>
      </c>
      <c r="AY25" s="12"/>
      <c r="AZ25" s="12"/>
      <c r="BA25" s="12"/>
      <c r="BB25" s="12"/>
      <c r="BC25" s="12"/>
      <c r="BD25" s="12"/>
      <c r="BE25" s="12"/>
      <c r="BF25" s="12"/>
      <c r="BG25" s="13" t="s">
        <v>391</v>
      </c>
      <c r="BH25" s="12"/>
      <c r="BI25" s="12"/>
      <c r="BJ25" s="12"/>
      <c r="BK25" s="12"/>
      <c r="BL25" s="12"/>
      <c r="BM25" s="12"/>
      <c r="BN25" s="12"/>
      <c r="BO25" s="12"/>
      <c r="BP25" s="12"/>
      <c r="BQ25" s="12"/>
      <c r="BR25" s="12"/>
      <c r="BS25" s="12"/>
      <c r="BT25" s="12"/>
      <c r="BU25" s="12"/>
    </row>
    <row r="26" spans="1:73" ht="25" x14ac:dyDescent="0.25">
      <c r="A26" s="3" t="s">
        <v>940</v>
      </c>
      <c r="B26" s="11" t="s">
        <v>298</v>
      </c>
      <c r="C26">
        <v>4</v>
      </c>
      <c r="D26" s="12"/>
      <c r="E26" s="13"/>
      <c r="F26" s="13" t="s">
        <v>391</v>
      </c>
      <c r="G26" s="13" t="s">
        <v>391</v>
      </c>
      <c r="H26" s="13" t="s">
        <v>391</v>
      </c>
      <c r="I26" s="13" t="s">
        <v>391</v>
      </c>
      <c r="J26" s="13" t="s">
        <v>391</v>
      </c>
      <c r="K26" s="13" t="s">
        <v>391</v>
      </c>
      <c r="L26" s="13" t="s">
        <v>391</v>
      </c>
      <c r="M26" s="13" t="s">
        <v>391</v>
      </c>
      <c r="N26" s="13" t="s">
        <v>391</v>
      </c>
      <c r="O26" s="13" t="s">
        <v>391</v>
      </c>
      <c r="P26" s="13" t="s">
        <v>391</v>
      </c>
      <c r="Q26" s="13" t="s">
        <v>391</v>
      </c>
      <c r="R26" s="13" t="s">
        <v>391</v>
      </c>
      <c r="S26" s="13" t="s">
        <v>391</v>
      </c>
      <c r="T26" s="12" t="s">
        <v>391</v>
      </c>
      <c r="U26" s="12" t="s">
        <v>391</v>
      </c>
      <c r="V26" s="12" t="s">
        <v>391</v>
      </c>
      <c r="W26" s="12" t="s">
        <v>391</v>
      </c>
      <c r="X26" s="12" t="s">
        <v>391</v>
      </c>
      <c r="Y26" s="12"/>
      <c r="Z26" s="12" t="s">
        <v>391</v>
      </c>
      <c r="AA26" s="12" t="s">
        <v>391</v>
      </c>
      <c r="AB26" s="12"/>
      <c r="AC26" s="12"/>
      <c r="AD26" s="12"/>
      <c r="AE26" s="12"/>
      <c r="AF26" s="12" t="s">
        <v>391</v>
      </c>
      <c r="AG26" s="12" t="s">
        <v>391</v>
      </c>
      <c r="AH26" s="12" t="s">
        <v>391</v>
      </c>
      <c r="AI26" s="12" t="s">
        <v>391</v>
      </c>
      <c r="AJ26" s="12" t="s">
        <v>391</v>
      </c>
      <c r="AK26" s="12" t="s">
        <v>391</v>
      </c>
      <c r="AL26" s="12" t="s">
        <v>391</v>
      </c>
      <c r="AM26" s="12" t="s">
        <v>391</v>
      </c>
      <c r="AN26" s="12" t="s">
        <v>391</v>
      </c>
      <c r="AO26" s="12" t="s">
        <v>391</v>
      </c>
      <c r="AP26" s="12" t="s">
        <v>391</v>
      </c>
      <c r="AQ26" s="12" t="s">
        <v>391</v>
      </c>
      <c r="AR26" s="12" t="s">
        <v>391</v>
      </c>
      <c r="AS26" s="12" t="s">
        <v>391</v>
      </c>
      <c r="AT26" s="12" t="s">
        <v>391</v>
      </c>
      <c r="AU26" s="12" t="s">
        <v>391</v>
      </c>
      <c r="AV26" s="12" t="s">
        <v>391</v>
      </c>
      <c r="AW26" s="12" t="s">
        <v>391</v>
      </c>
      <c r="AX26" s="12" t="s">
        <v>391</v>
      </c>
      <c r="AY26" s="12" t="s">
        <v>391</v>
      </c>
      <c r="AZ26" s="12" t="s">
        <v>391</v>
      </c>
      <c r="BA26" s="12" t="s">
        <v>391</v>
      </c>
      <c r="BB26" s="12"/>
      <c r="BC26" s="12"/>
      <c r="BD26" s="12"/>
      <c r="BE26" s="12"/>
      <c r="BF26" s="12"/>
      <c r="BG26" s="13" t="s">
        <v>391</v>
      </c>
      <c r="BH26" s="12"/>
      <c r="BI26" s="12"/>
      <c r="BJ26" s="12"/>
      <c r="BK26" s="12"/>
      <c r="BL26" s="12"/>
      <c r="BM26" s="12"/>
      <c r="BN26" s="12"/>
      <c r="BO26" s="12"/>
      <c r="BP26" s="12"/>
      <c r="BQ26" s="12"/>
      <c r="BR26" s="12"/>
      <c r="BS26" s="12"/>
      <c r="BT26" s="12"/>
      <c r="BU26" s="12"/>
    </row>
    <row r="27" spans="1:73" x14ac:dyDescent="0.25">
      <c r="A27" s="3" t="s">
        <v>421</v>
      </c>
      <c r="B27" s="11" t="s">
        <v>298</v>
      </c>
      <c r="C27">
        <v>4</v>
      </c>
      <c r="D27" s="12"/>
      <c r="E27" s="13"/>
      <c r="F27" s="13" t="s">
        <v>391</v>
      </c>
      <c r="G27" s="13" t="s">
        <v>391</v>
      </c>
      <c r="H27" s="13" t="s">
        <v>391</v>
      </c>
      <c r="I27" s="13" t="s">
        <v>391</v>
      </c>
      <c r="J27" s="13" t="s">
        <v>391</v>
      </c>
      <c r="K27" s="13" t="s">
        <v>391</v>
      </c>
      <c r="L27" s="13" t="s">
        <v>391</v>
      </c>
      <c r="M27" s="13" t="s">
        <v>391</v>
      </c>
      <c r="N27" s="13" t="s">
        <v>391</v>
      </c>
      <c r="O27" s="13" t="s">
        <v>391</v>
      </c>
      <c r="P27" s="13" t="s">
        <v>391</v>
      </c>
      <c r="Q27" s="13" t="s">
        <v>391</v>
      </c>
      <c r="R27" s="13" t="s">
        <v>391</v>
      </c>
      <c r="S27" s="13" t="s">
        <v>391</v>
      </c>
      <c r="T27" s="12" t="s">
        <v>391</v>
      </c>
      <c r="U27" s="12" t="s">
        <v>391</v>
      </c>
      <c r="V27" s="12" t="s">
        <v>391</v>
      </c>
      <c r="W27" s="12" t="s">
        <v>391</v>
      </c>
      <c r="X27" s="12" t="s">
        <v>391</v>
      </c>
      <c r="Y27" s="12"/>
      <c r="Z27" s="12" t="s">
        <v>391</v>
      </c>
      <c r="AA27" s="12" t="s">
        <v>391</v>
      </c>
      <c r="AB27" s="12"/>
      <c r="AC27" s="12"/>
      <c r="AD27" s="13" t="s">
        <v>391</v>
      </c>
      <c r="AE27" s="12"/>
      <c r="AF27" s="12" t="s">
        <v>391</v>
      </c>
      <c r="AG27" s="12" t="s">
        <v>391</v>
      </c>
      <c r="AH27" s="12" t="s">
        <v>391</v>
      </c>
      <c r="AI27" s="12" t="s">
        <v>391</v>
      </c>
      <c r="AJ27" s="12" t="s">
        <v>391</v>
      </c>
      <c r="AK27" s="12" t="s">
        <v>391</v>
      </c>
      <c r="AL27" s="12" t="s">
        <v>391</v>
      </c>
      <c r="AM27" s="12" t="s">
        <v>391</v>
      </c>
      <c r="AN27" s="12" t="s">
        <v>391</v>
      </c>
      <c r="AO27" s="12" t="s">
        <v>391</v>
      </c>
      <c r="AP27" s="12" t="s">
        <v>391</v>
      </c>
      <c r="AQ27" s="12" t="s">
        <v>391</v>
      </c>
      <c r="AR27" s="12" t="s">
        <v>391</v>
      </c>
      <c r="AS27" s="12" t="s">
        <v>391</v>
      </c>
      <c r="AT27" s="12" t="s">
        <v>391</v>
      </c>
      <c r="AU27" s="12" t="s">
        <v>391</v>
      </c>
      <c r="AV27" s="12" t="s">
        <v>391</v>
      </c>
      <c r="AW27" s="12" t="s">
        <v>391</v>
      </c>
      <c r="AX27" s="12" t="s">
        <v>391</v>
      </c>
      <c r="AY27" s="12"/>
      <c r="AZ27" s="12"/>
      <c r="BA27" s="12"/>
      <c r="BB27" s="12"/>
      <c r="BC27" s="12"/>
      <c r="BD27" s="12"/>
      <c r="BE27" s="12" t="s">
        <v>391</v>
      </c>
      <c r="BF27" s="12" t="s">
        <v>391</v>
      </c>
      <c r="BG27" s="13" t="s">
        <v>391</v>
      </c>
      <c r="BH27" s="12"/>
      <c r="BI27" s="12"/>
      <c r="BJ27" s="12"/>
      <c r="BK27" s="12"/>
      <c r="BL27" s="12"/>
      <c r="BM27" s="12"/>
      <c r="BN27" s="12"/>
      <c r="BO27" s="12"/>
      <c r="BP27" s="12"/>
      <c r="BQ27" s="12"/>
      <c r="BR27" s="12"/>
      <c r="BS27" s="12"/>
      <c r="BT27" s="12"/>
      <c r="BU27" s="12"/>
    </row>
    <row r="28" spans="1:73" x14ac:dyDescent="0.25">
      <c r="A28" s="3" t="s">
        <v>422</v>
      </c>
      <c r="B28" s="11" t="s">
        <v>298</v>
      </c>
      <c r="C28">
        <v>4</v>
      </c>
      <c r="D28" s="12"/>
      <c r="E28" s="13"/>
      <c r="F28" s="13" t="s">
        <v>391</v>
      </c>
      <c r="G28" s="13" t="s">
        <v>391</v>
      </c>
      <c r="H28" s="13" t="s">
        <v>391</v>
      </c>
      <c r="I28" s="13" t="s">
        <v>391</v>
      </c>
      <c r="J28" s="13" t="s">
        <v>391</v>
      </c>
      <c r="K28" s="13" t="s">
        <v>391</v>
      </c>
      <c r="L28" s="13" t="s">
        <v>391</v>
      </c>
      <c r="M28" s="13" t="s">
        <v>391</v>
      </c>
      <c r="N28" s="13" t="s">
        <v>391</v>
      </c>
      <c r="O28" s="13" t="s">
        <v>391</v>
      </c>
      <c r="P28" s="13" t="s">
        <v>391</v>
      </c>
      <c r="Q28" s="13" t="s">
        <v>391</v>
      </c>
      <c r="R28" s="13" t="s">
        <v>391</v>
      </c>
      <c r="S28" s="13" t="s">
        <v>391</v>
      </c>
      <c r="T28" s="12" t="s">
        <v>391</v>
      </c>
      <c r="U28" s="12" t="s">
        <v>391</v>
      </c>
      <c r="V28" s="12" t="s">
        <v>391</v>
      </c>
      <c r="W28" s="12" t="s">
        <v>391</v>
      </c>
      <c r="X28" s="12" t="s">
        <v>391</v>
      </c>
      <c r="Y28" s="12"/>
      <c r="Z28" s="12" t="s">
        <v>391</v>
      </c>
      <c r="AA28" s="12" t="s">
        <v>391</v>
      </c>
      <c r="AB28" s="12"/>
      <c r="AC28" s="12"/>
      <c r="AD28" s="13" t="s">
        <v>391</v>
      </c>
      <c r="AE28" s="12"/>
      <c r="AF28" s="12" t="s">
        <v>391</v>
      </c>
      <c r="AG28" s="12" t="s">
        <v>391</v>
      </c>
      <c r="AH28" s="12" t="s">
        <v>391</v>
      </c>
      <c r="AI28" s="12" t="s">
        <v>391</v>
      </c>
      <c r="AJ28" s="12" t="s">
        <v>391</v>
      </c>
      <c r="AK28" s="12" t="s">
        <v>391</v>
      </c>
      <c r="AL28" s="12" t="s">
        <v>391</v>
      </c>
      <c r="AM28" s="12" t="s">
        <v>391</v>
      </c>
      <c r="AN28" s="12" t="s">
        <v>391</v>
      </c>
      <c r="AO28" s="12" t="s">
        <v>391</v>
      </c>
      <c r="AP28" s="12" t="s">
        <v>391</v>
      </c>
      <c r="AQ28" s="12" t="s">
        <v>391</v>
      </c>
      <c r="AR28" s="12" t="s">
        <v>391</v>
      </c>
      <c r="AS28" s="12" t="s">
        <v>391</v>
      </c>
      <c r="AT28" s="12" t="s">
        <v>391</v>
      </c>
      <c r="AU28" s="12" t="s">
        <v>391</v>
      </c>
      <c r="AV28" s="12" t="s">
        <v>391</v>
      </c>
      <c r="AW28" s="12" t="s">
        <v>391</v>
      </c>
      <c r="AX28" s="12" t="s">
        <v>391</v>
      </c>
      <c r="AY28" s="12"/>
      <c r="AZ28" s="12"/>
      <c r="BA28" s="12"/>
      <c r="BB28" s="12"/>
      <c r="BC28" s="12"/>
      <c r="BD28" s="12"/>
      <c r="BE28" s="12" t="s">
        <v>391</v>
      </c>
      <c r="BF28" s="12" t="s">
        <v>391</v>
      </c>
      <c r="BG28" s="13" t="s">
        <v>391</v>
      </c>
      <c r="BH28" s="12"/>
      <c r="BI28" s="12"/>
      <c r="BJ28" s="12"/>
      <c r="BK28" s="12"/>
      <c r="BL28" s="12"/>
      <c r="BM28" s="12"/>
      <c r="BN28" s="12"/>
      <c r="BO28" s="12"/>
      <c r="BP28" s="12"/>
      <c r="BQ28" s="12"/>
      <c r="BR28" s="12"/>
      <c r="BS28" s="12"/>
      <c r="BT28" s="12"/>
      <c r="BU28" s="12"/>
    </row>
    <row r="29" spans="1:73" ht="25" x14ac:dyDescent="0.25">
      <c r="A29" s="3" t="s">
        <v>706</v>
      </c>
      <c r="B29" s="11" t="s">
        <v>298</v>
      </c>
      <c r="C29">
        <v>4</v>
      </c>
      <c r="D29" s="12"/>
      <c r="E29" s="13"/>
      <c r="F29" s="13" t="s">
        <v>391</v>
      </c>
      <c r="G29" s="13" t="s">
        <v>391</v>
      </c>
      <c r="H29" s="13" t="s">
        <v>391</v>
      </c>
      <c r="I29" s="13" t="s">
        <v>391</v>
      </c>
      <c r="J29" s="13" t="s">
        <v>391</v>
      </c>
      <c r="K29" s="13" t="s">
        <v>391</v>
      </c>
      <c r="L29" s="13" t="s">
        <v>391</v>
      </c>
      <c r="M29" s="13" t="s">
        <v>391</v>
      </c>
      <c r="N29" s="13" t="s">
        <v>391</v>
      </c>
      <c r="O29" s="13" t="s">
        <v>391</v>
      </c>
      <c r="P29" s="13" t="s">
        <v>391</v>
      </c>
      <c r="Q29" s="13" t="s">
        <v>391</v>
      </c>
      <c r="R29" s="13" t="s">
        <v>391</v>
      </c>
      <c r="S29" s="13" t="s">
        <v>391</v>
      </c>
      <c r="T29" s="12" t="s">
        <v>391</v>
      </c>
      <c r="U29" s="12" t="s">
        <v>391</v>
      </c>
      <c r="V29" s="12" t="s">
        <v>391</v>
      </c>
      <c r="W29" s="12" t="s">
        <v>391</v>
      </c>
      <c r="X29" s="12" t="s">
        <v>391</v>
      </c>
      <c r="Y29" s="12"/>
      <c r="Z29" s="12" t="s">
        <v>391</v>
      </c>
      <c r="AA29" s="12" t="s">
        <v>391</v>
      </c>
      <c r="AB29" s="12"/>
      <c r="AC29" s="12"/>
      <c r="AD29" s="13" t="s">
        <v>391</v>
      </c>
      <c r="AE29" s="12"/>
      <c r="AF29" s="12" t="s">
        <v>391</v>
      </c>
      <c r="AG29" s="12" t="s">
        <v>391</v>
      </c>
      <c r="AH29" s="12" t="s">
        <v>391</v>
      </c>
      <c r="AI29" s="12" t="s">
        <v>391</v>
      </c>
      <c r="AJ29" s="12" t="s">
        <v>391</v>
      </c>
      <c r="AK29" s="12" t="s">
        <v>391</v>
      </c>
      <c r="AL29" s="12" t="s">
        <v>391</v>
      </c>
      <c r="AM29" s="12" t="s">
        <v>391</v>
      </c>
      <c r="AN29" s="12" t="s">
        <v>391</v>
      </c>
      <c r="AO29" s="12" t="s">
        <v>391</v>
      </c>
      <c r="AP29" s="12" t="s">
        <v>391</v>
      </c>
      <c r="AQ29" s="12" t="s">
        <v>391</v>
      </c>
      <c r="AR29" s="12" t="s">
        <v>391</v>
      </c>
      <c r="AS29" s="12" t="s">
        <v>391</v>
      </c>
      <c r="AT29" s="12" t="s">
        <v>391</v>
      </c>
      <c r="AU29" s="12" t="s">
        <v>391</v>
      </c>
      <c r="AV29" s="12" t="s">
        <v>391</v>
      </c>
      <c r="AW29" s="12" t="s">
        <v>391</v>
      </c>
      <c r="AX29" s="12" t="s">
        <v>391</v>
      </c>
      <c r="AY29" s="12"/>
      <c r="AZ29" s="12"/>
      <c r="BA29" s="12"/>
      <c r="BB29" s="12"/>
      <c r="BC29" s="12"/>
      <c r="BD29" s="12"/>
      <c r="BE29" s="12" t="s">
        <v>391</v>
      </c>
      <c r="BF29" s="12" t="s">
        <v>391</v>
      </c>
      <c r="BG29" s="13" t="s">
        <v>391</v>
      </c>
      <c r="BH29" s="12"/>
      <c r="BI29" s="12"/>
      <c r="BJ29" s="12"/>
      <c r="BK29" s="12"/>
      <c r="BL29" s="12"/>
      <c r="BM29" s="12"/>
      <c r="BN29" s="12"/>
      <c r="BO29" s="12"/>
      <c r="BP29" s="12"/>
      <c r="BQ29" s="12"/>
      <c r="BR29" s="12"/>
      <c r="BS29" s="12"/>
      <c r="BT29" s="12"/>
      <c r="BU29" s="12"/>
    </row>
    <row r="30" spans="1:73" x14ac:dyDescent="0.25">
      <c r="A30" s="3" t="s">
        <v>423</v>
      </c>
      <c r="B30" s="11" t="s">
        <v>298</v>
      </c>
      <c r="C30">
        <v>4</v>
      </c>
      <c r="D30" s="12"/>
      <c r="E30" s="13"/>
      <c r="F30" s="13" t="s">
        <v>391</v>
      </c>
      <c r="G30" s="13" t="s">
        <v>391</v>
      </c>
      <c r="H30" s="13" t="s">
        <v>391</v>
      </c>
      <c r="I30" s="13" t="s">
        <v>391</v>
      </c>
      <c r="J30" s="13" t="s">
        <v>391</v>
      </c>
      <c r="K30" s="13" t="s">
        <v>391</v>
      </c>
      <c r="L30" s="13" t="s">
        <v>391</v>
      </c>
      <c r="M30" s="13" t="s">
        <v>391</v>
      </c>
      <c r="N30" s="13" t="s">
        <v>391</v>
      </c>
      <c r="O30" s="13" t="s">
        <v>391</v>
      </c>
      <c r="P30" s="13" t="s">
        <v>391</v>
      </c>
      <c r="Q30" s="13" t="s">
        <v>391</v>
      </c>
      <c r="R30" s="13" t="s">
        <v>391</v>
      </c>
      <c r="S30" s="13" t="s">
        <v>391</v>
      </c>
      <c r="T30" s="12" t="s">
        <v>391</v>
      </c>
      <c r="U30" s="12" t="s">
        <v>391</v>
      </c>
      <c r="V30" s="12" t="s">
        <v>391</v>
      </c>
      <c r="W30" s="12" t="s">
        <v>391</v>
      </c>
      <c r="X30" s="12" t="s">
        <v>391</v>
      </c>
      <c r="Y30" s="12"/>
      <c r="Z30" s="12" t="s">
        <v>391</v>
      </c>
      <c r="AA30" s="12" t="s">
        <v>391</v>
      </c>
      <c r="AB30" s="12"/>
      <c r="AC30" s="12"/>
      <c r="AD30" s="12" t="s">
        <v>391</v>
      </c>
      <c r="AE30" s="12"/>
      <c r="AF30" s="12" t="s">
        <v>391</v>
      </c>
      <c r="AG30" s="12" t="s">
        <v>391</v>
      </c>
      <c r="AH30" s="12" t="s">
        <v>391</v>
      </c>
      <c r="AI30" s="12" t="s">
        <v>391</v>
      </c>
      <c r="AJ30" s="12" t="s">
        <v>391</v>
      </c>
      <c r="AK30" s="12" t="s">
        <v>391</v>
      </c>
      <c r="AL30" s="12" t="s">
        <v>391</v>
      </c>
      <c r="AM30" s="12" t="s">
        <v>391</v>
      </c>
      <c r="AN30" s="12" t="s">
        <v>391</v>
      </c>
      <c r="AO30" s="12" t="s">
        <v>391</v>
      </c>
      <c r="AP30" s="12" t="s">
        <v>391</v>
      </c>
      <c r="AQ30" s="12" t="s">
        <v>391</v>
      </c>
      <c r="AR30" s="12" t="s">
        <v>391</v>
      </c>
      <c r="AS30" s="12" t="s">
        <v>391</v>
      </c>
      <c r="AT30" s="12" t="s">
        <v>391</v>
      </c>
      <c r="AU30" s="12" t="s">
        <v>391</v>
      </c>
      <c r="AV30" s="12" t="s">
        <v>391</v>
      </c>
      <c r="AW30" s="12" t="s">
        <v>391</v>
      </c>
      <c r="AX30" s="12" t="s">
        <v>391</v>
      </c>
      <c r="AY30" s="12"/>
      <c r="AZ30" s="12"/>
      <c r="BA30" s="12"/>
      <c r="BB30" s="12"/>
      <c r="BC30" s="12"/>
      <c r="BD30" s="12"/>
      <c r="BE30" s="12" t="s">
        <v>391</v>
      </c>
      <c r="BF30" s="12" t="s">
        <v>391</v>
      </c>
      <c r="BG30" s="13" t="s">
        <v>391</v>
      </c>
      <c r="BH30" s="12"/>
      <c r="BI30" s="12"/>
      <c r="BJ30" s="12"/>
      <c r="BK30" s="12"/>
      <c r="BL30" s="12"/>
      <c r="BM30" s="12"/>
      <c r="BN30" s="12"/>
      <c r="BO30" s="12"/>
      <c r="BP30" s="12"/>
      <c r="BQ30" s="12"/>
      <c r="BR30" s="12"/>
      <c r="BS30" s="12"/>
      <c r="BT30" s="12"/>
      <c r="BU30" s="12"/>
    </row>
    <row r="31" spans="1:73" x14ac:dyDescent="0.25">
      <c r="A31" s="3" t="s">
        <v>424</v>
      </c>
      <c r="B31" s="11" t="s">
        <v>298</v>
      </c>
      <c r="C31">
        <v>4</v>
      </c>
      <c r="D31" s="12"/>
      <c r="E31" s="13"/>
      <c r="F31" s="13" t="s">
        <v>391</v>
      </c>
      <c r="G31" s="13" t="s">
        <v>391</v>
      </c>
      <c r="H31" s="13" t="s">
        <v>391</v>
      </c>
      <c r="I31" s="13" t="s">
        <v>391</v>
      </c>
      <c r="J31" s="13" t="s">
        <v>391</v>
      </c>
      <c r="K31" s="13" t="s">
        <v>391</v>
      </c>
      <c r="L31" s="13" t="s">
        <v>391</v>
      </c>
      <c r="M31" s="13" t="s">
        <v>391</v>
      </c>
      <c r="N31" s="13" t="s">
        <v>391</v>
      </c>
      <c r="O31" s="13" t="s">
        <v>391</v>
      </c>
      <c r="P31" s="13" t="s">
        <v>391</v>
      </c>
      <c r="Q31" s="13" t="s">
        <v>391</v>
      </c>
      <c r="R31" s="13" t="s">
        <v>391</v>
      </c>
      <c r="S31" s="13" t="s">
        <v>391</v>
      </c>
      <c r="T31" s="12" t="s">
        <v>391</v>
      </c>
      <c r="U31" s="12" t="s">
        <v>391</v>
      </c>
      <c r="V31" s="12" t="s">
        <v>391</v>
      </c>
      <c r="W31" s="12" t="s">
        <v>391</v>
      </c>
      <c r="X31" s="12" t="s">
        <v>391</v>
      </c>
      <c r="Y31" s="12"/>
      <c r="Z31" s="12" t="s">
        <v>391</v>
      </c>
      <c r="AA31" s="12" t="s">
        <v>391</v>
      </c>
      <c r="AB31" s="12"/>
      <c r="AC31" s="12"/>
      <c r="AD31" s="12"/>
      <c r="AE31" s="12"/>
      <c r="AF31" s="12" t="s">
        <v>391</v>
      </c>
      <c r="AG31" s="12" t="s">
        <v>391</v>
      </c>
      <c r="AH31" s="12" t="s">
        <v>391</v>
      </c>
      <c r="AI31" s="12" t="s">
        <v>391</v>
      </c>
      <c r="AJ31" s="12" t="s">
        <v>391</v>
      </c>
      <c r="AK31" s="12" t="s">
        <v>391</v>
      </c>
      <c r="AL31" s="12" t="s">
        <v>391</v>
      </c>
      <c r="AM31" s="12" t="s">
        <v>391</v>
      </c>
      <c r="AN31" s="12" t="s">
        <v>391</v>
      </c>
      <c r="AO31" s="12" t="s">
        <v>391</v>
      </c>
      <c r="AP31" s="12" t="s">
        <v>391</v>
      </c>
      <c r="AQ31" s="12" t="s">
        <v>391</v>
      </c>
      <c r="AR31" s="12" t="s">
        <v>391</v>
      </c>
      <c r="AS31" s="12" t="s">
        <v>391</v>
      </c>
      <c r="AT31" s="12" t="s">
        <v>391</v>
      </c>
      <c r="AU31" s="12" t="s">
        <v>391</v>
      </c>
      <c r="AV31" s="12" t="s">
        <v>391</v>
      </c>
      <c r="AW31" s="12" t="s">
        <v>391</v>
      </c>
      <c r="AX31" s="12" t="s">
        <v>391</v>
      </c>
      <c r="AY31" s="12"/>
      <c r="AZ31" s="12"/>
      <c r="BA31" s="12"/>
      <c r="BB31" s="12" t="s">
        <v>391</v>
      </c>
      <c r="BC31" s="12" t="s">
        <v>391</v>
      </c>
      <c r="BD31" s="12"/>
      <c r="BE31" s="12"/>
      <c r="BF31" s="12"/>
      <c r="BG31" s="13" t="s">
        <v>391</v>
      </c>
      <c r="BH31" s="12"/>
      <c r="BI31" s="12"/>
      <c r="BJ31" s="12"/>
      <c r="BK31" s="12"/>
      <c r="BL31" s="12"/>
      <c r="BM31" s="12"/>
      <c r="BN31" s="12"/>
      <c r="BO31" s="12"/>
      <c r="BP31" s="12"/>
      <c r="BQ31" s="12"/>
      <c r="BR31" s="12"/>
      <c r="BS31" s="12"/>
      <c r="BT31" s="12"/>
      <c r="BU31" s="12"/>
    </row>
    <row r="32" spans="1:73" x14ac:dyDescent="0.25">
      <c r="A32" s="3" t="s">
        <v>698</v>
      </c>
      <c r="B32" s="11" t="s">
        <v>298</v>
      </c>
      <c r="C32">
        <v>4</v>
      </c>
      <c r="D32" s="12"/>
      <c r="E32" s="13"/>
      <c r="F32" s="13" t="s">
        <v>391</v>
      </c>
      <c r="G32" s="13" t="s">
        <v>391</v>
      </c>
      <c r="H32" s="13" t="s">
        <v>391</v>
      </c>
      <c r="I32" s="13" t="s">
        <v>391</v>
      </c>
      <c r="J32" s="13" t="s">
        <v>391</v>
      </c>
      <c r="K32" s="13" t="s">
        <v>391</v>
      </c>
      <c r="L32" s="13" t="s">
        <v>391</v>
      </c>
      <c r="M32" s="13" t="s">
        <v>391</v>
      </c>
      <c r="N32" s="13" t="s">
        <v>391</v>
      </c>
      <c r="O32" s="13" t="s">
        <v>391</v>
      </c>
      <c r="P32" s="13" t="s">
        <v>391</v>
      </c>
      <c r="Q32" s="13" t="s">
        <v>391</v>
      </c>
      <c r="R32" s="13" t="s">
        <v>391</v>
      </c>
      <c r="S32" s="13" t="s">
        <v>391</v>
      </c>
      <c r="T32" s="12" t="s">
        <v>391</v>
      </c>
      <c r="U32" s="12" t="s">
        <v>391</v>
      </c>
      <c r="V32" s="12" t="s">
        <v>391</v>
      </c>
      <c r="W32" s="12" t="s">
        <v>391</v>
      </c>
      <c r="X32" s="12" t="s">
        <v>391</v>
      </c>
      <c r="Y32" s="12"/>
      <c r="Z32" s="12" t="s">
        <v>391</v>
      </c>
      <c r="AA32" s="12" t="s">
        <v>391</v>
      </c>
      <c r="AB32" s="12"/>
      <c r="AC32" s="12"/>
      <c r="AD32" s="12"/>
      <c r="AE32" s="12"/>
      <c r="AF32" s="12" t="s">
        <v>391</v>
      </c>
      <c r="AG32" s="12" t="s">
        <v>391</v>
      </c>
      <c r="AH32" s="12" t="s">
        <v>391</v>
      </c>
      <c r="AI32" s="12" t="s">
        <v>391</v>
      </c>
      <c r="AJ32" s="12" t="s">
        <v>391</v>
      </c>
      <c r="AK32" s="12" t="s">
        <v>391</v>
      </c>
      <c r="AL32" s="12" t="s">
        <v>391</v>
      </c>
      <c r="AM32" s="12" t="s">
        <v>391</v>
      </c>
      <c r="AN32" s="12" t="s">
        <v>391</v>
      </c>
      <c r="AO32" s="12" t="s">
        <v>391</v>
      </c>
      <c r="AP32" s="12" t="s">
        <v>391</v>
      </c>
      <c r="AQ32" s="12" t="s">
        <v>391</v>
      </c>
      <c r="AR32" s="12" t="s">
        <v>391</v>
      </c>
      <c r="AS32" s="12" t="s">
        <v>391</v>
      </c>
      <c r="AT32" s="12" t="s">
        <v>391</v>
      </c>
      <c r="AU32" s="12" t="s">
        <v>391</v>
      </c>
      <c r="AV32" s="12" t="s">
        <v>391</v>
      </c>
      <c r="AW32" s="12" t="s">
        <v>391</v>
      </c>
      <c r="AX32" s="12" t="s">
        <v>391</v>
      </c>
      <c r="AY32" s="12"/>
      <c r="AZ32" s="12"/>
      <c r="BA32" s="12"/>
      <c r="BB32" s="12" t="s">
        <v>391</v>
      </c>
      <c r="BC32" s="12" t="s">
        <v>391</v>
      </c>
      <c r="BD32" s="12"/>
      <c r="BE32" s="12"/>
      <c r="BF32" s="12"/>
      <c r="BG32" s="13" t="s">
        <v>391</v>
      </c>
      <c r="BH32" s="12"/>
      <c r="BI32" s="12"/>
      <c r="BJ32" s="12"/>
      <c r="BK32" s="12"/>
      <c r="BL32" s="12"/>
      <c r="BM32" s="12"/>
      <c r="BN32" s="12"/>
      <c r="BO32" s="12"/>
      <c r="BP32" s="12"/>
      <c r="BQ32" s="12"/>
      <c r="BR32" s="12"/>
      <c r="BS32" s="12"/>
      <c r="BT32" s="12"/>
      <c r="BU32" s="12"/>
    </row>
    <row r="33" spans="1:73" ht="25" x14ac:dyDescent="0.25">
      <c r="A33" s="3" t="s">
        <v>425</v>
      </c>
      <c r="B33" s="11" t="s">
        <v>298</v>
      </c>
      <c r="C33">
        <v>4</v>
      </c>
      <c r="D33" s="12"/>
      <c r="E33" s="13"/>
      <c r="F33" s="13" t="s">
        <v>391</v>
      </c>
      <c r="G33" s="13" t="s">
        <v>391</v>
      </c>
      <c r="H33" s="13" t="s">
        <v>391</v>
      </c>
      <c r="I33" s="13" t="s">
        <v>391</v>
      </c>
      <c r="J33" s="13" t="s">
        <v>391</v>
      </c>
      <c r="K33" s="13" t="s">
        <v>391</v>
      </c>
      <c r="L33" s="13" t="s">
        <v>391</v>
      </c>
      <c r="M33" s="13" t="s">
        <v>391</v>
      </c>
      <c r="N33" s="13" t="s">
        <v>391</v>
      </c>
      <c r="O33" s="13" t="s">
        <v>391</v>
      </c>
      <c r="P33" s="13" t="s">
        <v>391</v>
      </c>
      <c r="Q33" s="13" t="s">
        <v>391</v>
      </c>
      <c r="R33" s="13" t="s">
        <v>391</v>
      </c>
      <c r="S33" s="13" t="s">
        <v>391</v>
      </c>
      <c r="T33" s="12" t="s">
        <v>391</v>
      </c>
      <c r="U33" s="12" t="s">
        <v>391</v>
      </c>
      <c r="V33" s="12" t="s">
        <v>391</v>
      </c>
      <c r="W33" s="12" t="s">
        <v>391</v>
      </c>
      <c r="X33" s="12" t="s">
        <v>391</v>
      </c>
      <c r="Y33" s="12"/>
      <c r="Z33" s="12" t="s">
        <v>391</v>
      </c>
      <c r="AA33" s="12" t="s">
        <v>391</v>
      </c>
      <c r="AB33" s="12"/>
      <c r="AC33" s="12"/>
      <c r="AD33" s="12"/>
      <c r="AE33" s="12"/>
      <c r="AF33" s="12" t="s">
        <v>391</v>
      </c>
      <c r="AG33" s="12" t="s">
        <v>391</v>
      </c>
      <c r="AH33" s="12" t="s">
        <v>391</v>
      </c>
      <c r="AI33" s="12" t="s">
        <v>391</v>
      </c>
      <c r="AJ33" s="12" t="s">
        <v>391</v>
      </c>
      <c r="AK33" s="12" t="s">
        <v>391</v>
      </c>
      <c r="AL33" s="12" t="s">
        <v>391</v>
      </c>
      <c r="AM33" s="12" t="s">
        <v>391</v>
      </c>
      <c r="AN33" s="12" t="s">
        <v>391</v>
      </c>
      <c r="AO33" s="12" t="s">
        <v>391</v>
      </c>
      <c r="AP33" s="12" t="s">
        <v>391</v>
      </c>
      <c r="AQ33" s="12" t="s">
        <v>391</v>
      </c>
      <c r="AR33" s="12" t="s">
        <v>391</v>
      </c>
      <c r="AS33" s="12" t="s">
        <v>391</v>
      </c>
      <c r="AT33" s="12" t="s">
        <v>391</v>
      </c>
      <c r="AU33" s="12" t="s">
        <v>391</v>
      </c>
      <c r="AV33" s="12" t="s">
        <v>391</v>
      </c>
      <c r="AW33" s="12" t="s">
        <v>391</v>
      </c>
      <c r="AX33" s="12" t="s">
        <v>391</v>
      </c>
      <c r="AY33" s="12"/>
      <c r="AZ33" s="12"/>
      <c r="BA33" s="12"/>
      <c r="BB33" s="12" t="s">
        <v>391</v>
      </c>
      <c r="BC33" s="12" t="s">
        <v>391</v>
      </c>
      <c r="BD33" s="12"/>
      <c r="BE33" s="12"/>
      <c r="BF33" s="12"/>
      <c r="BG33" s="13" t="s">
        <v>391</v>
      </c>
      <c r="BH33" s="12"/>
      <c r="BI33" s="12"/>
      <c r="BJ33" s="12"/>
      <c r="BK33" s="12"/>
      <c r="BL33" s="12"/>
      <c r="BM33" s="12"/>
      <c r="BN33" s="12"/>
      <c r="BO33" s="12"/>
      <c r="BP33" s="12"/>
      <c r="BQ33" s="12"/>
      <c r="BR33" s="12"/>
      <c r="BS33" s="12"/>
      <c r="BT33" s="12"/>
      <c r="BU33" s="12"/>
    </row>
    <row r="34" spans="1:73" x14ac:dyDescent="0.25">
      <c r="A34" s="3" t="s">
        <v>426</v>
      </c>
      <c r="B34" s="11" t="s">
        <v>298</v>
      </c>
      <c r="C34">
        <v>4</v>
      </c>
      <c r="D34" s="12"/>
      <c r="E34" s="13"/>
      <c r="F34" s="13" t="s">
        <v>391</v>
      </c>
      <c r="G34" s="13" t="s">
        <v>391</v>
      </c>
      <c r="H34" s="13" t="s">
        <v>391</v>
      </c>
      <c r="I34" s="13" t="s">
        <v>391</v>
      </c>
      <c r="J34" s="13" t="s">
        <v>391</v>
      </c>
      <c r="K34" s="13" t="s">
        <v>391</v>
      </c>
      <c r="L34" s="13" t="s">
        <v>391</v>
      </c>
      <c r="M34" s="13" t="s">
        <v>391</v>
      </c>
      <c r="N34" s="13" t="s">
        <v>391</v>
      </c>
      <c r="O34" s="13" t="s">
        <v>391</v>
      </c>
      <c r="P34" s="13" t="s">
        <v>391</v>
      </c>
      <c r="Q34" s="13" t="s">
        <v>391</v>
      </c>
      <c r="R34" s="13" t="s">
        <v>391</v>
      </c>
      <c r="S34" s="13" t="s">
        <v>391</v>
      </c>
      <c r="T34" s="12" t="s">
        <v>391</v>
      </c>
      <c r="U34" s="12" t="s">
        <v>391</v>
      </c>
      <c r="V34" s="12" t="s">
        <v>391</v>
      </c>
      <c r="W34" s="12" t="s">
        <v>391</v>
      </c>
      <c r="X34" s="12" t="s">
        <v>391</v>
      </c>
      <c r="Y34" s="12"/>
      <c r="Z34" s="12" t="s">
        <v>391</v>
      </c>
      <c r="AA34" s="12" t="s">
        <v>391</v>
      </c>
      <c r="AB34" s="12"/>
      <c r="AC34" s="12"/>
      <c r="AD34" s="12"/>
      <c r="AE34" s="12"/>
      <c r="AF34" s="12" t="s">
        <v>391</v>
      </c>
      <c r="AG34" s="12" t="s">
        <v>391</v>
      </c>
      <c r="AH34" s="12" t="s">
        <v>391</v>
      </c>
      <c r="AI34" s="12" t="s">
        <v>391</v>
      </c>
      <c r="AJ34" s="12" t="s">
        <v>391</v>
      </c>
      <c r="AK34" s="12" t="s">
        <v>391</v>
      </c>
      <c r="AL34" s="12" t="s">
        <v>391</v>
      </c>
      <c r="AM34" s="12" t="s">
        <v>391</v>
      </c>
      <c r="AN34" s="12" t="s">
        <v>391</v>
      </c>
      <c r="AO34" s="12" t="s">
        <v>391</v>
      </c>
      <c r="AP34" s="12" t="s">
        <v>391</v>
      </c>
      <c r="AQ34" s="12" t="s">
        <v>391</v>
      </c>
      <c r="AR34" s="12" t="s">
        <v>391</v>
      </c>
      <c r="AS34" s="12" t="s">
        <v>391</v>
      </c>
      <c r="AT34" s="12" t="s">
        <v>391</v>
      </c>
      <c r="AU34" s="12" t="s">
        <v>391</v>
      </c>
      <c r="AV34" s="12" t="s">
        <v>391</v>
      </c>
      <c r="AW34" s="12" t="s">
        <v>391</v>
      </c>
      <c r="AX34" s="12" t="s">
        <v>391</v>
      </c>
      <c r="AY34" s="12"/>
      <c r="AZ34" s="12"/>
      <c r="BA34" s="12"/>
      <c r="BB34" s="12" t="s">
        <v>391</v>
      </c>
      <c r="BC34" s="12" t="s">
        <v>391</v>
      </c>
      <c r="BD34" s="12"/>
      <c r="BE34" s="12"/>
      <c r="BF34" s="12"/>
      <c r="BG34" s="13" t="s">
        <v>391</v>
      </c>
      <c r="BH34" s="12"/>
      <c r="BI34" s="12"/>
      <c r="BJ34" s="12"/>
      <c r="BK34" s="12"/>
      <c r="BL34" s="12"/>
      <c r="BM34" s="12"/>
      <c r="BN34" s="12"/>
      <c r="BO34" s="12"/>
      <c r="BP34" s="12"/>
      <c r="BQ34" s="12"/>
      <c r="BR34" s="12"/>
      <c r="BS34" s="12"/>
      <c r="BT34" s="12"/>
      <c r="BU34" s="12"/>
    </row>
    <row r="35" spans="1:73" x14ac:dyDescent="0.25">
      <c r="A35" s="3" t="s">
        <v>699</v>
      </c>
      <c r="B35" s="11" t="s">
        <v>298</v>
      </c>
      <c r="C35">
        <v>4</v>
      </c>
      <c r="D35" s="12"/>
      <c r="E35" s="13"/>
      <c r="F35" s="13" t="s">
        <v>391</v>
      </c>
      <c r="G35" s="13" t="s">
        <v>391</v>
      </c>
      <c r="H35" s="13" t="s">
        <v>391</v>
      </c>
      <c r="I35" s="13" t="s">
        <v>391</v>
      </c>
      <c r="J35" s="13" t="s">
        <v>391</v>
      </c>
      <c r="K35" s="13" t="s">
        <v>391</v>
      </c>
      <c r="L35" s="13" t="s">
        <v>391</v>
      </c>
      <c r="M35" s="13" t="s">
        <v>391</v>
      </c>
      <c r="N35" s="13" t="s">
        <v>391</v>
      </c>
      <c r="O35" s="13" t="s">
        <v>391</v>
      </c>
      <c r="P35" s="13" t="s">
        <v>391</v>
      </c>
      <c r="Q35" s="13" t="s">
        <v>391</v>
      </c>
      <c r="R35" s="13" t="s">
        <v>391</v>
      </c>
      <c r="S35" s="13" t="s">
        <v>391</v>
      </c>
      <c r="T35" s="12" t="s">
        <v>391</v>
      </c>
      <c r="U35" s="12" t="s">
        <v>391</v>
      </c>
      <c r="V35" s="12" t="s">
        <v>391</v>
      </c>
      <c r="W35" s="12" t="s">
        <v>391</v>
      </c>
      <c r="X35" s="12" t="s">
        <v>391</v>
      </c>
      <c r="Y35" s="12"/>
      <c r="Z35" s="12" t="s">
        <v>391</v>
      </c>
      <c r="AA35" s="12" t="s">
        <v>391</v>
      </c>
      <c r="AB35" s="12"/>
      <c r="AC35" s="12"/>
      <c r="AD35" s="12"/>
      <c r="AE35" s="12"/>
      <c r="AF35" s="12" t="s">
        <v>391</v>
      </c>
      <c r="AG35" s="12" t="s">
        <v>391</v>
      </c>
      <c r="AH35" s="12" t="s">
        <v>391</v>
      </c>
      <c r="AI35" s="12" t="s">
        <v>391</v>
      </c>
      <c r="AJ35" s="12" t="s">
        <v>391</v>
      </c>
      <c r="AK35" s="12" t="s">
        <v>391</v>
      </c>
      <c r="AL35" s="12" t="s">
        <v>391</v>
      </c>
      <c r="AM35" s="12" t="s">
        <v>391</v>
      </c>
      <c r="AN35" s="12" t="s">
        <v>391</v>
      </c>
      <c r="AO35" s="12" t="s">
        <v>391</v>
      </c>
      <c r="AP35" s="12" t="s">
        <v>391</v>
      </c>
      <c r="AQ35" s="12" t="s">
        <v>391</v>
      </c>
      <c r="AR35" s="12" t="s">
        <v>391</v>
      </c>
      <c r="AS35" s="12" t="s">
        <v>391</v>
      </c>
      <c r="AT35" s="12" t="s">
        <v>391</v>
      </c>
      <c r="AU35" s="12" t="s">
        <v>391</v>
      </c>
      <c r="AV35" s="12" t="s">
        <v>391</v>
      </c>
      <c r="AW35" s="12" t="s">
        <v>391</v>
      </c>
      <c r="AX35" s="12" t="s">
        <v>391</v>
      </c>
      <c r="AY35" s="12"/>
      <c r="AZ35" s="12"/>
      <c r="BA35" s="12"/>
      <c r="BB35" s="12"/>
      <c r="BC35" s="12"/>
      <c r="BD35" s="12"/>
      <c r="BE35" s="12"/>
      <c r="BF35" s="12"/>
      <c r="BG35" s="13" t="s">
        <v>391</v>
      </c>
      <c r="BH35" s="12"/>
      <c r="BI35" s="12"/>
      <c r="BJ35" s="12"/>
      <c r="BK35" s="12"/>
      <c r="BL35" s="12"/>
      <c r="BM35" s="12"/>
      <c r="BN35" s="12"/>
      <c r="BO35" s="12"/>
      <c r="BP35" s="12"/>
      <c r="BQ35" s="12"/>
      <c r="BR35" s="12"/>
      <c r="BS35" s="12"/>
      <c r="BT35" s="12"/>
      <c r="BU35" s="12"/>
    </row>
    <row r="36" spans="1:73" x14ac:dyDescent="0.25">
      <c r="A36" s="3" t="s">
        <v>427</v>
      </c>
      <c r="B36" s="11" t="s">
        <v>298</v>
      </c>
      <c r="C36">
        <v>4</v>
      </c>
      <c r="D36" s="12"/>
      <c r="E36" s="13"/>
      <c r="F36" s="13" t="s">
        <v>391</v>
      </c>
      <c r="G36" s="13" t="s">
        <v>391</v>
      </c>
      <c r="H36" s="13" t="s">
        <v>391</v>
      </c>
      <c r="I36" s="13" t="s">
        <v>391</v>
      </c>
      <c r="J36" s="13" t="s">
        <v>391</v>
      </c>
      <c r="K36" s="13" t="s">
        <v>391</v>
      </c>
      <c r="L36" s="13" t="s">
        <v>391</v>
      </c>
      <c r="M36" s="13" t="s">
        <v>391</v>
      </c>
      <c r="N36" s="13" t="s">
        <v>391</v>
      </c>
      <c r="O36" s="13" t="s">
        <v>391</v>
      </c>
      <c r="P36" s="13" t="s">
        <v>391</v>
      </c>
      <c r="Q36" s="13" t="s">
        <v>391</v>
      </c>
      <c r="R36" s="13" t="s">
        <v>391</v>
      </c>
      <c r="S36" s="13" t="s">
        <v>391</v>
      </c>
      <c r="T36" s="12" t="s">
        <v>391</v>
      </c>
      <c r="U36" s="12" t="s">
        <v>391</v>
      </c>
      <c r="V36" s="12" t="s">
        <v>391</v>
      </c>
      <c r="W36" s="12" t="s">
        <v>391</v>
      </c>
      <c r="X36" s="12" t="s">
        <v>391</v>
      </c>
      <c r="Y36" s="12"/>
      <c r="Z36" s="12" t="s">
        <v>391</v>
      </c>
      <c r="AA36" s="12" t="s">
        <v>391</v>
      </c>
      <c r="AB36" s="12"/>
      <c r="AC36" s="12"/>
      <c r="AD36" s="12"/>
      <c r="AE36" s="12"/>
      <c r="AF36" s="12" t="s">
        <v>391</v>
      </c>
      <c r="AG36" s="12" t="s">
        <v>391</v>
      </c>
      <c r="AH36" s="12" t="s">
        <v>391</v>
      </c>
      <c r="AI36" s="12" t="s">
        <v>391</v>
      </c>
      <c r="AJ36" s="12" t="s">
        <v>391</v>
      </c>
      <c r="AK36" s="12" t="s">
        <v>391</v>
      </c>
      <c r="AL36" s="12" t="s">
        <v>391</v>
      </c>
      <c r="AM36" s="12" t="s">
        <v>391</v>
      </c>
      <c r="AN36" s="12" t="s">
        <v>391</v>
      </c>
      <c r="AO36" s="12" t="s">
        <v>391</v>
      </c>
      <c r="AP36" s="12" t="s">
        <v>391</v>
      </c>
      <c r="AQ36" s="12" t="s">
        <v>391</v>
      </c>
      <c r="AR36" s="12" t="s">
        <v>391</v>
      </c>
      <c r="AS36" s="12" t="s">
        <v>391</v>
      </c>
      <c r="AT36" s="12" t="s">
        <v>391</v>
      </c>
      <c r="AU36" s="12" t="s">
        <v>391</v>
      </c>
      <c r="AV36" s="12" t="s">
        <v>391</v>
      </c>
      <c r="AW36" s="12" t="s">
        <v>391</v>
      </c>
      <c r="AX36" s="12" t="s">
        <v>391</v>
      </c>
      <c r="AY36" s="12"/>
      <c r="AZ36" s="12"/>
      <c r="BA36" s="12"/>
      <c r="BB36" s="12"/>
      <c r="BC36" s="12"/>
      <c r="BD36" s="12"/>
      <c r="BE36" s="12"/>
      <c r="BF36" s="12"/>
      <c r="BG36" s="13" t="s">
        <v>391</v>
      </c>
      <c r="BH36" s="12"/>
      <c r="BI36" s="12"/>
      <c r="BJ36" s="12"/>
      <c r="BK36" s="12"/>
      <c r="BL36" s="12"/>
      <c r="BM36" s="12"/>
      <c r="BN36" s="12"/>
      <c r="BO36" s="12"/>
      <c r="BP36" s="12"/>
      <c r="BQ36" s="12"/>
      <c r="BR36" s="12"/>
      <c r="BS36" s="12"/>
      <c r="BT36" s="12"/>
      <c r="BU36" s="12"/>
    </row>
    <row r="37" spans="1:73" x14ac:dyDescent="0.25">
      <c r="A37" s="3" t="s">
        <v>428</v>
      </c>
      <c r="B37" s="11" t="s">
        <v>298</v>
      </c>
      <c r="C37">
        <v>4</v>
      </c>
      <c r="D37" s="12"/>
      <c r="E37" s="13"/>
      <c r="F37" s="13" t="s">
        <v>391</v>
      </c>
      <c r="G37" s="13" t="s">
        <v>391</v>
      </c>
      <c r="H37" s="13" t="s">
        <v>391</v>
      </c>
      <c r="I37" s="13" t="s">
        <v>391</v>
      </c>
      <c r="J37" s="13" t="s">
        <v>391</v>
      </c>
      <c r="K37" s="13" t="s">
        <v>391</v>
      </c>
      <c r="L37" s="13" t="s">
        <v>391</v>
      </c>
      <c r="M37" s="13" t="s">
        <v>391</v>
      </c>
      <c r="N37" s="13" t="s">
        <v>391</v>
      </c>
      <c r="O37" s="13" t="s">
        <v>391</v>
      </c>
      <c r="P37" s="13" t="s">
        <v>391</v>
      </c>
      <c r="Q37" s="13" t="s">
        <v>391</v>
      </c>
      <c r="R37" s="13" t="s">
        <v>391</v>
      </c>
      <c r="S37" s="13" t="s">
        <v>391</v>
      </c>
      <c r="T37" s="12" t="s">
        <v>391</v>
      </c>
      <c r="U37" s="12" t="s">
        <v>391</v>
      </c>
      <c r="V37" s="12" t="s">
        <v>391</v>
      </c>
      <c r="W37" s="12" t="s">
        <v>391</v>
      </c>
      <c r="X37" s="12" t="s">
        <v>391</v>
      </c>
      <c r="Y37" s="12"/>
      <c r="Z37" s="12"/>
      <c r="AA37" s="12"/>
      <c r="AB37" s="12"/>
      <c r="AC37" s="12"/>
      <c r="AD37" s="12"/>
      <c r="AE37" s="12"/>
      <c r="AF37" s="12" t="s">
        <v>391</v>
      </c>
      <c r="AG37" s="12" t="s">
        <v>391</v>
      </c>
      <c r="AH37" s="12" t="s">
        <v>391</v>
      </c>
      <c r="AI37" s="12" t="s">
        <v>391</v>
      </c>
      <c r="AJ37" s="12" t="s">
        <v>391</v>
      </c>
      <c r="AK37" s="12" t="s">
        <v>391</v>
      </c>
      <c r="AL37" s="12" t="s">
        <v>391</v>
      </c>
      <c r="AM37" s="12" t="s">
        <v>391</v>
      </c>
      <c r="AN37" s="12" t="s">
        <v>391</v>
      </c>
      <c r="AO37" s="12" t="s">
        <v>391</v>
      </c>
      <c r="AP37" s="12" t="s">
        <v>391</v>
      </c>
      <c r="AQ37" s="12" t="s">
        <v>391</v>
      </c>
      <c r="AR37" s="12" t="s">
        <v>391</v>
      </c>
      <c r="AS37" s="12" t="s">
        <v>391</v>
      </c>
      <c r="AT37" s="12" t="s">
        <v>391</v>
      </c>
      <c r="AU37" s="12" t="s">
        <v>391</v>
      </c>
      <c r="AV37" s="12" t="s">
        <v>391</v>
      </c>
      <c r="AW37" s="12" t="s">
        <v>391</v>
      </c>
      <c r="AX37" s="12" t="s">
        <v>391</v>
      </c>
      <c r="AY37" s="12"/>
      <c r="AZ37" s="12"/>
      <c r="BA37" s="12"/>
      <c r="BB37" s="12"/>
      <c r="BC37" s="12"/>
      <c r="BD37" s="12"/>
      <c r="BE37" s="12"/>
      <c r="BF37" s="12"/>
      <c r="BG37" s="13" t="s">
        <v>391</v>
      </c>
      <c r="BH37" s="12"/>
      <c r="BI37" s="12"/>
      <c r="BJ37" s="12"/>
      <c r="BK37" s="12"/>
      <c r="BL37" s="12"/>
      <c r="BM37" s="12"/>
      <c r="BN37" s="12"/>
      <c r="BO37" s="12"/>
      <c r="BP37" s="12"/>
      <c r="BQ37" s="12"/>
      <c r="BR37" s="12"/>
      <c r="BS37" s="12"/>
      <c r="BT37" s="12"/>
      <c r="BU37" s="12"/>
    </row>
    <row r="38" spans="1:73" x14ac:dyDescent="0.25">
      <c r="A38" s="3" t="s">
        <v>429</v>
      </c>
      <c r="B38" s="11" t="s">
        <v>298</v>
      </c>
      <c r="C38">
        <v>4</v>
      </c>
      <c r="D38" s="12"/>
      <c r="E38" s="13"/>
      <c r="F38" s="13" t="s">
        <v>391</v>
      </c>
      <c r="G38" s="13" t="s">
        <v>391</v>
      </c>
      <c r="H38" s="13" t="s">
        <v>391</v>
      </c>
      <c r="I38" s="13" t="s">
        <v>391</v>
      </c>
      <c r="J38" s="13" t="s">
        <v>391</v>
      </c>
      <c r="K38" s="13" t="s">
        <v>391</v>
      </c>
      <c r="L38" s="13" t="s">
        <v>391</v>
      </c>
      <c r="M38" s="13" t="s">
        <v>391</v>
      </c>
      <c r="N38" s="13" t="s">
        <v>391</v>
      </c>
      <c r="O38" s="13" t="s">
        <v>391</v>
      </c>
      <c r="P38" s="13" t="s">
        <v>391</v>
      </c>
      <c r="Q38" s="13" t="s">
        <v>391</v>
      </c>
      <c r="R38" s="13" t="s">
        <v>391</v>
      </c>
      <c r="S38" s="13" t="s">
        <v>391</v>
      </c>
      <c r="T38" s="12" t="s">
        <v>391</v>
      </c>
      <c r="U38" s="12" t="s">
        <v>391</v>
      </c>
      <c r="V38" s="12" t="s">
        <v>391</v>
      </c>
      <c r="W38" s="12" t="s">
        <v>391</v>
      </c>
      <c r="X38" s="12" t="s">
        <v>391</v>
      </c>
      <c r="Y38" s="12"/>
      <c r="Z38" s="12"/>
      <c r="AA38" s="12"/>
      <c r="AB38" s="12"/>
      <c r="AC38" s="12"/>
      <c r="AD38" s="12"/>
      <c r="AE38" s="12"/>
      <c r="AF38" s="12" t="s">
        <v>391</v>
      </c>
      <c r="AG38" s="12" t="s">
        <v>391</v>
      </c>
      <c r="AH38" s="12" t="s">
        <v>391</v>
      </c>
      <c r="AI38" s="12" t="s">
        <v>391</v>
      </c>
      <c r="AJ38" s="12" t="s">
        <v>391</v>
      </c>
      <c r="AK38" s="12" t="s">
        <v>391</v>
      </c>
      <c r="AL38" s="12" t="s">
        <v>391</v>
      </c>
      <c r="AM38" s="12" t="s">
        <v>391</v>
      </c>
      <c r="AN38" s="12" t="s">
        <v>391</v>
      </c>
      <c r="AO38" s="12" t="s">
        <v>391</v>
      </c>
      <c r="AP38" s="12" t="s">
        <v>391</v>
      </c>
      <c r="AQ38" s="12" t="s">
        <v>391</v>
      </c>
      <c r="AR38" s="12" t="s">
        <v>391</v>
      </c>
      <c r="AS38" s="12" t="s">
        <v>391</v>
      </c>
      <c r="AT38" s="12" t="s">
        <v>391</v>
      </c>
      <c r="AU38" s="12" t="s">
        <v>391</v>
      </c>
      <c r="AV38" s="12" t="s">
        <v>391</v>
      </c>
      <c r="AW38" s="12" t="s">
        <v>391</v>
      </c>
      <c r="AX38" s="12" t="s">
        <v>391</v>
      </c>
      <c r="AY38" s="12"/>
      <c r="AZ38" s="12"/>
      <c r="BA38" s="12"/>
      <c r="BB38" s="12"/>
      <c r="BC38" s="12"/>
      <c r="BD38" s="12"/>
      <c r="BE38" s="12"/>
      <c r="BF38" s="12"/>
      <c r="BG38" s="13" t="s">
        <v>391</v>
      </c>
      <c r="BH38" s="12"/>
      <c r="BI38" s="12"/>
      <c r="BJ38" s="12"/>
      <c r="BK38" s="12"/>
      <c r="BL38" s="12"/>
      <c r="BM38" s="12"/>
      <c r="BN38" s="12"/>
      <c r="BO38" s="12"/>
      <c r="BP38" s="12"/>
      <c r="BQ38" s="12"/>
      <c r="BR38" s="12"/>
      <c r="BS38" s="12"/>
      <c r="BT38" s="12"/>
      <c r="BU38" s="12"/>
    </row>
    <row r="39" spans="1:73" x14ac:dyDescent="0.25">
      <c r="A39" s="3" t="s">
        <v>430</v>
      </c>
      <c r="B39" s="11" t="s">
        <v>298</v>
      </c>
      <c r="C39">
        <v>4</v>
      </c>
      <c r="D39" s="12"/>
      <c r="E39" s="13"/>
      <c r="F39" s="13" t="s">
        <v>391</v>
      </c>
      <c r="G39" s="13" t="s">
        <v>391</v>
      </c>
      <c r="H39" s="13" t="s">
        <v>391</v>
      </c>
      <c r="I39" s="13" t="s">
        <v>391</v>
      </c>
      <c r="J39" s="13" t="s">
        <v>391</v>
      </c>
      <c r="K39" s="13" t="s">
        <v>391</v>
      </c>
      <c r="L39" s="13" t="s">
        <v>391</v>
      </c>
      <c r="M39" s="13" t="s">
        <v>391</v>
      </c>
      <c r="N39" s="13" t="s">
        <v>391</v>
      </c>
      <c r="O39" s="13" t="s">
        <v>391</v>
      </c>
      <c r="P39" s="13" t="s">
        <v>391</v>
      </c>
      <c r="Q39" s="13" t="s">
        <v>391</v>
      </c>
      <c r="R39" s="13" t="s">
        <v>391</v>
      </c>
      <c r="S39" s="13" t="s">
        <v>391</v>
      </c>
      <c r="T39" s="12" t="s">
        <v>391</v>
      </c>
      <c r="U39" s="12" t="s">
        <v>391</v>
      </c>
      <c r="V39" s="12" t="s">
        <v>391</v>
      </c>
      <c r="W39" s="12" t="s">
        <v>391</v>
      </c>
      <c r="X39" s="12" t="s">
        <v>391</v>
      </c>
      <c r="Y39" s="12"/>
      <c r="Z39" s="12"/>
      <c r="AA39" s="12"/>
      <c r="AB39" s="12"/>
      <c r="AC39" s="12"/>
      <c r="AD39" s="12"/>
      <c r="AE39" s="12"/>
      <c r="AF39" s="12" t="s">
        <v>391</v>
      </c>
      <c r="AG39" s="12" t="s">
        <v>391</v>
      </c>
      <c r="AH39" s="12" t="s">
        <v>391</v>
      </c>
      <c r="AI39" s="12" t="s">
        <v>391</v>
      </c>
      <c r="AJ39" s="12" t="s">
        <v>391</v>
      </c>
      <c r="AK39" s="12" t="s">
        <v>391</v>
      </c>
      <c r="AL39" s="12" t="s">
        <v>391</v>
      </c>
      <c r="AM39" s="12" t="s">
        <v>391</v>
      </c>
      <c r="AN39" s="12" t="s">
        <v>391</v>
      </c>
      <c r="AO39" s="12" t="s">
        <v>391</v>
      </c>
      <c r="AP39" s="12" t="s">
        <v>391</v>
      </c>
      <c r="AQ39" s="12" t="s">
        <v>391</v>
      </c>
      <c r="AR39" s="12" t="s">
        <v>391</v>
      </c>
      <c r="AS39" s="12" t="s">
        <v>391</v>
      </c>
      <c r="AT39" s="12" t="s">
        <v>391</v>
      </c>
      <c r="AU39" s="12" t="s">
        <v>391</v>
      </c>
      <c r="AV39" s="12" t="s">
        <v>391</v>
      </c>
      <c r="AW39" s="12" t="s">
        <v>391</v>
      </c>
      <c r="AX39" s="12" t="s">
        <v>391</v>
      </c>
      <c r="AY39" s="12"/>
      <c r="AZ39" s="12"/>
      <c r="BA39" s="12"/>
      <c r="BB39" s="12"/>
      <c r="BC39" s="12"/>
      <c r="BD39" s="12"/>
      <c r="BE39" s="12"/>
      <c r="BF39" s="12"/>
      <c r="BG39" s="13" t="s">
        <v>391</v>
      </c>
      <c r="BH39" s="12"/>
      <c r="BI39" s="12"/>
      <c r="BJ39" s="12"/>
      <c r="BK39" s="12"/>
      <c r="BL39" s="12"/>
      <c r="BM39" s="12"/>
      <c r="BN39" s="12"/>
      <c r="BO39" s="12"/>
      <c r="BP39" s="12"/>
      <c r="BQ39" s="12"/>
      <c r="BR39" s="12"/>
      <c r="BS39" s="12"/>
      <c r="BT39" s="12"/>
      <c r="BU39" s="12"/>
    </row>
    <row r="40" spans="1:73" x14ac:dyDescent="0.25">
      <c r="A40" s="3" t="s">
        <v>431</v>
      </c>
      <c r="B40" s="11" t="s">
        <v>298</v>
      </c>
      <c r="C40">
        <v>4</v>
      </c>
      <c r="D40" s="12"/>
      <c r="E40" s="13"/>
      <c r="F40" s="13" t="s">
        <v>391</v>
      </c>
      <c r="G40" s="13" t="s">
        <v>391</v>
      </c>
      <c r="H40" s="13" t="s">
        <v>391</v>
      </c>
      <c r="I40" s="13" t="s">
        <v>391</v>
      </c>
      <c r="J40" s="13" t="s">
        <v>391</v>
      </c>
      <c r="K40" s="13" t="s">
        <v>391</v>
      </c>
      <c r="L40" s="13" t="s">
        <v>391</v>
      </c>
      <c r="M40" s="13" t="s">
        <v>391</v>
      </c>
      <c r="N40" s="13" t="s">
        <v>391</v>
      </c>
      <c r="O40" s="13" t="s">
        <v>391</v>
      </c>
      <c r="P40" s="13" t="s">
        <v>391</v>
      </c>
      <c r="Q40" s="13" t="s">
        <v>391</v>
      </c>
      <c r="R40" s="13" t="s">
        <v>391</v>
      </c>
      <c r="S40" s="13" t="s">
        <v>391</v>
      </c>
      <c r="T40" s="12" t="s">
        <v>391</v>
      </c>
      <c r="U40" s="12" t="s">
        <v>391</v>
      </c>
      <c r="V40" s="12" t="s">
        <v>391</v>
      </c>
      <c r="W40" s="12" t="s">
        <v>391</v>
      </c>
      <c r="X40" s="12" t="s">
        <v>391</v>
      </c>
      <c r="Y40" s="12"/>
      <c r="Z40" s="12"/>
      <c r="AA40" s="12"/>
      <c r="AB40" s="12"/>
      <c r="AC40" s="12"/>
      <c r="AD40" s="12" t="s">
        <v>391</v>
      </c>
      <c r="AE40" s="12"/>
      <c r="AF40" s="12" t="s">
        <v>391</v>
      </c>
      <c r="AG40" s="12" t="s">
        <v>391</v>
      </c>
      <c r="AH40" s="12" t="s">
        <v>391</v>
      </c>
      <c r="AI40" s="12" t="s">
        <v>391</v>
      </c>
      <c r="AJ40" s="12" t="s">
        <v>391</v>
      </c>
      <c r="AK40" s="12" t="s">
        <v>391</v>
      </c>
      <c r="AL40" s="12" t="s">
        <v>391</v>
      </c>
      <c r="AM40" s="12" t="s">
        <v>391</v>
      </c>
      <c r="AN40" s="12" t="s">
        <v>391</v>
      </c>
      <c r="AO40" s="12" t="s">
        <v>391</v>
      </c>
      <c r="AP40" s="12" t="s">
        <v>391</v>
      </c>
      <c r="AQ40" s="12" t="s">
        <v>391</v>
      </c>
      <c r="AR40" s="12" t="s">
        <v>391</v>
      </c>
      <c r="AS40" s="12" t="s">
        <v>391</v>
      </c>
      <c r="AT40" s="12" t="s">
        <v>391</v>
      </c>
      <c r="AU40" s="12" t="s">
        <v>391</v>
      </c>
      <c r="AV40" s="12" t="s">
        <v>391</v>
      </c>
      <c r="AW40" s="12" t="s">
        <v>391</v>
      </c>
      <c r="AX40" s="12" t="s">
        <v>391</v>
      </c>
      <c r="AY40" s="12"/>
      <c r="AZ40" s="12"/>
      <c r="BA40" s="12"/>
      <c r="BB40" s="12"/>
      <c r="BC40" s="12"/>
      <c r="BD40" s="12" t="s">
        <v>391</v>
      </c>
      <c r="BE40" s="12"/>
      <c r="BF40" s="12"/>
      <c r="BG40" s="13" t="s">
        <v>391</v>
      </c>
      <c r="BH40" s="12"/>
      <c r="BI40" s="12"/>
      <c r="BJ40" s="12"/>
      <c r="BK40" s="12"/>
      <c r="BL40" s="12"/>
      <c r="BM40" s="12"/>
      <c r="BN40" s="12"/>
      <c r="BO40" s="12"/>
      <c r="BP40" s="12"/>
      <c r="BQ40" s="12"/>
      <c r="BR40" s="12"/>
      <c r="BS40" s="12"/>
      <c r="BT40" s="12"/>
      <c r="BU40" s="12"/>
    </row>
    <row r="41" spans="1:73" x14ac:dyDescent="0.25">
      <c r="A41" s="3" t="s">
        <v>938</v>
      </c>
      <c r="B41" s="11" t="s">
        <v>298</v>
      </c>
      <c r="C41">
        <v>4</v>
      </c>
      <c r="D41" s="12"/>
      <c r="E41" s="13"/>
      <c r="F41" s="13" t="s">
        <v>391</v>
      </c>
      <c r="G41" s="13" t="s">
        <v>391</v>
      </c>
      <c r="H41" s="13" t="s">
        <v>391</v>
      </c>
      <c r="I41" s="13" t="s">
        <v>391</v>
      </c>
      <c r="J41" s="13" t="s">
        <v>391</v>
      </c>
      <c r="K41" s="13" t="s">
        <v>391</v>
      </c>
      <c r="L41" s="13" t="s">
        <v>391</v>
      </c>
      <c r="M41" s="13" t="s">
        <v>391</v>
      </c>
      <c r="N41" s="13" t="s">
        <v>391</v>
      </c>
      <c r="O41" s="13" t="s">
        <v>391</v>
      </c>
      <c r="P41" s="13" t="s">
        <v>391</v>
      </c>
      <c r="Q41" s="13" t="s">
        <v>391</v>
      </c>
      <c r="R41" s="13" t="s">
        <v>391</v>
      </c>
      <c r="S41" s="13" t="s">
        <v>391</v>
      </c>
      <c r="T41" s="12" t="s">
        <v>391</v>
      </c>
      <c r="U41" s="12" t="s">
        <v>391</v>
      </c>
      <c r="V41" s="12" t="s">
        <v>391</v>
      </c>
      <c r="W41" s="12" t="s">
        <v>391</v>
      </c>
      <c r="X41" s="12" t="s">
        <v>391</v>
      </c>
      <c r="Y41" s="12"/>
      <c r="Z41" s="12" t="s">
        <v>391</v>
      </c>
      <c r="AA41" s="12" t="s">
        <v>391</v>
      </c>
      <c r="AB41" s="12"/>
      <c r="AC41" s="12"/>
      <c r="AD41" s="12" t="s">
        <v>391</v>
      </c>
      <c r="AE41" s="12"/>
      <c r="AF41" s="12" t="s">
        <v>391</v>
      </c>
      <c r="AG41" s="12" t="s">
        <v>391</v>
      </c>
      <c r="AH41" s="12" t="s">
        <v>391</v>
      </c>
      <c r="AI41" s="12" t="s">
        <v>391</v>
      </c>
      <c r="AJ41" s="12" t="s">
        <v>391</v>
      </c>
      <c r="AK41" s="12" t="s">
        <v>391</v>
      </c>
      <c r="AL41" s="12" t="s">
        <v>391</v>
      </c>
      <c r="AM41" s="12" t="s">
        <v>391</v>
      </c>
      <c r="AN41" s="12" t="s">
        <v>391</v>
      </c>
      <c r="AO41" s="12" t="s">
        <v>391</v>
      </c>
      <c r="AP41" s="12" t="s">
        <v>391</v>
      </c>
      <c r="AQ41" s="12" t="s">
        <v>391</v>
      </c>
      <c r="AR41" s="12" t="s">
        <v>391</v>
      </c>
      <c r="AS41" s="12" t="s">
        <v>391</v>
      </c>
      <c r="AT41" s="12" t="s">
        <v>391</v>
      </c>
      <c r="AU41" s="12" t="s">
        <v>391</v>
      </c>
      <c r="AV41" s="12" t="s">
        <v>391</v>
      </c>
      <c r="AW41" s="12" t="s">
        <v>391</v>
      </c>
      <c r="AX41" s="12" t="s">
        <v>391</v>
      </c>
      <c r="AY41" s="12"/>
      <c r="AZ41" s="12"/>
      <c r="BA41" s="12"/>
      <c r="BB41" s="12"/>
      <c r="BC41" s="12"/>
      <c r="BD41" s="12" t="s">
        <v>391</v>
      </c>
      <c r="BE41" s="12"/>
      <c r="BF41" s="12"/>
      <c r="BG41" s="13" t="s">
        <v>391</v>
      </c>
      <c r="BH41" s="12"/>
      <c r="BI41" s="12"/>
      <c r="BJ41" s="12"/>
      <c r="BK41" s="12"/>
      <c r="BL41" s="12"/>
      <c r="BM41" s="12"/>
      <c r="BN41" s="12"/>
      <c r="BO41" s="12"/>
      <c r="BP41" s="12"/>
      <c r="BQ41" s="12"/>
      <c r="BR41" s="12"/>
      <c r="BS41" s="12"/>
      <c r="BT41" s="12"/>
      <c r="BU41" s="12"/>
    </row>
    <row r="42" spans="1:73" x14ac:dyDescent="0.25">
      <c r="A42" s="3" t="s">
        <v>432</v>
      </c>
      <c r="B42" s="11" t="s">
        <v>298</v>
      </c>
      <c r="C42">
        <v>4</v>
      </c>
      <c r="D42" s="12"/>
      <c r="E42" s="13"/>
      <c r="F42" s="13" t="s">
        <v>391</v>
      </c>
      <c r="G42" s="13" t="s">
        <v>391</v>
      </c>
      <c r="H42" s="13" t="s">
        <v>391</v>
      </c>
      <c r="I42" s="13" t="s">
        <v>391</v>
      </c>
      <c r="J42" s="13" t="s">
        <v>391</v>
      </c>
      <c r="K42" s="13" t="s">
        <v>391</v>
      </c>
      <c r="L42" s="13" t="s">
        <v>391</v>
      </c>
      <c r="M42" s="13" t="s">
        <v>391</v>
      </c>
      <c r="N42" s="13" t="s">
        <v>391</v>
      </c>
      <c r="O42" s="13" t="s">
        <v>391</v>
      </c>
      <c r="P42" s="13" t="s">
        <v>391</v>
      </c>
      <c r="Q42" s="13" t="s">
        <v>391</v>
      </c>
      <c r="R42" s="13" t="s">
        <v>391</v>
      </c>
      <c r="S42" s="13" t="s">
        <v>391</v>
      </c>
      <c r="T42" s="12" t="s">
        <v>391</v>
      </c>
      <c r="U42" s="12" t="s">
        <v>391</v>
      </c>
      <c r="V42" s="12" t="s">
        <v>391</v>
      </c>
      <c r="W42" s="12" t="s">
        <v>391</v>
      </c>
      <c r="X42" s="12" t="s">
        <v>391</v>
      </c>
      <c r="Y42" s="12"/>
      <c r="Z42" s="12" t="s">
        <v>391</v>
      </c>
      <c r="AA42" s="12" t="s">
        <v>391</v>
      </c>
      <c r="AB42" s="12"/>
      <c r="AC42" s="12"/>
      <c r="AD42" s="12" t="s">
        <v>391</v>
      </c>
      <c r="AE42" s="12"/>
      <c r="AF42" s="12" t="s">
        <v>391</v>
      </c>
      <c r="AG42" s="12" t="s">
        <v>391</v>
      </c>
      <c r="AH42" s="12" t="s">
        <v>391</v>
      </c>
      <c r="AI42" s="12" t="s">
        <v>391</v>
      </c>
      <c r="AJ42" s="12" t="s">
        <v>391</v>
      </c>
      <c r="AK42" s="12" t="s">
        <v>391</v>
      </c>
      <c r="AL42" s="12" t="s">
        <v>391</v>
      </c>
      <c r="AM42" s="12" t="s">
        <v>391</v>
      </c>
      <c r="AN42" s="12" t="s">
        <v>391</v>
      </c>
      <c r="AO42" s="12" t="s">
        <v>391</v>
      </c>
      <c r="AP42" s="12" t="s">
        <v>391</v>
      </c>
      <c r="AQ42" s="12" t="s">
        <v>391</v>
      </c>
      <c r="AR42" s="12" t="s">
        <v>391</v>
      </c>
      <c r="AS42" s="12" t="s">
        <v>391</v>
      </c>
      <c r="AT42" s="12" t="s">
        <v>391</v>
      </c>
      <c r="AU42" s="12" t="s">
        <v>391</v>
      </c>
      <c r="AV42" s="12" t="s">
        <v>391</v>
      </c>
      <c r="AW42" s="12" t="s">
        <v>391</v>
      </c>
      <c r="AX42" s="12" t="s">
        <v>391</v>
      </c>
      <c r="AY42" s="12"/>
      <c r="AZ42" s="12"/>
      <c r="BA42" s="12"/>
      <c r="BB42" s="12"/>
      <c r="BC42" s="12"/>
      <c r="BD42" s="12" t="s">
        <v>391</v>
      </c>
      <c r="BE42" s="12"/>
      <c r="BF42" s="12"/>
      <c r="BG42" s="13" t="s">
        <v>391</v>
      </c>
      <c r="BH42" s="12"/>
      <c r="BI42" s="12"/>
      <c r="BJ42" s="12"/>
      <c r="BK42" s="12"/>
      <c r="BL42" s="12"/>
      <c r="BM42" s="12"/>
      <c r="BN42" s="12"/>
      <c r="BO42" s="12"/>
      <c r="BP42" s="12"/>
      <c r="BQ42" s="12"/>
      <c r="BR42" s="12"/>
      <c r="BS42" s="12"/>
      <c r="BT42" s="12"/>
      <c r="BU42" s="12"/>
    </row>
    <row r="43" spans="1:73" x14ac:dyDescent="0.25">
      <c r="A43" s="3" t="s">
        <v>433</v>
      </c>
      <c r="B43" s="11" t="s">
        <v>298</v>
      </c>
      <c r="C43">
        <v>4</v>
      </c>
      <c r="D43" s="12"/>
      <c r="E43" s="13"/>
      <c r="F43" s="13" t="s">
        <v>391</v>
      </c>
      <c r="G43" s="13" t="s">
        <v>391</v>
      </c>
      <c r="H43" s="13" t="s">
        <v>391</v>
      </c>
      <c r="I43" s="13" t="s">
        <v>391</v>
      </c>
      <c r="J43" s="13" t="s">
        <v>391</v>
      </c>
      <c r="K43" s="13" t="s">
        <v>391</v>
      </c>
      <c r="L43" s="13" t="s">
        <v>391</v>
      </c>
      <c r="M43" s="13" t="s">
        <v>391</v>
      </c>
      <c r="N43" s="13" t="s">
        <v>391</v>
      </c>
      <c r="O43" s="13" t="s">
        <v>391</v>
      </c>
      <c r="P43" s="13" t="s">
        <v>391</v>
      </c>
      <c r="Q43" s="13" t="s">
        <v>391</v>
      </c>
      <c r="R43" s="13" t="s">
        <v>391</v>
      </c>
      <c r="S43" s="13" t="s">
        <v>391</v>
      </c>
      <c r="T43" s="12" t="s">
        <v>391</v>
      </c>
      <c r="U43" s="12" t="s">
        <v>391</v>
      </c>
      <c r="V43" s="12" t="s">
        <v>391</v>
      </c>
      <c r="W43" s="12" t="s">
        <v>391</v>
      </c>
      <c r="X43" s="12" t="s">
        <v>391</v>
      </c>
      <c r="Y43" s="12"/>
      <c r="Z43" s="12"/>
      <c r="AA43" s="12"/>
      <c r="AB43" s="12"/>
      <c r="AC43" s="12"/>
      <c r="AD43" s="12" t="s">
        <v>391</v>
      </c>
      <c r="AE43" s="12"/>
      <c r="AF43" s="12" t="s">
        <v>391</v>
      </c>
      <c r="AG43" s="12" t="s">
        <v>391</v>
      </c>
      <c r="AH43" s="12" t="s">
        <v>391</v>
      </c>
      <c r="AI43" s="12" t="s">
        <v>391</v>
      </c>
      <c r="AJ43" s="12" t="s">
        <v>391</v>
      </c>
      <c r="AK43" s="12" t="s">
        <v>391</v>
      </c>
      <c r="AL43" s="12" t="s">
        <v>391</v>
      </c>
      <c r="AM43" s="12" t="s">
        <v>391</v>
      </c>
      <c r="AN43" s="12" t="s">
        <v>391</v>
      </c>
      <c r="AO43" s="12" t="s">
        <v>391</v>
      </c>
      <c r="AP43" s="12" t="s">
        <v>391</v>
      </c>
      <c r="AQ43" s="12" t="s">
        <v>391</v>
      </c>
      <c r="AR43" s="12" t="s">
        <v>391</v>
      </c>
      <c r="AS43" s="12" t="s">
        <v>391</v>
      </c>
      <c r="AT43" s="12" t="s">
        <v>391</v>
      </c>
      <c r="AU43" s="12" t="s">
        <v>391</v>
      </c>
      <c r="AV43" s="12" t="s">
        <v>391</v>
      </c>
      <c r="AW43" s="12" t="s">
        <v>391</v>
      </c>
      <c r="AX43" s="12" t="s">
        <v>391</v>
      </c>
      <c r="AY43" s="12"/>
      <c r="AZ43" s="12"/>
      <c r="BA43" s="12"/>
      <c r="BB43" s="12"/>
      <c r="BC43" s="12"/>
      <c r="BD43" s="12" t="s">
        <v>391</v>
      </c>
      <c r="BE43" s="12"/>
      <c r="BF43" s="12"/>
      <c r="BG43" s="13" t="s">
        <v>391</v>
      </c>
      <c r="BH43" s="12"/>
      <c r="BI43" s="12"/>
      <c r="BJ43" s="12"/>
      <c r="BK43" s="12"/>
      <c r="BL43" s="12"/>
      <c r="BM43" s="12"/>
      <c r="BN43" s="12"/>
      <c r="BO43" s="12"/>
      <c r="BP43" s="12"/>
      <c r="BQ43" s="12"/>
      <c r="BR43" s="12"/>
      <c r="BS43" s="12"/>
      <c r="BT43" s="12"/>
      <c r="BU43" s="12"/>
    </row>
    <row r="44" spans="1:73" x14ac:dyDescent="0.25">
      <c r="A44" s="3" t="s">
        <v>434</v>
      </c>
      <c r="B44" s="11" t="s">
        <v>298</v>
      </c>
      <c r="C44">
        <v>4</v>
      </c>
      <c r="D44" s="12"/>
      <c r="E44" s="13"/>
      <c r="F44" s="13" t="s">
        <v>391</v>
      </c>
      <c r="G44" s="13" t="s">
        <v>391</v>
      </c>
      <c r="H44" s="13" t="s">
        <v>391</v>
      </c>
      <c r="I44" s="13" t="s">
        <v>391</v>
      </c>
      <c r="J44" s="13" t="s">
        <v>391</v>
      </c>
      <c r="K44" s="13" t="s">
        <v>391</v>
      </c>
      <c r="L44" s="13" t="s">
        <v>391</v>
      </c>
      <c r="M44" s="13" t="s">
        <v>391</v>
      </c>
      <c r="N44" s="13" t="s">
        <v>391</v>
      </c>
      <c r="O44" s="13" t="s">
        <v>391</v>
      </c>
      <c r="P44" s="13" t="s">
        <v>391</v>
      </c>
      <c r="Q44" s="13" t="s">
        <v>391</v>
      </c>
      <c r="R44" s="13" t="s">
        <v>391</v>
      </c>
      <c r="S44" s="13" t="s">
        <v>391</v>
      </c>
      <c r="T44" s="12" t="s">
        <v>391</v>
      </c>
      <c r="U44" s="12" t="s">
        <v>391</v>
      </c>
      <c r="V44" s="12" t="s">
        <v>391</v>
      </c>
      <c r="W44" s="12" t="s">
        <v>391</v>
      </c>
      <c r="X44" s="12" t="s">
        <v>391</v>
      </c>
      <c r="Y44" s="12"/>
      <c r="Z44" s="12"/>
      <c r="AA44" s="12"/>
      <c r="AB44" s="12"/>
      <c r="AC44" s="12"/>
      <c r="AD44" s="12"/>
      <c r="AE44" s="12"/>
      <c r="AF44" s="12" t="s">
        <v>391</v>
      </c>
      <c r="AG44" s="12" t="s">
        <v>391</v>
      </c>
      <c r="AH44" s="12" t="s">
        <v>391</v>
      </c>
      <c r="AI44" s="12" t="s">
        <v>391</v>
      </c>
      <c r="AJ44" s="12" t="s">
        <v>391</v>
      </c>
      <c r="AK44" s="12" t="s">
        <v>391</v>
      </c>
      <c r="AL44" s="12" t="s">
        <v>391</v>
      </c>
      <c r="AM44" s="12" t="s">
        <v>391</v>
      </c>
      <c r="AN44" s="12" t="s">
        <v>391</v>
      </c>
      <c r="AO44" s="12" t="s">
        <v>391</v>
      </c>
      <c r="AP44" s="12" t="s">
        <v>391</v>
      </c>
      <c r="AQ44" s="12" t="s">
        <v>391</v>
      </c>
      <c r="AR44" s="12" t="s">
        <v>391</v>
      </c>
      <c r="AS44" s="12" t="s">
        <v>391</v>
      </c>
      <c r="AT44" s="12" t="s">
        <v>391</v>
      </c>
      <c r="AU44" s="12" t="s">
        <v>391</v>
      </c>
      <c r="AV44" s="12" t="s">
        <v>391</v>
      </c>
      <c r="AW44" s="12" t="s">
        <v>391</v>
      </c>
      <c r="AX44" s="12" t="s">
        <v>391</v>
      </c>
      <c r="AY44" s="12"/>
      <c r="AZ44" s="12"/>
      <c r="BA44" s="12"/>
      <c r="BB44" s="12"/>
      <c r="BC44" s="12"/>
      <c r="BD44" s="12"/>
      <c r="BE44" s="12"/>
      <c r="BF44" s="12"/>
      <c r="BG44" s="13" t="s">
        <v>391</v>
      </c>
      <c r="BH44" s="12"/>
      <c r="BI44" s="12"/>
      <c r="BJ44" s="12"/>
      <c r="BK44" s="12"/>
      <c r="BL44" s="12"/>
      <c r="BM44" s="12"/>
      <c r="BN44" s="12"/>
      <c r="BO44" s="12"/>
      <c r="BP44" s="12"/>
      <c r="BQ44" s="12"/>
      <c r="BR44" s="12"/>
      <c r="BS44" s="12"/>
      <c r="BT44" s="12"/>
      <c r="BU44" s="12"/>
    </row>
    <row r="45" spans="1:73" x14ac:dyDescent="0.25">
      <c r="A45" s="3" t="s">
        <v>702</v>
      </c>
      <c r="B45" s="11" t="s">
        <v>298</v>
      </c>
      <c r="C45">
        <v>4</v>
      </c>
      <c r="D45" s="12"/>
      <c r="E45" s="13"/>
      <c r="F45" s="13" t="s">
        <v>391</v>
      </c>
      <c r="G45" s="13" t="s">
        <v>391</v>
      </c>
      <c r="H45" s="13" t="s">
        <v>391</v>
      </c>
      <c r="I45" s="13" t="s">
        <v>391</v>
      </c>
      <c r="J45" s="13" t="s">
        <v>391</v>
      </c>
      <c r="K45" s="13" t="s">
        <v>391</v>
      </c>
      <c r="L45" s="13" t="s">
        <v>391</v>
      </c>
      <c r="M45" s="13" t="s">
        <v>391</v>
      </c>
      <c r="N45" s="13" t="s">
        <v>391</v>
      </c>
      <c r="O45" s="13" t="s">
        <v>391</v>
      </c>
      <c r="P45" s="13" t="s">
        <v>391</v>
      </c>
      <c r="Q45" s="13" t="s">
        <v>391</v>
      </c>
      <c r="R45" s="13" t="s">
        <v>391</v>
      </c>
      <c r="S45" s="13" t="s">
        <v>391</v>
      </c>
      <c r="T45" s="12" t="s">
        <v>391</v>
      </c>
      <c r="U45" s="12" t="s">
        <v>391</v>
      </c>
      <c r="V45" s="12" t="s">
        <v>391</v>
      </c>
      <c r="W45" s="12" t="s">
        <v>391</v>
      </c>
      <c r="X45" s="12" t="s">
        <v>391</v>
      </c>
      <c r="Y45" s="12"/>
      <c r="Z45" s="12"/>
      <c r="AA45" s="12"/>
      <c r="AB45" s="12" t="s">
        <v>391</v>
      </c>
      <c r="AC45" s="12"/>
      <c r="AD45" s="12"/>
      <c r="AE45" s="12"/>
      <c r="AF45" s="12" t="s">
        <v>391</v>
      </c>
      <c r="AG45" s="12" t="s">
        <v>391</v>
      </c>
      <c r="AH45" s="12" t="s">
        <v>391</v>
      </c>
      <c r="AI45" s="12" t="s">
        <v>391</v>
      </c>
      <c r="AJ45" s="12" t="s">
        <v>391</v>
      </c>
      <c r="AK45" s="12" t="s">
        <v>391</v>
      </c>
      <c r="AL45" s="12" t="s">
        <v>391</v>
      </c>
      <c r="AM45" s="12" t="s">
        <v>391</v>
      </c>
      <c r="AN45" s="12" t="s">
        <v>391</v>
      </c>
      <c r="AO45" s="12" t="s">
        <v>391</v>
      </c>
      <c r="AP45" s="12" t="s">
        <v>391</v>
      </c>
      <c r="AQ45" s="12" t="s">
        <v>391</v>
      </c>
      <c r="AR45" s="12" t="s">
        <v>391</v>
      </c>
      <c r="AS45" s="12" t="s">
        <v>391</v>
      </c>
      <c r="AT45" s="12" t="s">
        <v>391</v>
      </c>
      <c r="AU45" s="12" t="s">
        <v>391</v>
      </c>
      <c r="AV45" s="12" t="s">
        <v>391</v>
      </c>
      <c r="AW45" s="12" t="s">
        <v>391</v>
      </c>
      <c r="AX45" s="12" t="s">
        <v>391</v>
      </c>
      <c r="AY45" s="12"/>
      <c r="AZ45" s="12"/>
      <c r="BA45" s="12"/>
      <c r="BB45" s="12"/>
      <c r="BC45" s="12"/>
      <c r="BD45" s="12"/>
      <c r="BE45" s="12"/>
      <c r="BF45" s="12"/>
      <c r="BG45" s="13" t="s">
        <v>391</v>
      </c>
      <c r="BH45" s="12"/>
      <c r="BI45" s="12"/>
      <c r="BJ45" s="12"/>
      <c r="BK45" s="12"/>
      <c r="BL45" s="12"/>
      <c r="BM45" s="12"/>
      <c r="BN45" s="12"/>
      <c r="BO45" s="12"/>
      <c r="BP45" s="12"/>
      <c r="BQ45" s="12"/>
      <c r="BR45" s="12"/>
      <c r="BS45" s="12"/>
      <c r="BT45" s="12"/>
      <c r="BU45" s="12"/>
    </row>
    <row r="46" spans="1:73" x14ac:dyDescent="0.25">
      <c r="A46" s="3" t="s">
        <v>937</v>
      </c>
      <c r="B46" s="11" t="s">
        <v>298</v>
      </c>
      <c r="C46">
        <v>4</v>
      </c>
      <c r="D46" s="12"/>
      <c r="E46" s="13"/>
      <c r="F46" s="13" t="s">
        <v>391</v>
      </c>
      <c r="G46" s="13" t="s">
        <v>391</v>
      </c>
      <c r="H46" s="13" t="s">
        <v>391</v>
      </c>
      <c r="I46" s="13" t="s">
        <v>391</v>
      </c>
      <c r="J46" s="13" t="s">
        <v>391</v>
      </c>
      <c r="K46" s="13" t="s">
        <v>391</v>
      </c>
      <c r="L46" s="13" t="s">
        <v>391</v>
      </c>
      <c r="M46" s="13" t="s">
        <v>391</v>
      </c>
      <c r="N46" s="13" t="s">
        <v>391</v>
      </c>
      <c r="O46" s="13" t="s">
        <v>391</v>
      </c>
      <c r="P46" s="13" t="s">
        <v>391</v>
      </c>
      <c r="Q46" s="13" t="s">
        <v>391</v>
      </c>
      <c r="R46" s="13" t="s">
        <v>391</v>
      </c>
      <c r="S46" s="13" t="s">
        <v>391</v>
      </c>
      <c r="T46" s="12" t="s">
        <v>391</v>
      </c>
      <c r="U46" s="12" t="s">
        <v>391</v>
      </c>
      <c r="V46" s="12" t="s">
        <v>391</v>
      </c>
      <c r="W46" s="12" t="s">
        <v>391</v>
      </c>
      <c r="X46" s="12" t="s">
        <v>391</v>
      </c>
      <c r="Y46" s="12"/>
      <c r="Z46" s="12" t="s">
        <v>391</v>
      </c>
      <c r="AA46" s="12" t="s">
        <v>391</v>
      </c>
      <c r="AB46" s="12" t="s">
        <v>391</v>
      </c>
      <c r="AC46" s="12"/>
      <c r="AD46" s="12"/>
      <c r="AE46" s="12"/>
      <c r="AF46" s="12" t="s">
        <v>391</v>
      </c>
      <c r="AG46" s="12" t="s">
        <v>391</v>
      </c>
      <c r="AH46" s="12" t="s">
        <v>391</v>
      </c>
      <c r="AI46" s="12" t="s">
        <v>391</v>
      </c>
      <c r="AJ46" s="12" t="s">
        <v>391</v>
      </c>
      <c r="AK46" s="12" t="s">
        <v>391</v>
      </c>
      <c r="AL46" s="12" t="s">
        <v>391</v>
      </c>
      <c r="AM46" s="12" t="s">
        <v>391</v>
      </c>
      <c r="AN46" s="12" t="s">
        <v>391</v>
      </c>
      <c r="AO46" s="12" t="s">
        <v>391</v>
      </c>
      <c r="AP46" s="12" t="s">
        <v>391</v>
      </c>
      <c r="AQ46" s="12" t="s">
        <v>391</v>
      </c>
      <c r="AR46" s="12" t="s">
        <v>391</v>
      </c>
      <c r="AS46" s="12" t="s">
        <v>391</v>
      </c>
      <c r="AT46" s="12" t="s">
        <v>391</v>
      </c>
      <c r="AU46" s="12" t="s">
        <v>391</v>
      </c>
      <c r="AV46" s="12" t="s">
        <v>391</v>
      </c>
      <c r="AW46" s="12" t="s">
        <v>391</v>
      </c>
      <c r="AX46" s="12" t="s">
        <v>391</v>
      </c>
      <c r="AY46" s="12"/>
      <c r="AZ46" s="12"/>
      <c r="BA46" s="12"/>
      <c r="BB46" s="12"/>
      <c r="BC46" s="12"/>
      <c r="BD46" s="12"/>
      <c r="BE46" s="12"/>
      <c r="BF46" s="12"/>
      <c r="BG46" s="13" t="s">
        <v>391</v>
      </c>
      <c r="BH46" s="12"/>
      <c r="BI46" s="12"/>
      <c r="BJ46" s="12"/>
      <c r="BK46" s="12"/>
      <c r="BL46" s="12"/>
      <c r="BM46" s="12"/>
      <c r="BN46" s="12"/>
      <c r="BO46" s="12"/>
      <c r="BP46" s="12"/>
      <c r="BQ46" s="12"/>
      <c r="BR46" s="12"/>
      <c r="BS46" s="12"/>
      <c r="BT46" s="12"/>
      <c r="BU46" s="12"/>
    </row>
    <row r="47" spans="1:73" x14ac:dyDescent="0.25">
      <c r="A47" s="3" t="s">
        <v>435</v>
      </c>
      <c r="B47" s="11" t="s">
        <v>298</v>
      </c>
      <c r="C47">
        <v>4</v>
      </c>
      <c r="D47" s="12"/>
      <c r="E47" s="13"/>
      <c r="F47" s="13" t="s">
        <v>391</v>
      </c>
      <c r="G47" s="13" t="s">
        <v>391</v>
      </c>
      <c r="H47" s="13" t="s">
        <v>391</v>
      </c>
      <c r="I47" s="13" t="s">
        <v>391</v>
      </c>
      <c r="J47" s="13" t="s">
        <v>391</v>
      </c>
      <c r="K47" s="13" t="s">
        <v>391</v>
      </c>
      <c r="L47" s="13" t="s">
        <v>391</v>
      </c>
      <c r="M47" s="13" t="s">
        <v>391</v>
      </c>
      <c r="N47" s="13" t="s">
        <v>391</v>
      </c>
      <c r="O47" s="13" t="s">
        <v>391</v>
      </c>
      <c r="P47" s="13" t="s">
        <v>391</v>
      </c>
      <c r="Q47" s="13" t="s">
        <v>391</v>
      </c>
      <c r="R47" s="13" t="s">
        <v>391</v>
      </c>
      <c r="S47" s="13" t="s">
        <v>391</v>
      </c>
      <c r="T47" s="12" t="s">
        <v>391</v>
      </c>
      <c r="U47" s="12" t="s">
        <v>391</v>
      </c>
      <c r="V47" s="12" t="s">
        <v>391</v>
      </c>
      <c r="W47" s="12" t="s">
        <v>391</v>
      </c>
      <c r="X47" s="12" t="s">
        <v>391</v>
      </c>
      <c r="Y47" s="12"/>
      <c r="Z47" s="12"/>
      <c r="AA47" s="12"/>
      <c r="AB47" s="12" t="s">
        <v>391</v>
      </c>
      <c r="AC47" s="12"/>
      <c r="AD47" s="12"/>
      <c r="AE47" s="12"/>
      <c r="AF47" s="12" t="s">
        <v>391</v>
      </c>
      <c r="AG47" s="12" t="s">
        <v>391</v>
      </c>
      <c r="AH47" s="12" t="s">
        <v>391</v>
      </c>
      <c r="AI47" s="12" t="s">
        <v>391</v>
      </c>
      <c r="AJ47" s="12" t="s">
        <v>391</v>
      </c>
      <c r="AK47" s="12" t="s">
        <v>391</v>
      </c>
      <c r="AL47" s="12" t="s">
        <v>391</v>
      </c>
      <c r="AM47" s="12" t="s">
        <v>391</v>
      </c>
      <c r="AN47" s="12" t="s">
        <v>391</v>
      </c>
      <c r="AO47" s="12" t="s">
        <v>391</v>
      </c>
      <c r="AP47" s="12" t="s">
        <v>391</v>
      </c>
      <c r="AQ47" s="12" t="s">
        <v>391</v>
      </c>
      <c r="AR47" s="12" t="s">
        <v>391</v>
      </c>
      <c r="AS47" s="12" t="s">
        <v>391</v>
      </c>
      <c r="AT47" s="12" t="s">
        <v>391</v>
      </c>
      <c r="AU47" s="12" t="s">
        <v>391</v>
      </c>
      <c r="AV47" s="12" t="s">
        <v>391</v>
      </c>
      <c r="AW47" s="12" t="s">
        <v>391</v>
      </c>
      <c r="AX47" s="12" t="s">
        <v>391</v>
      </c>
      <c r="AY47" s="12"/>
      <c r="AZ47" s="12"/>
      <c r="BA47" s="12"/>
      <c r="BB47" s="12"/>
      <c r="BC47" s="12"/>
      <c r="BD47" s="12"/>
      <c r="BE47" s="12"/>
      <c r="BF47" s="12"/>
      <c r="BG47" s="13" t="s">
        <v>391</v>
      </c>
      <c r="BH47" s="12"/>
      <c r="BI47" s="12"/>
      <c r="BJ47" s="12"/>
      <c r="BK47" s="12"/>
      <c r="BL47" s="12"/>
      <c r="BM47" s="12"/>
      <c r="BN47" s="12"/>
      <c r="BO47" s="12"/>
      <c r="BP47" s="12"/>
      <c r="BQ47" s="12"/>
      <c r="BR47" s="12"/>
      <c r="BS47" s="12"/>
      <c r="BT47" s="12"/>
      <c r="BU47" s="12"/>
    </row>
    <row r="48" spans="1:73" x14ac:dyDescent="0.25">
      <c r="A48" s="3" t="s">
        <v>436</v>
      </c>
      <c r="B48" s="11" t="s">
        <v>298</v>
      </c>
      <c r="C48">
        <v>4</v>
      </c>
      <c r="D48" s="12"/>
      <c r="E48" s="13"/>
      <c r="F48" s="13" t="s">
        <v>391</v>
      </c>
      <c r="G48" s="13" t="s">
        <v>391</v>
      </c>
      <c r="H48" s="13" t="s">
        <v>391</v>
      </c>
      <c r="I48" s="13" t="s">
        <v>391</v>
      </c>
      <c r="J48" s="13" t="s">
        <v>391</v>
      </c>
      <c r="K48" s="13" t="s">
        <v>391</v>
      </c>
      <c r="L48" s="13" t="s">
        <v>391</v>
      </c>
      <c r="M48" s="13" t="s">
        <v>391</v>
      </c>
      <c r="N48" s="13" t="s">
        <v>391</v>
      </c>
      <c r="O48" s="13" t="s">
        <v>391</v>
      </c>
      <c r="P48" s="13" t="s">
        <v>391</v>
      </c>
      <c r="Q48" s="13" t="s">
        <v>391</v>
      </c>
      <c r="R48" s="13" t="s">
        <v>391</v>
      </c>
      <c r="S48" s="13" t="s">
        <v>391</v>
      </c>
      <c r="T48" s="12" t="s">
        <v>391</v>
      </c>
      <c r="U48" s="12" t="s">
        <v>391</v>
      </c>
      <c r="V48" s="12" t="s">
        <v>391</v>
      </c>
      <c r="W48" s="12" t="s">
        <v>391</v>
      </c>
      <c r="X48" s="12" t="s">
        <v>391</v>
      </c>
      <c r="Y48" s="12"/>
      <c r="Z48" s="12" t="s">
        <v>391</v>
      </c>
      <c r="AA48" s="12" t="s">
        <v>391</v>
      </c>
      <c r="AB48" s="12" t="s">
        <v>391</v>
      </c>
      <c r="AC48" s="12"/>
      <c r="AD48" s="12"/>
      <c r="AE48" s="12"/>
      <c r="AF48" s="12" t="s">
        <v>391</v>
      </c>
      <c r="AG48" s="12" t="s">
        <v>391</v>
      </c>
      <c r="AH48" s="12" t="s">
        <v>391</v>
      </c>
      <c r="AI48" s="12" t="s">
        <v>391</v>
      </c>
      <c r="AJ48" s="12" t="s">
        <v>391</v>
      </c>
      <c r="AK48" s="12" t="s">
        <v>391</v>
      </c>
      <c r="AL48" s="12" t="s">
        <v>391</v>
      </c>
      <c r="AM48" s="12" t="s">
        <v>391</v>
      </c>
      <c r="AN48" s="12" t="s">
        <v>391</v>
      </c>
      <c r="AO48" s="12" t="s">
        <v>391</v>
      </c>
      <c r="AP48" s="12" t="s">
        <v>391</v>
      </c>
      <c r="AQ48" s="12" t="s">
        <v>391</v>
      </c>
      <c r="AR48" s="12" t="s">
        <v>391</v>
      </c>
      <c r="AS48" s="12" t="s">
        <v>391</v>
      </c>
      <c r="AT48" s="12" t="s">
        <v>391</v>
      </c>
      <c r="AU48" s="12" t="s">
        <v>391</v>
      </c>
      <c r="AV48" s="12" t="s">
        <v>391</v>
      </c>
      <c r="AW48" s="12" t="s">
        <v>391</v>
      </c>
      <c r="AX48" s="12" t="s">
        <v>391</v>
      </c>
      <c r="AY48" s="12"/>
      <c r="AZ48" s="12"/>
      <c r="BA48" s="12"/>
      <c r="BB48" s="12"/>
      <c r="BC48" s="12"/>
      <c r="BD48" s="12"/>
      <c r="BE48" s="12"/>
      <c r="BF48" s="12"/>
      <c r="BG48" s="13" t="s">
        <v>391</v>
      </c>
      <c r="BH48" s="12"/>
      <c r="BI48" s="12"/>
      <c r="BJ48" s="12"/>
      <c r="BK48" s="12"/>
      <c r="BL48" s="12"/>
      <c r="BM48" s="12"/>
      <c r="BN48" s="12"/>
      <c r="BO48" s="12"/>
      <c r="BP48" s="12"/>
      <c r="BQ48" s="12"/>
      <c r="BR48" s="12"/>
      <c r="BS48" s="12"/>
      <c r="BT48" s="12"/>
      <c r="BU48" s="12"/>
    </row>
    <row r="49" spans="1:73" x14ac:dyDescent="0.25">
      <c r="A49" s="3" t="s">
        <v>437</v>
      </c>
      <c r="B49" s="11" t="s">
        <v>298</v>
      </c>
      <c r="C49">
        <v>4</v>
      </c>
      <c r="D49" s="12"/>
      <c r="E49" s="13"/>
      <c r="F49" s="13" t="s">
        <v>391</v>
      </c>
      <c r="G49" s="13" t="s">
        <v>391</v>
      </c>
      <c r="H49" s="13" t="s">
        <v>391</v>
      </c>
      <c r="I49" s="13" t="s">
        <v>391</v>
      </c>
      <c r="J49" s="13" t="s">
        <v>391</v>
      </c>
      <c r="K49" s="13" t="s">
        <v>391</v>
      </c>
      <c r="L49" s="13" t="s">
        <v>391</v>
      </c>
      <c r="M49" s="13" t="s">
        <v>391</v>
      </c>
      <c r="N49" s="13" t="s">
        <v>391</v>
      </c>
      <c r="O49" s="13" t="s">
        <v>391</v>
      </c>
      <c r="P49" s="13" t="s">
        <v>391</v>
      </c>
      <c r="Q49" s="13" t="s">
        <v>391</v>
      </c>
      <c r="R49" s="13" t="s">
        <v>391</v>
      </c>
      <c r="S49" s="13" t="s">
        <v>391</v>
      </c>
      <c r="T49" s="12" t="s">
        <v>391</v>
      </c>
      <c r="U49" s="12" t="s">
        <v>391</v>
      </c>
      <c r="V49" s="12" t="s">
        <v>391</v>
      </c>
      <c r="W49" s="12" t="s">
        <v>391</v>
      </c>
      <c r="X49" s="12" t="s">
        <v>391</v>
      </c>
      <c r="Y49" s="12"/>
      <c r="Z49" s="12" t="s">
        <v>391</v>
      </c>
      <c r="AA49" s="12" t="s">
        <v>391</v>
      </c>
      <c r="AB49" s="12" t="s">
        <v>391</v>
      </c>
      <c r="AC49" s="12"/>
      <c r="AD49" s="12"/>
      <c r="AE49" s="12"/>
      <c r="AF49" s="12" t="s">
        <v>391</v>
      </c>
      <c r="AG49" s="12" t="s">
        <v>391</v>
      </c>
      <c r="AH49" s="12" t="s">
        <v>391</v>
      </c>
      <c r="AI49" s="12" t="s">
        <v>391</v>
      </c>
      <c r="AJ49" s="12" t="s">
        <v>391</v>
      </c>
      <c r="AK49" s="12" t="s">
        <v>391</v>
      </c>
      <c r="AL49" s="12" t="s">
        <v>391</v>
      </c>
      <c r="AM49" s="12" t="s">
        <v>391</v>
      </c>
      <c r="AN49" s="12" t="s">
        <v>391</v>
      </c>
      <c r="AO49" s="12" t="s">
        <v>391</v>
      </c>
      <c r="AP49" s="12" t="s">
        <v>391</v>
      </c>
      <c r="AQ49" s="12" t="s">
        <v>391</v>
      </c>
      <c r="AR49" s="12" t="s">
        <v>391</v>
      </c>
      <c r="AS49" s="12" t="s">
        <v>391</v>
      </c>
      <c r="AT49" s="12" t="s">
        <v>391</v>
      </c>
      <c r="AU49" s="12" t="s">
        <v>391</v>
      </c>
      <c r="AV49" s="12" t="s">
        <v>391</v>
      </c>
      <c r="AW49" s="12" t="s">
        <v>391</v>
      </c>
      <c r="AX49" s="12" t="s">
        <v>391</v>
      </c>
      <c r="AY49" s="12"/>
      <c r="AZ49" s="12"/>
      <c r="BA49" s="12"/>
      <c r="BB49" s="12"/>
      <c r="BC49" s="12"/>
      <c r="BD49" s="12"/>
      <c r="BE49" s="12"/>
      <c r="BF49" s="12"/>
      <c r="BG49" s="13" t="s">
        <v>391</v>
      </c>
      <c r="BH49" s="12"/>
      <c r="BI49" s="12"/>
      <c r="BJ49" s="12"/>
      <c r="BK49" s="12"/>
      <c r="BL49" s="12"/>
      <c r="BM49" s="12"/>
      <c r="BN49" s="12"/>
      <c r="BO49" s="12"/>
      <c r="BP49" s="12"/>
      <c r="BQ49" s="12"/>
      <c r="BR49" s="12"/>
      <c r="BS49" s="12"/>
      <c r="BT49" s="12"/>
      <c r="BU49" s="12"/>
    </row>
    <row r="50" spans="1:73" ht="25" x14ac:dyDescent="0.25">
      <c r="A50" s="3" t="s">
        <v>933</v>
      </c>
      <c r="B50" s="11" t="s">
        <v>298</v>
      </c>
      <c r="C50">
        <v>4</v>
      </c>
      <c r="D50" s="12"/>
      <c r="E50" s="13"/>
      <c r="F50" s="13" t="s">
        <v>391</v>
      </c>
      <c r="G50" s="13" t="s">
        <v>391</v>
      </c>
      <c r="H50" s="13" t="s">
        <v>391</v>
      </c>
      <c r="I50" s="13" t="s">
        <v>391</v>
      </c>
      <c r="J50" s="13" t="s">
        <v>391</v>
      </c>
      <c r="K50" s="13" t="s">
        <v>391</v>
      </c>
      <c r="L50" s="13" t="s">
        <v>391</v>
      </c>
      <c r="M50" s="13" t="s">
        <v>391</v>
      </c>
      <c r="N50" s="13" t="s">
        <v>391</v>
      </c>
      <c r="O50" s="13" t="s">
        <v>391</v>
      </c>
      <c r="P50" s="13" t="s">
        <v>391</v>
      </c>
      <c r="Q50" s="13" t="s">
        <v>391</v>
      </c>
      <c r="R50" s="13" t="s">
        <v>391</v>
      </c>
      <c r="S50" s="13" t="s">
        <v>391</v>
      </c>
      <c r="T50" s="12" t="s">
        <v>391</v>
      </c>
      <c r="U50" s="12" t="s">
        <v>391</v>
      </c>
      <c r="V50" s="12" t="s">
        <v>391</v>
      </c>
      <c r="W50" s="12" t="s">
        <v>391</v>
      </c>
      <c r="X50" s="12" t="s">
        <v>391</v>
      </c>
      <c r="Y50" s="12"/>
      <c r="Z50" s="12"/>
      <c r="AA50" s="12"/>
      <c r="AB50" s="12"/>
      <c r="AC50" s="12" t="s">
        <v>391</v>
      </c>
      <c r="AD50" s="12"/>
      <c r="AE50" s="12"/>
      <c r="AF50" s="12" t="s">
        <v>391</v>
      </c>
      <c r="AG50" s="12" t="s">
        <v>391</v>
      </c>
      <c r="AH50" s="12" t="s">
        <v>391</v>
      </c>
      <c r="AI50" s="12" t="s">
        <v>391</v>
      </c>
      <c r="AJ50" s="12" t="s">
        <v>391</v>
      </c>
      <c r="AK50" s="12" t="s">
        <v>391</v>
      </c>
      <c r="AL50" s="12" t="s">
        <v>391</v>
      </c>
      <c r="AM50" s="12" t="s">
        <v>391</v>
      </c>
      <c r="AN50" s="12" t="s">
        <v>391</v>
      </c>
      <c r="AO50" s="12" t="s">
        <v>391</v>
      </c>
      <c r="AP50" s="12" t="s">
        <v>391</v>
      </c>
      <c r="AQ50" s="12" t="s">
        <v>391</v>
      </c>
      <c r="AR50" s="12" t="s">
        <v>391</v>
      </c>
      <c r="AS50" s="12" t="s">
        <v>391</v>
      </c>
      <c r="AT50" s="12" t="s">
        <v>391</v>
      </c>
      <c r="AU50" s="12" t="s">
        <v>391</v>
      </c>
      <c r="AV50" s="12" t="s">
        <v>391</v>
      </c>
      <c r="AW50" s="12" t="s">
        <v>391</v>
      </c>
      <c r="AX50" s="12" t="s">
        <v>391</v>
      </c>
      <c r="AY50" s="12"/>
      <c r="AZ50" s="12"/>
      <c r="BA50" s="12"/>
      <c r="BB50" s="12"/>
      <c r="BC50" s="12"/>
      <c r="BD50" s="12"/>
      <c r="BE50" s="12"/>
      <c r="BF50" s="12"/>
      <c r="BG50" s="13" t="s">
        <v>391</v>
      </c>
      <c r="BH50" s="12"/>
      <c r="BI50" s="12"/>
      <c r="BJ50" s="12"/>
      <c r="BK50" s="12"/>
      <c r="BL50" s="12"/>
      <c r="BM50" s="12"/>
      <c r="BN50" s="12"/>
      <c r="BO50" s="12"/>
      <c r="BP50" s="12"/>
      <c r="BQ50" s="12"/>
      <c r="BR50" s="12"/>
      <c r="BS50" s="12"/>
      <c r="BT50" s="12"/>
      <c r="BU50" s="12"/>
    </row>
    <row r="51" spans="1:73" x14ac:dyDescent="0.25">
      <c r="A51" s="3" t="s">
        <v>947</v>
      </c>
      <c r="B51" s="11" t="s">
        <v>298</v>
      </c>
      <c r="C51">
        <v>4</v>
      </c>
      <c r="D51" s="12"/>
      <c r="E51" s="13"/>
      <c r="F51" s="13" t="s">
        <v>391</v>
      </c>
      <c r="G51" s="13" t="s">
        <v>391</v>
      </c>
      <c r="H51" s="13" t="s">
        <v>391</v>
      </c>
      <c r="I51" s="13" t="s">
        <v>391</v>
      </c>
      <c r="J51" s="13" t="s">
        <v>391</v>
      </c>
      <c r="K51" s="13" t="s">
        <v>391</v>
      </c>
      <c r="L51" s="13" t="s">
        <v>391</v>
      </c>
      <c r="M51" s="13" t="s">
        <v>391</v>
      </c>
      <c r="N51" s="13" t="s">
        <v>391</v>
      </c>
      <c r="O51" s="13" t="s">
        <v>391</v>
      </c>
      <c r="P51" s="13" t="s">
        <v>391</v>
      </c>
      <c r="Q51" s="13" t="s">
        <v>391</v>
      </c>
      <c r="R51" s="13" t="s">
        <v>391</v>
      </c>
      <c r="S51" s="13" t="s">
        <v>391</v>
      </c>
      <c r="T51" s="12" t="s">
        <v>391</v>
      </c>
      <c r="U51" s="12" t="s">
        <v>391</v>
      </c>
      <c r="V51" s="12" t="s">
        <v>391</v>
      </c>
      <c r="W51" s="12" t="s">
        <v>391</v>
      </c>
      <c r="X51" s="12" t="s">
        <v>391</v>
      </c>
      <c r="Y51" s="12"/>
      <c r="Z51" s="12"/>
      <c r="AA51" s="12"/>
      <c r="AB51" s="12"/>
      <c r="AC51" s="12"/>
      <c r="AD51" s="12"/>
      <c r="AE51" s="12"/>
      <c r="AF51" s="12" t="s">
        <v>391</v>
      </c>
      <c r="AG51" s="12" t="s">
        <v>391</v>
      </c>
      <c r="AH51" s="12" t="s">
        <v>391</v>
      </c>
      <c r="AI51" s="12" t="s">
        <v>391</v>
      </c>
      <c r="AJ51" s="12" t="s">
        <v>391</v>
      </c>
      <c r="AK51" s="12" t="s">
        <v>391</v>
      </c>
      <c r="AL51" s="12" t="s">
        <v>391</v>
      </c>
      <c r="AM51" s="12" t="s">
        <v>391</v>
      </c>
      <c r="AN51" s="12" t="s">
        <v>391</v>
      </c>
      <c r="AO51" s="12" t="s">
        <v>391</v>
      </c>
      <c r="AP51" s="12" t="s">
        <v>391</v>
      </c>
      <c r="AQ51" s="12" t="s">
        <v>391</v>
      </c>
      <c r="AR51" s="12" t="s">
        <v>391</v>
      </c>
      <c r="AS51" s="12" t="s">
        <v>391</v>
      </c>
      <c r="AT51" s="12" t="s">
        <v>391</v>
      </c>
      <c r="AU51" s="12" t="s">
        <v>391</v>
      </c>
      <c r="AV51" s="12" t="s">
        <v>391</v>
      </c>
      <c r="AW51" s="12" t="s">
        <v>391</v>
      </c>
      <c r="AX51" s="12" t="s">
        <v>391</v>
      </c>
      <c r="AY51" s="12"/>
      <c r="AZ51" s="12"/>
      <c r="BA51" s="12"/>
      <c r="BB51" s="12"/>
      <c r="BC51" s="12"/>
      <c r="BD51" s="12"/>
      <c r="BE51" s="12"/>
      <c r="BF51" s="12"/>
      <c r="BG51" s="13" t="s">
        <v>391</v>
      </c>
      <c r="BH51" s="12"/>
      <c r="BI51" s="12"/>
      <c r="BJ51" s="12"/>
      <c r="BK51" s="12"/>
      <c r="BL51" s="12"/>
      <c r="BM51" s="12"/>
      <c r="BN51" s="12"/>
      <c r="BO51" s="12"/>
      <c r="BP51" s="12"/>
      <c r="BQ51" s="12"/>
      <c r="BR51" s="12"/>
      <c r="BS51" s="12"/>
      <c r="BT51" s="12"/>
      <c r="BU51" s="12"/>
    </row>
    <row r="52" spans="1:73" x14ac:dyDescent="0.25">
      <c r="A52" s="3" t="s">
        <v>438</v>
      </c>
      <c r="B52" s="11" t="s">
        <v>298</v>
      </c>
      <c r="C52">
        <v>4</v>
      </c>
      <c r="D52" s="12"/>
      <c r="E52" s="13"/>
      <c r="F52" s="13" t="s">
        <v>391</v>
      </c>
      <c r="G52" s="13" t="s">
        <v>391</v>
      </c>
      <c r="H52" s="13" t="s">
        <v>391</v>
      </c>
      <c r="I52" s="13" t="s">
        <v>391</v>
      </c>
      <c r="J52" s="13" t="s">
        <v>391</v>
      </c>
      <c r="K52" s="13" t="s">
        <v>391</v>
      </c>
      <c r="L52" s="13" t="s">
        <v>391</v>
      </c>
      <c r="M52" s="13" t="s">
        <v>391</v>
      </c>
      <c r="N52" s="13" t="s">
        <v>391</v>
      </c>
      <c r="O52" s="13" t="s">
        <v>391</v>
      </c>
      <c r="P52" s="13" t="s">
        <v>391</v>
      </c>
      <c r="Q52" s="13" t="s">
        <v>391</v>
      </c>
      <c r="R52" s="13" t="s">
        <v>391</v>
      </c>
      <c r="S52" s="13" t="s">
        <v>391</v>
      </c>
      <c r="T52" s="12" t="s">
        <v>391</v>
      </c>
      <c r="U52" s="12" t="s">
        <v>391</v>
      </c>
      <c r="V52" s="12" t="s">
        <v>391</v>
      </c>
      <c r="W52" s="12" t="s">
        <v>391</v>
      </c>
      <c r="X52" s="12" t="s">
        <v>391</v>
      </c>
      <c r="Y52" s="12"/>
      <c r="Z52" s="12"/>
      <c r="AA52" s="12"/>
      <c r="AB52" s="12"/>
      <c r="AC52" s="12"/>
      <c r="AD52" s="12"/>
      <c r="AE52" s="12" t="s">
        <v>391</v>
      </c>
      <c r="AF52" s="12" t="s">
        <v>391</v>
      </c>
      <c r="AG52" s="12" t="s">
        <v>391</v>
      </c>
      <c r="AH52" s="12" t="s">
        <v>391</v>
      </c>
      <c r="AI52" s="12" t="s">
        <v>391</v>
      </c>
      <c r="AJ52" s="12" t="s">
        <v>391</v>
      </c>
      <c r="AK52" s="12" t="s">
        <v>391</v>
      </c>
      <c r="AL52" s="12" t="s">
        <v>391</v>
      </c>
      <c r="AM52" s="12" t="s">
        <v>391</v>
      </c>
      <c r="AN52" s="12" t="s">
        <v>391</v>
      </c>
      <c r="AO52" s="12" t="s">
        <v>391</v>
      </c>
      <c r="AP52" s="12" t="s">
        <v>391</v>
      </c>
      <c r="AQ52" s="12" t="s">
        <v>391</v>
      </c>
      <c r="AR52" s="12" t="s">
        <v>391</v>
      </c>
      <c r="AS52" s="12" t="s">
        <v>391</v>
      </c>
      <c r="AT52" s="12" t="s">
        <v>391</v>
      </c>
      <c r="AU52" s="12" t="s">
        <v>391</v>
      </c>
      <c r="AV52" s="12" t="s">
        <v>391</v>
      </c>
      <c r="AW52" s="12" t="s">
        <v>391</v>
      </c>
      <c r="AX52" s="12" t="s">
        <v>391</v>
      </c>
      <c r="AY52" s="12"/>
      <c r="AZ52" s="12"/>
      <c r="BA52" s="12"/>
      <c r="BB52" s="12"/>
      <c r="BC52" s="12"/>
      <c r="BD52" s="12"/>
      <c r="BE52" s="12"/>
      <c r="BF52" s="12"/>
      <c r="BG52" s="13" t="s">
        <v>391</v>
      </c>
      <c r="BH52" s="12"/>
      <c r="BI52" s="12"/>
      <c r="BJ52" s="12"/>
      <c r="BK52" s="12"/>
      <c r="BL52" s="12"/>
      <c r="BM52" s="12"/>
      <c r="BN52" s="12"/>
      <c r="BO52" s="12"/>
      <c r="BP52" s="12"/>
      <c r="BQ52" s="12"/>
      <c r="BR52" s="12"/>
      <c r="BS52" s="12"/>
      <c r="BT52" s="12"/>
      <c r="BU52" s="12"/>
    </row>
    <row r="53" spans="1:73" x14ac:dyDescent="0.25">
      <c r="A53" s="3" t="s">
        <v>439</v>
      </c>
      <c r="B53" s="11" t="s">
        <v>298</v>
      </c>
      <c r="C53">
        <v>4</v>
      </c>
      <c r="D53" s="12"/>
      <c r="E53" s="13"/>
      <c r="F53" s="13" t="s">
        <v>391</v>
      </c>
      <c r="G53" s="13" t="s">
        <v>391</v>
      </c>
      <c r="H53" s="13" t="s">
        <v>391</v>
      </c>
      <c r="I53" s="13" t="s">
        <v>391</v>
      </c>
      <c r="J53" s="13" t="s">
        <v>391</v>
      </c>
      <c r="K53" s="13" t="s">
        <v>391</v>
      </c>
      <c r="L53" s="13" t="s">
        <v>391</v>
      </c>
      <c r="M53" s="13" t="s">
        <v>391</v>
      </c>
      <c r="N53" s="13" t="s">
        <v>391</v>
      </c>
      <c r="O53" s="13" t="s">
        <v>391</v>
      </c>
      <c r="P53" s="13" t="s">
        <v>391</v>
      </c>
      <c r="Q53" s="13" t="s">
        <v>391</v>
      </c>
      <c r="R53" s="13" t="s">
        <v>391</v>
      </c>
      <c r="S53" s="13" t="s">
        <v>391</v>
      </c>
      <c r="T53" s="12" t="s">
        <v>391</v>
      </c>
      <c r="U53" s="12" t="s">
        <v>391</v>
      </c>
      <c r="V53" s="12" t="s">
        <v>391</v>
      </c>
      <c r="W53" s="12" t="s">
        <v>391</v>
      </c>
      <c r="X53" s="12" t="s">
        <v>391</v>
      </c>
      <c r="Y53" s="12"/>
      <c r="Z53" s="12" t="s">
        <v>391</v>
      </c>
      <c r="AA53" s="12" t="s">
        <v>391</v>
      </c>
      <c r="AB53" s="12"/>
      <c r="AC53" s="12"/>
      <c r="AD53" s="12"/>
      <c r="AE53" s="12"/>
      <c r="AF53" s="12" t="s">
        <v>391</v>
      </c>
      <c r="AG53" s="12" t="s">
        <v>391</v>
      </c>
      <c r="AH53" s="12" t="s">
        <v>391</v>
      </c>
      <c r="AI53" s="12" t="s">
        <v>391</v>
      </c>
      <c r="AJ53" s="12" t="s">
        <v>391</v>
      </c>
      <c r="AK53" s="12" t="s">
        <v>391</v>
      </c>
      <c r="AL53" s="12" t="s">
        <v>391</v>
      </c>
      <c r="AM53" s="12" t="s">
        <v>391</v>
      </c>
      <c r="AN53" s="12" t="s">
        <v>391</v>
      </c>
      <c r="AO53" s="12" t="s">
        <v>391</v>
      </c>
      <c r="AP53" s="12" t="s">
        <v>391</v>
      </c>
      <c r="AQ53" s="12" t="s">
        <v>391</v>
      </c>
      <c r="AR53" s="12" t="s">
        <v>391</v>
      </c>
      <c r="AS53" s="12" t="s">
        <v>391</v>
      </c>
      <c r="AT53" s="12" t="s">
        <v>391</v>
      </c>
      <c r="AU53" s="12" t="s">
        <v>391</v>
      </c>
      <c r="AV53" s="12" t="s">
        <v>391</v>
      </c>
      <c r="AW53" s="12" t="s">
        <v>391</v>
      </c>
      <c r="AX53" s="12" t="s">
        <v>391</v>
      </c>
      <c r="AY53" s="12"/>
      <c r="AZ53" s="12"/>
      <c r="BA53" s="12"/>
      <c r="BB53" s="12"/>
      <c r="BC53" s="12"/>
      <c r="BD53" s="12"/>
      <c r="BE53" s="12"/>
      <c r="BF53" s="12"/>
      <c r="BG53" s="13" t="s">
        <v>391</v>
      </c>
      <c r="BH53" s="12"/>
      <c r="BI53" s="12"/>
      <c r="BJ53" s="12"/>
      <c r="BK53" s="12"/>
      <c r="BL53" s="12"/>
      <c r="BM53" s="12"/>
      <c r="BN53" s="12"/>
      <c r="BO53" s="12"/>
      <c r="BP53" s="12"/>
      <c r="BQ53" s="12"/>
      <c r="BR53" s="12"/>
      <c r="BS53" s="12"/>
      <c r="BT53" s="12"/>
      <c r="BU53" s="12"/>
    </row>
    <row r="54" spans="1:73" ht="25" x14ac:dyDescent="0.25">
      <c r="A54" s="3" t="s">
        <v>941</v>
      </c>
      <c r="B54" s="11" t="s">
        <v>444</v>
      </c>
      <c r="C54">
        <v>5</v>
      </c>
      <c r="D54" s="12"/>
      <c r="E54" s="13"/>
      <c r="F54" s="13" t="s">
        <v>391</v>
      </c>
      <c r="G54" s="13" t="s">
        <v>391</v>
      </c>
      <c r="H54" s="13" t="s">
        <v>391</v>
      </c>
      <c r="I54" s="13" t="s">
        <v>391</v>
      </c>
      <c r="J54" s="13" t="s">
        <v>391</v>
      </c>
      <c r="K54" s="13" t="s">
        <v>391</v>
      </c>
      <c r="L54" s="13" t="s">
        <v>391</v>
      </c>
      <c r="M54" s="13" t="s">
        <v>391</v>
      </c>
      <c r="N54" s="13" t="s">
        <v>391</v>
      </c>
      <c r="O54" s="13" t="s">
        <v>391</v>
      </c>
      <c r="P54" s="13" t="s">
        <v>391</v>
      </c>
      <c r="Q54" s="13" t="s">
        <v>391</v>
      </c>
      <c r="R54" s="12" t="s">
        <v>391</v>
      </c>
      <c r="S54" s="12" t="s">
        <v>391</v>
      </c>
      <c r="T54" s="12"/>
      <c r="U54" s="12" t="s">
        <v>391</v>
      </c>
      <c r="V54" s="12" t="s">
        <v>391</v>
      </c>
      <c r="W54" s="12" t="s">
        <v>391</v>
      </c>
      <c r="X54" s="12" t="s">
        <v>391</v>
      </c>
      <c r="Y54" s="12" t="s">
        <v>391</v>
      </c>
      <c r="Z54" s="12" t="s">
        <v>391</v>
      </c>
      <c r="AA54" s="12" t="s">
        <v>391</v>
      </c>
      <c r="AB54" s="12" t="s">
        <v>391</v>
      </c>
      <c r="AC54" s="12" t="s">
        <v>391</v>
      </c>
      <c r="AD54" s="12" t="s">
        <v>391</v>
      </c>
      <c r="AE54" s="12" t="s">
        <v>391</v>
      </c>
      <c r="AF54" s="12" t="s">
        <v>391</v>
      </c>
      <c r="AG54" s="12" t="s">
        <v>391</v>
      </c>
      <c r="AH54" s="12" t="s">
        <v>391</v>
      </c>
      <c r="AI54" s="12" t="s">
        <v>391</v>
      </c>
      <c r="AJ54" s="12" t="s">
        <v>391</v>
      </c>
      <c r="AK54" s="12" t="s">
        <v>391</v>
      </c>
      <c r="AL54" s="12" t="s">
        <v>391</v>
      </c>
      <c r="AM54" s="12" t="s">
        <v>391</v>
      </c>
      <c r="AN54" s="13" t="s">
        <v>391</v>
      </c>
      <c r="AO54" s="12"/>
      <c r="AP54" s="12"/>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3" x14ac:dyDescent="0.25">
      <c r="A55" s="3" t="s">
        <v>440</v>
      </c>
      <c r="B55" s="11" t="s">
        <v>444</v>
      </c>
      <c r="C55">
        <v>5</v>
      </c>
      <c r="D55" s="12"/>
      <c r="E55" s="13"/>
      <c r="F55" s="13" t="s">
        <v>391</v>
      </c>
      <c r="G55" s="13" t="s">
        <v>391</v>
      </c>
      <c r="H55" s="13" t="s">
        <v>391</v>
      </c>
      <c r="I55" s="13" t="s">
        <v>391</v>
      </c>
      <c r="J55" s="13" t="s">
        <v>391</v>
      </c>
      <c r="K55" s="13" t="s">
        <v>391</v>
      </c>
      <c r="L55" s="13" t="s">
        <v>391</v>
      </c>
      <c r="M55" s="13" t="s">
        <v>391</v>
      </c>
      <c r="N55" s="13" t="s">
        <v>391</v>
      </c>
      <c r="O55" s="13" t="s">
        <v>391</v>
      </c>
      <c r="P55" s="13" t="s">
        <v>391</v>
      </c>
      <c r="Q55" s="13" t="s">
        <v>391</v>
      </c>
      <c r="R55" s="12" t="s">
        <v>391</v>
      </c>
      <c r="S55" s="12"/>
      <c r="T55" s="12" t="s">
        <v>391</v>
      </c>
      <c r="U55" s="12" t="s">
        <v>391</v>
      </c>
      <c r="V55" s="12" t="s">
        <v>391</v>
      </c>
      <c r="W55" s="12" t="s">
        <v>391</v>
      </c>
      <c r="X55" s="12" t="s">
        <v>391</v>
      </c>
      <c r="Y55" s="12" t="s">
        <v>391</v>
      </c>
      <c r="Z55" s="12" t="s">
        <v>391</v>
      </c>
      <c r="AA55" s="12" t="s">
        <v>391</v>
      </c>
      <c r="AB55" s="12" t="s">
        <v>391</v>
      </c>
      <c r="AC55" s="12" t="s">
        <v>391</v>
      </c>
      <c r="AD55" s="12" t="s">
        <v>391</v>
      </c>
      <c r="AE55" s="12" t="s">
        <v>391</v>
      </c>
      <c r="AF55" s="12" t="s">
        <v>391</v>
      </c>
      <c r="AG55" s="12" t="s">
        <v>391</v>
      </c>
      <c r="AH55" s="12" t="s">
        <v>391</v>
      </c>
      <c r="AI55" s="12" t="s">
        <v>391</v>
      </c>
      <c r="AJ55" s="12" t="s">
        <v>391</v>
      </c>
      <c r="AK55" s="12" t="s">
        <v>391</v>
      </c>
      <c r="AL55" s="12" t="s">
        <v>391</v>
      </c>
      <c r="AM55" s="12" t="s">
        <v>391</v>
      </c>
      <c r="AN55" s="13" t="s">
        <v>391</v>
      </c>
      <c r="AO55" s="12"/>
      <c r="AP55" s="12"/>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3" x14ac:dyDescent="0.25">
      <c r="A56" s="3" t="s">
        <v>441</v>
      </c>
      <c r="B56" s="11" t="s">
        <v>444</v>
      </c>
      <c r="C56">
        <v>5</v>
      </c>
      <c r="D56" s="12"/>
      <c r="E56" s="13"/>
      <c r="F56" s="13" t="s">
        <v>391</v>
      </c>
      <c r="G56" s="13" t="s">
        <v>391</v>
      </c>
      <c r="H56" s="13" t="s">
        <v>391</v>
      </c>
      <c r="I56" s="13" t="s">
        <v>391</v>
      </c>
      <c r="J56" s="13" t="s">
        <v>391</v>
      </c>
      <c r="K56" s="13" t="s">
        <v>391</v>
      </c>
      <c r="L56" s="13" t="s">
        <v>391</v>
      </c>
      <c r="M56" s="13" t="s">
        <v>391</v>
      </c>
      <c r="N56" s="13" t="s">
        <v>391</v>
      </c>
      <c r="O56" s="13" t="s">
        <v>391</v>
      </c>
      <c r="P56" s="13" t="s">
        <v>391</v>
      </c>
      <c r="Q56" s="13" t="s">
        <v>391</v>
      </c>
      <c r="R56" s="12" t="s">
        <v>391</v>
      </c>
      <c r="S56" s="12"/>
      <c r="T56" s="12"/>
      <c r="U56" s="12" t="s">
        <v>391</v>
      </c>
      <c r="V56" s="12" t="s">
        <v>391</v>
      </c>
      <c r="W56" s="12" t="s">
        <v>391</v>
      </c>
      <c r="X56" s="12" t="s">
        <v>391</v>
      </c>
      <c r="Y56" s="12" t="s">
        <v>391</v>
      </c>
      <c r="Z56" s="12" t="s">
        <v>391</v>
      </c>
      <c r="AA56" s="12" t="s">
        <v>391</v>
      </c>
      <c r="AB56" s="12" t="s">
        <v>391</v>
      </c>
      <c r="AC56" s="12" t="s">
        <v>391</v>
      </c>
      <c r="AD56" s="12" t="s">
        <v>391</v>
      </c>
      <c r="AE56" s="12" t="s">
        <v>391</v>
      </c>
      <c r="AF56" s="12" t="s">
        <v>391</v>
      </c>
      <c r="AG56" s="12" t="s">
        <v>391</v>
      </c>
      <c r="AH56" s="12" t="s">
        <v>391</v>
      </c>
      <c r="AI56" s="12" t="s">
        <v>391</v>
      </c>
      <c r="AJ56" s="12" t="s">
        <v>391</v>
      </c>
      <c r="AK56" s="12" t="s">
        <v>391</v>
      </c>
      <c r="AL56" s="12" t="s">
        <v>391</v>
      </c>
      <c r="AM56" s="12" t="s">
        <v>391</v>
      </c>
      <c r="AN56" s="13" t="s">
        <v>391</v>
      </c>
      <c r="AO56" s="12"/>
      <c r="AP56" s="12"/>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3" x14ac:dyDescent="0.25">
      <c r="A57" s="3" t="s">
        <v>442</v>
      </c>
      <c r="B57" s="11" t="s">
        <v>444</v>
      </c>
      <c r="C57">
        <v>5</v>
      </c>
      <c r="D57" s="12"/>
      <c r="E57" s="13"/>
      <c r="F57" s="13" t="s">
        <v>391</v>
      </c>
      <c r="G57" s="13" t="s">
        <v>391</v>
      </c>
      <c r="H57" s="13" t="s">
        <v>391</v>
      </c>
      <c r="I57" s="13" t="s">
        <v>391</v>
      </c>
      <c r="J57" s="13" t="s">
        <v>391</v>
      </c>
      <c r="K57" s="13" t="s">
        <v>391</v>
      </c>
      <c r="L57" s="13" t="s">
        <v>391</v>
      </c>
      <c r="M57" s="13" t="s">
        <v>391</v>
      </c>
      <c r="N57" s="13" t="s">
        <v>391</v>
      </c>
      <c r="O57" s="13" t="s">
        <v>391</v>
      </c>
      <c r="P57" s="13" t="s">
        <v>391</v>
      </c>
      <c r="Q57" s="13" t="s">
        <v>391</v>
      </c>
      <c r="R57" s="12" t="s">
        <v>391</v>
      </c>
      <c r="S57" s="12"/>
      <c r="T57" s="12"/>
      <c r="U57" s="12" t="s">
        <v>391</v>
      </c>
      <c r="V57" s="12" t="s">
        <v>391</v>
      </c>
      <c r="W57" s="12" t="s">
        <v>391</v>
      </c>
      <c r="X57" s="12" t="s">
        <v>391</v>
      </c>
      <c r="Y57" s="12" t="s">
        <v>391</v>
      </c>
      <c r="Z57" s="12" t="s">
        <v>391</v>
      </c>
      <c r="AA57" s="12" t="s">
        <v>391</v>
      </c>
      <c r="AB57" s="12" t="s">
        <v>391</v>
      </c>
      <c r="AC57" s="12" t="s">
        <v>391</v>
      </c>
      <c r="AD57" s="12" t="s">
        <v>391</v>
      </c>
      <c r="AE57" s="12" t="s">
        <v>391</v>
      </c>
      <c r="AF57" s="12" t="s">
        <v>391</v>
      </c>
      <c r="AG57" s="12" t="s">
        <v>391</v>
      </c>
      <c r="AH57" s="12" t="s">
        <v>391</v>
      </c>
      <c r="AI57" s="12" t="s">
        <v>391</v>
      </c>
      <c r="AJ57" s="12" t="s">
        <v>391</v>
      </c>
      <c r="AK57" s="12" t="s">
        <v>391</v>
      </c>
      <c r="AL57" s="12" t="s">
        <v>391</v>
      </c>
      <c r="AM57" s="12" t="s">
        <v>391</v>
      </c>
      <c r="AN57" s="13" t="s">
        <v>391</v>
      </c>
      <c r="AO57" s="12"/>
      <c r="AP57" s="12"/>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3" x14ac:dyDescent="0.25">
      <c r="A58" s="3" t="s">
        <v>443</v>
      </c>
      <c r="B58" s="11" t="s">
        <v>444</v>
      </c>
      <c r="C58">
        <v>5</v>
      </c>
      <c r="D58" s="12"/>
      <c r="E58" s="13"/>
      <c r="F58" s="13" t="s">
        <v>391</v>
      </c>
      <c r="G58" s="13" t="s">
        <v>391</v>
      </c>
      <c r="H58" s="13" t="s">
        <v>391</v>
      </c>
      <c r="I58" s="13" t="s">
        <v>391</v>
      </c>
      <c r="J58" s="13" t="s">
        <v>391</v>
      </c>
      <c r="K58" s="13" t="s">
        <v>391</v>
      </c>
      <c r="L58" s="13" t="s">
        <v>391</v>
      </c>
      <c r="M58" s="13" t="s">
        <v>391</v>
      </c>
      <c r="N58" s="13" t="s">
        <v>391</v>
      </c>
      <c r="O58" s="13" t="s">
        <v>391</v>
      </c>
      <c r="P58" s="13" t="s">
        <v>391</v>
      </c>
      <c r="Q58" s="13" t="s">
        <v>391</v>
      </c>
      <c r="R58" s="12" t="s">
        <v>391</v>
      </c>
      <c r="S58" s="12"/>
      <c r="T58" s="12"/>
      <c r="U58" s="12" t="s">
        <v>391</v>
      </c>
      <c r="V58" s="12" t="s">
        <v>391</v>
      </c>
      <c r="W58" s="12" t="s">
        <v>391</v>
      </c>
      <c r="X58" s="12" t="s">
        <v>391</v>
      </c>
      <c r="Y58" s="12" t="s">
        <v>391</v>
      </c>
      <c r="Z58" s="12" t="s">
        <v>391</v>
      </c>
      <c r="AA58" s="12" t="s">
        <v>391</v>
      </c>
      <c r="AB58" s="12" t="s">
        <v>391</v>
      </c>
      <c r="AC58" s="12" t="s">
        <v>391</v>
      </c>
      <c r="AD58" s="12" t="s">
        <v>391</v>
      </c>
      <c r="AE58" s="12" t="s">
        <v>391</v>
      </c>
      <c r="AF58" s="12" t="s">
        <v>391</v>
      </c>
      <c r="AG58" s="12" t="s">
        <v>391</v>
      </c>
      <c r="AH58" s="12" t="s">
        <v>391</v>
      </c>
      <c r="AI58" s="12" t="s">
        <v>391</v>
      </c>
      <c r="AJ58" s="12" t="s">
        <v>391</v>
      </c>
      <c r="AK58" s="12" t="s">
        <v>391</v>
      </c>
      <c r="AL58" s="12" t="s">
        <v>391</v>
      </c>
      <c r="AM58" s="12" t="s">
        <v>391</v>
      </c>
      <c r="AN58" s="13" t="s">
        <v>391</v>
      </c>
      <c r="AO58" s="12"/>
      <c r="AP58" s="12"/>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3" x14ac:dyDescent="0.25">
      <c r="A59" s="3" t="s">
        <v>318</v>
      </c>
      <c r="B59" s="11" t="s">
        <v>300</v>
      </c>
      <c r="C59">
        <v>6</v>
      </c>
      <c r="D59" s="12"/>
      <c r="E59" s="13"/>
      <c r="F59" s="13" t="s">
        <v>391</v>
      </c>
      <c r="G59" s="13" t="s">
        <v>391</v>
      </c>
      <c r="H59" s="13" t="s">
        <v>391</v>
      </c>
      <c r="I59" s="13" t="s">
        <v>391</v>
      </c>
      <c r="J59" s="13" t="s">
        <v>391</v>
      </c>
      <c r="K59" s="13" t="s">
        <v>391</v>
      </c>
      <c r="L59" s="13" t="s">
        <v>391</v>
      </c>
      <c r="M59" s="13" t="s">
        <v>391</v>
      </c>
      <c r="N59" s="13" t="s">
        <v>391</v>
      </c>
      <c r="O59" s="13" t="s">
        <v>391</v>
      </c>
      <c r="P59" s="13" t="s">
        <v>391</v>
      </c>
      <c r="Q59" s="13" t="s">
        <v>391</v>
      </c>
      <c r="R59" s="12" t="s">
        <v>391</v>
      </c>
      <c r="S59" s="12" t="s">
        <v>391</v>
      </c>
      <c r="T59" s="12" t="s">
        <v>391</v>
      </c>
      <c r="U59" s="13" t="s">
        <v>391</v>
      </c>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3" x14ac:dyDescent="0.25">
      <c r="A60" s="3" t="s">
        <v>319</v>
      </c>
      <c r="B60" s="11" t="s">
        <v>300</v>
      </c>
      <c r="C60">
        <v>6</v>
      </c>
      <c r="D60" s="12"/>
      <c r="E60" s="13"/>
      <c r="F60" s="13" t="s">
        <v>391</v>
      </c>
      <c r="G60" s="13" t="s">
        <v>391</v>
      </c>
      <c r="H60" s="13" t="s">
        <v>391</v>
      </c>
      <c r="I60" s="13" t="s">
        <v>391</v>
      </c>
      <c r="J60" s="13" t="s">
        <v>391</v>
      </c>
      <c r="K60" s="13" t="s">
        <v>391</v>
      </c>
      <c r="L60" s="13" t="s">
        <v>391</v>
      </c>
      <c r="M60" s="13" t="s">
        <v>391</v>
      </c>
      <c r="N60" s="13" t="s">
        <v>391</v>
      </c>
      <c r="O60" s="13" t="s">
        <v>391</v>
      </c>
      <c r="P60" s="13" t="s">
        <v>391</v>
      </c>
      <c r="Q60" s="13" t="s">
        <v>391</v>
      </c>
      <c r="R60" s="12" t="s">
        <v>391</v>
      </c>
      <c r="S60" s="12" t="s">
        <v>391</v>
      </c>
      <c r="T60" s="12" t="s">
        <v>391</v>
      </c>
      <c r="U60" s="13" t="s">
        <v>391</v>
      </c>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3" x14ac:dyDescent="0.25">
      <c r="A61" s="3" t="s">
        <v>302</v>
      </c>
      <c r="B61" s="11" t="s">
        <v>301</v>
      </c>
      <c r="C61">
        <v>7</v>
      </c>
      <c r="D61" s="12"/>
      <c r="E61" s="13"/>
      <c r="F61" s="13" t="s">
        <v>391</v>
      </c>
      <c r="G61" s="13" t="s">
        <v>391</v>
      </c>
      <c r="H61" s="13" t="s">
        <v>391</v>
      </c>
      <c r="I61" s="13" t="s">
        <v>391</v>
      </c>
      <c r="J61" s="13" t="s">
        <v>391</v>
      </c>
      <c r="K61" s="13" t="s">
        <v>391</v>
      </c>
      <c r="L61" s="13" t="s">
        <v>391</v>
      </c>
      <c r="M61" s="13" t="s">
        <v>391</v>
      </c>
      <c r="N61" s="13" t="s">
        <v>391</v>
      </c>
      <c r="O61" s="13" t="s">
        <v>391</v>
      </c>
      <c r="P61" s="13" t="s">
        <v>391</v>
      </c>
      <c r="Q61" s="13" t="s">
        <v>391</v>
      </c>
      <c r="R61" s="13" t="s">
        <v>391</v>
      </c>
      <c r="S61" s="13" t="s">
        <v>391</v>
      </c>
      <c r="T61" s="13" t="s">
        <v>391</v>
      </c>
      <c r="U61" s="13" t="s">
        <v>391</v>
      </c>
      <c r="V61" s="13" t="s">
        <v>391</v>
      </c>
      <c r="W61" s="13" t="s">
        <v>391</v>
      </c>
      <c r="X61" s="13" t="s">
        <v>391</v>
      </c>
      <c r="Y61" s="13" t="s">
        <v>391</v>
      </c>
      <c r="Z61" s="13" t="s">
        <v>391</v>
      </c>
      <c r="AA61" s="13" t="s">
        <v>391</v>
      </c>
      <c r="AB61" s="13" t="s">
        <v>391</v>
      </c>
      <c r="AC61" s="13" t="s">
        <v>391</v>
      </c>
      <c r="AD61" s="13" t="s">
        <v>391</v>
      </c>
      <c r="AE61" s="13" t="s">
        <v>391</v>
      </c>
      <c r="AF61" s="13" t="s">
        <v>391</v>
      </c>
      <c r="AG61" s="13" t="s">
        <v>391</v>
      </c>
      <c r="AH61" s="13" t="s">
        <v>391</v>
      </c>
      <c r="AI61" s="12" t="s">
        <v>391</v>
      </c>
      <c r="AJ61" s="12" t="s">
        <v>391</v>
      </c>
      <c r="AK61" s="12"/>
      <c r="AL61" s="12"/>
      <c r="AM61" s="12"/>
      <c r="AN61" s="12" t="s">
        <v>391</v>
      </c>
      <c r="AO61" s="12" t="s">
        <v>391</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391</v>
      </c>
      <c r="BS61" s="12"/>
      <c r="BT61" s="12"/>
      <c r="BU61" s="12"/>
    </row>
    <row r="62" spans="1:73" x14ac:dyDescent="0.25">
      <c r="A62" s="3" t="s">
        <v>303</v>
      </c>
      <c r="B62" s="11" t="s">
        <v>301</v>
      </c>
      <c r="C62">
        <v>7</v>
      </c>
      <c r="D62" s="12"/>
      <c r="E62" s="13"/>
      <c r="F62" s="13" t="s">
        <v>391</v>
      </c>
      <c r="G62" s="13" t="s">
        <v>391</v>
      </c>
      <c r="H62" s="13" t="s">
        <v>391</v>
      </c>
      <c r="I62" s="13" t="s">
        <v>391</v>
      </c>
      <c r="J62" s="13" t="s">
        <v>391</v>
      </c>
      <c r="K62" s="13" t="s">
        <v>391</v>
      </c>
      <c r="L62" s="13" t="s">
        <v>391</v>
      </c>
      <c r="M62" s="13" t="s">
        <v>391</v>
      </c>
      <c r="N62" s="13" t="s">
        <v>391</v>
      </c>
      <c r="O62" s="13" t="s">
        <v>391</v>
      </c>
      <c r="P62" s="13" t="s">
        <v>391</v>
      </c>
      <c r="Q62" s="13" t="s">
        <v>391</v>
      </c>
      <c r="R62" s="13" t="s">
        <v>391</v>
      </c>
      <c r="S62" s="13" t="s">
        <v>391</v>
      </c>
      <c r="T62" s="13" t="s">
        <v>391</v>
      </c>
      <c r="U62" s="13" t="s">
        <v>391</v>
      </c>
      <c r="V62" s="13" t="s">
        <v>391</v>
      </c>
      <c r="W62" s="13" t="s">
        <v>391</v>
      </c>
      <c r="X62" s="13" t="s">
        <v>391</v>
      </c>
      <c r="Y62" s="13" t="s">
        <v>391</v>
      </c>
      <c r="Z62" s="13" t="s">
        <v>391</v>
      </c>
      <c r="AA62" s="13" t="s">
        <v>391</v>
      </c>
      <c r="AB62" s="13" t="s">
        <v>391</v>
      </c>
      <c r="AC62" s="13" t="s">
        <v>391</v>
      </c>
      <c r="AD62" s="13" t="s">
        <v>391</v>
      </c>
      <c r="AE62" s="13" t="s">
        <v>391</v>
      </c>
      <c r="AF62" s="13" t="s">
        <v>391</v>
      </c>
      <c r="AG62" s="13" t="s">
        <v>391</v>
      </c>
      <c r="AH62" s="13" t="s">
        <v>391</v>
      </c>
      <c r="AI62" s="12" t="s">
        <v>391</v>
      </c>
      <c r="AJ62" s="12" t="s">
        <v>391</v>
      </c>
      <c r="AK62" s="12"/>
      <c r="AL62" s="12"/>
      <c r="AM62" s="12"/>
      <c r="AN62" s="12" t="s">
        <v>391</v>
      </c>
      <c r="AO62" s="12" t="s">
        <v>391</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391</v>
      </c>
      <c r="BS62" s="12"/>
      <c r="BT62" s="12"/>
      <c r="BU62" s="12"/>
    </row>
    <row r="63" spans="1:73" x14ac:dyDescent="0.25">
      <c r="A63" s="3" t="s">
        <v>304</v>
      </c>
      <c r="B63" s="11" t="s">
        <v>301</v>
      </c>
      <c r="C63">
        <v>7</v>
      </c>
      <c r="D63" s="12"/>
      <c r="E63" s="13"/>
      <c r="F63" s="13" t="s">
        <v>391</v>
      </c>
      <c r="G63" s="13" t="s">
        <v>391</v>
      </c>
      <c r="H63" s="13" t="s">
        <v>391</v>
      </c>
      <c r="I63" s="13" t="s">
        <v>391</v>
      </c>
      <c r="J63" s="13" t="s">
        <v>391</v>
      </c>
      <c r="K63" s="13" t="s">
        <v>391</v>
      </c>
      <c r="L63" s="13" t="s">
        <v>391</v>
      </c>
      <c r="M63" s="13" t="s">
        <v>391</v>
      </c>
      <c r="N63" s="13" t="s">
        <v>391</v>
      </c>
      <c r="O63" s="13" t="s">
        <v>391</v>
      </c>
      <c r="P63" s="13" t="s">
        <v>391</v>
      </c>
      <c r="Q63" s="13" t="s">
        <v>391</v>
      </c>
      <c r="R63" s="13" t="s">
        <v>391</v>
      </c>
      <c r="S63" s="13" t="s">
        <v>391</v>
      </c>
      <c r="T63" s="13" t="s">
        <v>391</v>
      </c>
      <c r="U63" s="13" t="s">
        <v>391</v>
      </c>
      <c r="V63" s="13" t="s">
        <v>391</v>
      </c>
      <c r="W63" s="13" t="s">
        <v>391</v>
      </c>
      <c r="X63" s="13" t="s">
        <v>391</v>
      </c>
      <c r="Y63" s="13" t="s">
        <v>391</v>
      </c>
      <c r="Z63" s="13" t="s">
        <v>391</v>
      </c>
      <c r="AA63" s="13" t="s">
        <v>391</v>
      </c>
      <c r="AB63" s="13" t="s">
        <v>391</v>
      </c>
      <c r="AC63" s="13" t="s">
        <v>391</v>
      </c>
      <c r="AD63" s="13" t="s">
        <v>391</v>
      </c>
      <c r="AE63" s="13" t="s">
        <v>391</v>
      </c>
      <c r="AF63" s="13" t="s">
        <v>391</v>
      </c>
      <c r="AG63" s="13" t="s">
        <v>391</v>
      </c>
      <c r="AH63" s="13" t="s">
        <v>391</v>
      </c>
      <c r="AI63" s="12" t="s">
        <v>391</v>
      </c>
      <c r="AJ63" s="12" t="s">
        <v>391</v>
      </c>
      <c r="AK63" s="12"/>
      <c r="AL63" s="12"/>
      <c r="AM63" s="12"/>
      <c r="AN63" s="12" t="s">
        <v>391</v>
      </c>
      <c r="AO63" s="12" t="s">
        <v>391</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391</v>
      </c>
      <c r="BS63" s="12"/>
      <c r="BT63" s="12"/>
      <c r="BU63" s="12"/>
    </row>
    <row r="64" spans="1:73" x14ac:dyDescent="0.25">
      <c r="A64" s="3" t="s">
        <v>305</v>
      </c>
      <c r="B64" s="11" t="s">
        <v>301</v>
      </c>
      <c r="C64">
        <v>7</v>
      </c>
      <c r="D64" s="12"/>
      <c r="E64" s="13"/>
      <c r="F64" s="13" t="s">
        <v>391</v>
      </c>
      <c r="G64" s="13" t="s">
        <v>391</v>
      </c>
      <c r="H64" s="13" t="s">
        <v>391</v>
      </c>
      <c r="I64" s="13" t="s">
        <v>391</v>
      </c>
      <c r="J64" s="13" t="s">
        <v>391</v>
      </c>
      <c r="K64" s="13" t="s">
        <v>391</v>
      </c>
      <c r="L64" s="13" t="s">
        <v>391</v>
      </c>
      <c r="M64" s="13" t="s">
        <v>391</v>
      </c>
      <c r="N64" s="13" t="s">
        <v>391</v>
      </c>
      <c r="O64" s="13" t="s">
        <v>391</v>
      </c>
      <c r="P64" s="13" t="s">
        <v>391</v>
      </c>
      <c r="Q64" s="13" t="s">
        <v>391</v>
      </c>
      <c r="R64" s="13" t="s">
        <v>391</v>
      </c>
      <c r="S64" s="13" t="s">
        <v>391</v>
      </c>
      <c r="T64" s="13" t="s">
        <v>391</v>
      </c>
      <c r="U64" s="13" t="s">
        <v>391</v>
      </c>
      <c r="V64" s="13" t="s">
        <v>391</v>
      </c>
      <c r="W64" s="13" t="s">
        <v>391</v>
      </c>
      <c r="X64" s="13" t="s">
        <v>391</v>
      </c>
      <c r="Y64" s="13" t="s">
        <v>391</v>
      </c>
      <c r="Z64" s="13" t="s">
        <v>391</v>
      </c>
      <c r="AA64" s="13" t="s">
        <v>391</v>
      </c>
      <c r="AB64" s="13" t="s">
        <v>391</v>
      </c>
      <c r="AC64" s="13" t="s">
        <v>391</v>
      </c>
      <c r="AD64" s="13" t="s">
        <v>391</v>
      </c>
      <c r="AE64" s="13" t="s">
        <v>391</v>
      </c>
      <c r="AF64" s="13" t="s">
        <v>391</v>
      </c>
      <c r="AG64" s="13" t="s">
        <v>391</v>
      </c>
      <c r="AH64" s="13" t="s">
        <v>391</v>
      </c>
      <c r="AI64" s="12" t="s">
        <v>391</v>
      </c>
      <c r="AJ64" s="12" t="s">
        <v>391</v>
      </c>
      <c r="AK64" s="12"/>
      <c r="AL64" s="12"/>
      <c r="AM64" s="12"/>
      <c r="AN64" s="12" t="s">
        <v>391</v>
      </c>
      <c r="AO64" s="12" t="s">
        <v>391</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391</v>
      </c>
      <c r="BS64" s="12"/>
      <c r="BT64" s="12"/>
      <c r="BU64" s="12"/>
    </row>
    <row r="65" spans="1:74" x14ac:dyDescent="0.25">
      <c r="A65" s="3" t="s">
        <v>306</v>
      </c>
      <c r="B65" s="11" t="s">
        <v>301</v>
      </c>
      <c r="C65">
        <v>7</v>
      </c>
      <c r="D65" s="12"/>
      <c r="E65" s="13"/>
      <c r="F65" s="13" t="s">
        <v>391</v>
      </c>
      <c r="G65" s="13" t="s">
        <v>391</v>
      </c>
      <c r="H65" s="13" t="s">
        <v>391</v>
      </c>
      <c r="I65" s="13" t="s">
        <v>391</v>
      </c>
      <c r="J65" s="13" t="s">
        <v>391</v>
      </c>
      <c r="K65" s="13" t="s">
        <v>391</v>
      </c>
      <c r="L65" s="13" t="s">
        <v>391</v>
      </c>
      <c r="M65" s="13" t="s">
        <v>391</v>
      </c>
      <c r="N65" s="13" t="s">
        <v>391</v>
      </c>
      <c r="O65" s="13" t="s">
        <v>391</v>
      </c>
      <c r="P65" s="13" t="s">
        <v>391</v>
      </c>
      <c r="Q65" s="13" t="s">
        <v>391</v>
      </c>
      <c r="R65" s="13" t="s">
        <v>391</v>
      </c>
      <c r="S65" s="13" t="s">
        <v>391</v>
      </c>
      <c r="T65" s="13" t="s">
        <v>391</v>
      </c>
      <c r="U65" s="13" t="s">
        <v>391</v>
      </c>
      <c r="V65" s="13" t="s">
        <v>391</v>
      </c>
      <c r="W65" s="13" t="s">
        <v>391</v>
      </c>
      <c r="X65" s="13" t="s">
        <v>391</v>
      </c>
      <c r="Y65" s="13" t="s">
        <v>391</v>
      </c>
      <c r="Z65" s="13" t="s">
        <v>391</v>
      </c>
      <c r="AA65" s="13" t="s">
        <v>391</v>
      </c>
      <c r="AB65" s="13" t="s">
        <v>391</v>
      </c>
      <c r="AC65" s="13" t="s">
        <v>391</v>
      </c>
      <c r="AD65" s="13" t="s">
        <v>391</v>
      </c>
      <c r="AE65" s="13" t="s">
        <v>391</v>
      </c>
      <c r="AF65" s="13" t="s">
        <v>391</v>
      </c>
      <c r="AG65" s="13" t="s">
        <v>391</v>
      </c>
      <c r="AH65" s="13" t="s">
        <v>391</v>
      </c>
      <c r="AI65" s="12" t="s">
        <v>391</v>
      </c>
      <c r="AJ65" s="12" t="s">
        <v>391</v>
      </c>
      <c r="AK65" s="12"/>
      <c r="AL65" s="12"/>
      <c r="AM65" s="12"/>
      <c r="AN65" s="12" t="s">
        <v>391</v>
      </c>
      <c r="AO65" s="12" t="s">
        <v>391</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391</v>
      </c>
      <c r="BS65" s="12"/>
      <c r="BT65" s="12"/>
      <c r="BU65" s="12"/>
    </row>
    <row r="66" spans="1:74" x14ac:dyDescent="0.25">
      <c r="A66" s="3" t="s">
        <v>307</v>
      </c>
      <c r="B66" s="11" t="s">
        <v>301</v>
      </c>
      <c r="C66">
        <v>7</v>
      </c>
      <c r="D66" s="12"/>
      <c r="E66" s="13"/>
      <c r="F66" s="13" t="s">
        <v>391</v>
      </c>
      <c r="G66" s="13" t="s">
        <v>391</v>
      </c>
      <c r="H66" s="13" t="s">
        <v>391</v>
      </c>
      <c r="I66" s="13" t="s">
        <v>391</v>
      </c>
      <c r="J66" s="13" t="s">
        <v>391</v>
      </c>
      <c r="K66" s="13" t="s">
        <v>391</v>
      </c>
      <c r="L66" s="13" t="s">
        <v>391</v>
      </c>
      <c r="M66" s="13" t="s">
        <v>391</v>
      </c>
      <c r="N66" s="13" t="s">
        <v>391</v>
      </c>
      <c r="O66" s="13" t="s">
        <v>391</v>
      </c>
      <c r="P66" s="13" t="s">
        <v>391</v>
      </c>
      <c r="Q66" s="13" t="s">
        <v>391</v>
      </c>
      <c r="R66" s="13" t="s">
        <v>391</v>
      </c>
      <c r="S66" s="13" t="s">
        <v>391</v>
      </c>
      <c r="T66" s="13" t="s">
        <v>391</v>
      </c>
      <c r="U66" s="13" t="s">
        <v>391</v>
      </c>
      <c r="V66" s="13" t="s">
        <v>391</v>
      </c>
      <c r="W66" s="13" t="s">
        <v>391</v>
      </c>
      <c r="X66" s="13" t="s">
        <v>391</v>
      </c>
      <c r="Y66" s="13" t="s">
        <v>391</v>
      </c>
      <c r="Z66" s="13" t="s">
        <v>391</v>
      </c>
      <c r="AA66" s="13" t="s">
        <v>391</v>
      </c>
      <c r="AB66" s="13" t="s">
        <v>391</v>
      </c>
      <c r="AC66" s="13" t="s">
        <v>391</v>
      </c>
      <c r="AD66" s="13" t="s">
        <v>391</v>
      </c>
      <c r="AE66" s="13" t="s">
        <v>391</v>
      </c>
      <c r="AF66" s="13" t="s">
        <v>391</v>
      </c>
      <c r="AG66" s="13" t="s">
        <v>391</v>
      </c>
      <c r="AH66" s="13" t="s">
        <v>391</v>
      </c>
      <c r="AI66" s="12" t="s">
        <v>391</v>
      </c>
      <c r="AJ66" s="12" t="s">
        <v>391</v>
      </c>
      <c r="AK66" s="12"/>
      <c r="AL66" s="12"/>
      <c r="AM66" s="12"/>
      <c r="AN66" s="12" t="s">
        <v>391</v>
      </c>
      <c r="AO66" s="12" t="s">
        <v>391</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391</v>
      </c>
      <c r="BS66" s="12"/>
      <c r="BT66" s="12"/>
      <c r="BU66" s="12"/>
    </row>
    <row r="67" spans="1:74" x14ac:dyDescent="0.25">
      <c r="A67" s="3" t="s">
        <v>308</v>
      </c>
      <c r="B67" s="11" t="s">
        <v>301</v>
      </c>
      <c r="C67">
        <v>7</v>
      </c>
      <c r="D67" s="12"/>
      <c r="E67" s="13"/>
      <c r="F67" s="13" t="s">
        <v>391</v>
      </c>
      <c r="G67" s="13" t="s">
        <v>391</v>
      </c>
      <c r="H67" s="13" t="s">
        <v>391</v>
      </c>
      <c r="I67" s="13" t="s">
        <v>391</v>
      </c>
      <c r="J67" s="13" t="s">
        <v>391</v>
      </c>
      <c r="K67" s="13" t="s">
        <v>391</v>
      </c>
      <c r="L67" s="13" t="s">
        <v>391</v>
      </c>
      <c r="M67" s="13" t="s">
        <v>391</v>
      </c>
      <c r="N67" s="13" t="s">
        <v>391</v>
      </c>
      <c r="O67" s="13" t="s">
        <v>391</v>
      </c>
      <c r="P67" s="13" t="s">
        <v>391</v>
      </c>
      <c r="Q67" s="13" t="s">
        <v>391</v>
      </c>
      <c r="R67" s="13" t="s">
        <v>391</v>
      </c>
      <c r="S67" s="13" t="s">
        <v>391</v>
      </c>
      <c r="T67" s="13" t="s">
        <v>391</v>
      </c>
      <c r="U67" s="13" t="s">
        <v>391</v>
      </c>
      <c r="V67" s="13" t="s">
        <v>391</v>
      </c>
      <c r="W67" s="13" t="s">
        <v>391</v>
      </c>
      <c r="X67" s="13" t="s">
        <v>391</v>
      </c>
      <c r="Y67" s="13" t="s">
        <v>391</v>
      </c>
      <c r="Z67" s="13" t="s">
        <v>391</v>
      </c>
      <c r="AA67" s="13" t="s">
        <v>391</v>
      </c>
      <c r="AB67" s="13" t="s">
        <v>391</v>
      </c>
      <c r="AC67" s="13" t="s">
        <v>391</v>
      </c>
      <c r="AD67" s="13" t="s">
        <v>391</v>
      </c>
      <c r="AE67" s="13" t="s">
        <v>391</v>
      </c>
      <c r="AF67" s="13" t="s">
        <v>391</v>
      </c>
      <c r="AG67" s="13" t="s">
        <v>391</v>
      </c>
      <c r="AH67" s="13" t="s">
        <v>391</v>
      </c>
      <c r="AI67" s="12" t="s">
        <v>391</v>
      </c>
      <c r="AJ67" s="12" t="s">
        <v>391</v>
      </c>
      <c r="AK67" s="12"/>
      <c r="AL67" s="12"/>
      <c r="AM67" s="12"/>
      <c r="AN67" s="12" t="s">
        <v>391</v>
      </c>
      <c r="AO67" s="12" t="s">
        <v>391</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391</v>
      </c>
      <c r="BS67" s="12"/>
      <c r="BT67" s="12"/>
      <c r="BU67" s="12"/>
    </row>
    <row r="68" spans="1:74" x14ac:dyDescent="0.25">
      <c r="A68" s="3" t="s">
        <v>309</v>
      </c>
      <c r="B68" s="11" t="s">
        <v>301</v>
      </c>
      <c r="C68">
        <v>7</v>
      </c>
      <c r="D68" s="12"/>
      <c r="E68" s="13"/>
      <c r="F68" s="13" t="s">
        <v>391</v>
      </c>
      <c r="G68" s="13" t="s">
        <v>391</v>
      </c>
      <c r="H68" s="13" t="s">
        <v>391</v>
      </c>
      <c r="I68" s="13" t="s">
        <v>391</v>
      </c>
      <c r="J68" s="13" t="s">
        <v>391</v>
      </c>
      <c r="K68" s="13" t="s">
        <v>391</v>
      </c>
      <c r="L68" s="13" t="s">
        <v>391</v>
      </c>
      <c r="M68" s="13" t="s">
        <v>391</v>
      </c>
      <c r="N68" s="13" t="s">
        <v>391</v>
      </c>
      <c r="O68" s="13" t="s">
        <v>391</v>
      </c>
      <c r="P68" s="13" t="s">
        <v>391</v>
      </c>
      <c r="Q68" s="13" t="s">
        <v>391</v>
      </c>
      <c r="R68" s="13" t="s">
        <v>391</v>
      </c>
      <c r="S68" s="13" t="s">
        <v>391</v>
      </c>
      <c r="T68" s="13" t="s">
        <v>391</v>
      </c>
      <c r="U68" s="13" t="s">
        <v>391</v>
      </c>
      <c r="V68" s="13" t="s">
        <v>391</v>
      </c>
      <c r="W68" s="13" t="s">
        <v>391</v>
      </c>
      <c r="X68" s="13" t="s">
        <v>391</v>
      </c>
      <c r="Y68" s="13" t="s">
        <v>391</v>
      </c>
      <c r="Z68" s="13" t="s">
        <v>391</v>
      </c>
      <c r="AA68" s="13" t="s">
        <v>391</v>
      </c>
      <c r="AB68" s="13" t="s">
        <v>391</v>
      </c>
      <c r="AC68" s="13" t="s">
        <v>391</v>
      </c>
      <c r="AD68" s="13" t="s">
        <v>391</v>
      </c>
      <c r="AE68" s="13" t="s">
        <v>391</v>
      </c>
      <c r="AF68" s="13" t="s">
        <v>391</v>
      </c>
      <c r="AG68" s="13" t="s">
        <v>391</v>
      </c>
      <c r="AH68" s="13" t="s">
        <v>391</v>
      </c>
      <c r="AI68" s="12" t="s">
        <v>391</v>
      </c>
      <c r="AJ68" s="12" t="s">
        <v>391</v>
      </c>
      <c r="AK68" s="12"/>
      <c r="AL68" s="12"/>
      <c r="AM68" s="12"/>
      <c r="AN68" s="12" t="s">
        <v>391</v>
      </c>
      <c r="AO68" s="12" t="s">
        <v>391</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391</v>
      </c>
      <c r="BS68" s="12"/>
      <c r="BT68" s="12"/>
      <c r="BU68" s="12"/>
    </row>
    <row r="69" spans="1:74" x14ac:dyDescent="0.25">
      <c r="A69" s="3" t="s">
        <v>310</v>
      </c>
      <c r="B69" s="11" t="s">
        <v>301</v>
      </c>
      <c r="C69">
        <v>7</v>
      </c>
      <c r="D69" s="12"/>
      <c r="E69" s="13"/>
      <c r="F69" s="13" t="s">
        <v>391</v>
      </c>
      <c r="G69" s="13" t="s">
        <v>391</v>
      </c>
      <c r="H69" s="13" t="s">
        <v>391</v>
      </c>
      <c r="I69" s="13" t="s">
        <v>391</v>
      </c>
      <c r="J69" s="13" t="s">
        <v>391</v>
      </c>
      <c r="K69" s="13" t="s">
        <v>391</v>
      </c>
      <c r="L69" s="13" t="s">
        <v>391</v>
      </c>
      <c r="M69" s="13" t="s">
        <v>391</v>
      </c>
      <c r="N69" s="13" t="s">
        <v>391</v>
      </c>
      <c r="O69" s="13" t="s">
        <v>391</v>
      </c>
      <c r="P69" s="13" t="s">
        <v>391</v>
      </c>
      <c r="Q69" s="13" t="s">
        <v>391</v>
      </c>
      <c r="R69" s="13" t="s">
        <v>391</v>
      </c>
      <c r="S69" s="13" t="s">
        <v>391</v>
      </c>
      <c r="T69" s="13" t="s">
        <v>391</v>
      </c>
      <c r="U69" s="13" t="s">
        <v>391</v>
      </c>
      <c r="V69" s="13" t="s">
        <v>391</v>
      </c>
      <c r="W69" s="13" t="s">
        <v>391</v>
      </c>
      <c r="X69" s="13" t="s">
        <v>391</v>
      </c>
      <c r="Y69" s="13" t="s">
        <v>391</v>
      </c>
      <c r="Z69" s="13" t="s">
        <v>391</v>
      </c>
      <c r="AA69" s="13" t="s">
        <v>391</v>
      </c>
      <c r="AB69" s="13" t="s">
        <v>391</v>
      </c>
      <c r="AC69" s="13" t="s">
        <v>391</v>
      </c>
      <c r="AD69" s="13" t="s">
        <v>391</v>
      </c>
      <c r="AE69" s="13" t="s">
        <v>391</v>
      </c>
      <c r="AF69" s="13" t="s">
        <v>391</v>
      </c>
      <c r="AG69" s="13" t="s">
        <v>391</v>
      </c>
      <c r="AH69" s="13" t="s">
        <v>391</v>
      </c>
      <c r="AI69" s="12" t="s">
        <v>391</v>
      </c>
      <c r="AJ69" s="12" t="s">
        <v>391</v>
      </c>
      <c r="AK69" s="12"/>
      <c r="AL69" s="12"/>
      <c r="AM69" s="12"/>
      <c r="AN69" s="12" t="s">
        <v>391</v>
      </c>
      <c r="AO69" s="12" t="s">
        <v>391</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391</v>
      </c>
      <c r="BS69" s="12"/>
      <c r="BT69" s="12"/>
      <c r="BU69" s="12"/>
    </row>
    <row r="70" spans="1:74" x14ac:dyDescent="0.25">
      <c r="A70" s="3" t="s">
        <v>701</v>
      </c>
      <c r="B70" s="11" t="s">
        <v>301</v>
      </c>
      <c r="C70">
        <v>7</v>
      </c>
      <c r="D70" s="12"/>
      <c r="E70" s="13"/>
      <c r="F70" s="13" t="s">
        <v>391</v>
      </c>
      <c r="G70" s="13" t="s">
        <v>391</v>
      </c>
      <c r="H70" s="13" t="s">
        <v>391</v>
      </c>
      <c r="I70" s="13" t="s">
        <v>391</v>
      </c>
      <c r="J70" s="13" t="s">
        <v>391</v>
      </c>
      <c r="K70" s="13" t="s">
        <v>391</v>
      </c>
      <c r="L70" s="13" t="s">
        <v>391</v>
      </c>
      <c r="M70" s="13" t="s">
        <v>391</v>
      </c>
      <c r="N70" s="13" t="s">
        <v>391</v>
      </c>
      <c r="O70" s="13" t="s">
        <v>391</v>
      </c>
      <c r="P70" s="13" t="s">
        <v>391</v>
      </c>
      <c r="Q70" s="13" t="s">
        <v>391</v>
      </c>
      <c r="R70" s="13" t="s">
        <v>391</v>
      </c>
      <c r="S70" s="13" t="s">
        <v>391</v>
      </c>
      <c r="T70" s="13" t="s">
        <v>391</v>
      </c>
      <c r="U70" s="13" t="s">
        <v>391</v>
      </c>
      <c r="V70" s="13" t="s">
        <v>391</v>
      </c>
      <c r="W70" s="13" t="s">
        <v>391</v>
      </c>
      <c r="X70" s="13" t="s">
        <v>391</v>
      </c>
      <c r="Y70" s="13" t="s">
        <v>391</v>
      </c>
      <c r="Z70" s="13" t="s">
        <v>391</v>
      </c>
      <c r="AA70" s="13" t="s">
        <v>391</v>
      </c>
      <c r="AB70" s="13" t="s">
        <v>391</v>
      </c>
      <c r="AC70" s="13" t="s">
        <v>391</v>
      </c>
      <c r="AD70" s="13" t="s">
        <v>391</v>
      </c>
      <c r="AE70" s="13" t="s">
        <v>391</v>
      </c>
      <c r="AF70" s="13" t="s">
        <v>391</v>
      </c>
      <c r="AG70" s="13" t="s">
        <v>391</v>
      </c>
      <c r="AH70" s="13" t="s">
        <v>391</v>
      </c>
      <c r="AI70" s="12" t="s">
        <v>391</v>
      </c>
      <c r="AJ70" s="12" t="s">
        <v>391</v>
      </c>
      <c r="AK70" s="12"/>
      <c r="AL70" s="12"/>
      <c r="AM70" s="12"/>
      <c r="AN70" s="12" t="s">
        <v>391</v>
      </c>
      <c r="AO70" s="12" t="s">
        <v>391</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391</v>
      </c>
      <c r="BS70" s="12"/>
      <c r="BT70" s="12"/>
      <c r="BU70" s="12"/>
    </row>
    <row r="71" spans="1:74" x14ac:dyDescent="0.25">
      <c r="A71" s="3" t="s">
        <v>311</v>
      </c>
      <c r="B71" s="11" t="s">
        <v>301</v>
      </c>
      <c r="C71">
        <v>7</v>
      </c>
      <c r="D71" s="12"/>
      <c r="E71" s="13"/>
      <c r="F71" s="13" t="s">
        <v>391</v>
      </c>
      <c r="G71" s="13" t="s">
        <v>391</v>
      </c>
      <c r="H71" s="13" t="s">
        <v>391</v>
      </c>
      <c r="I71" s="13" t="s">
        <v>391</v>
      </c>
      <c r="J71" s="13" t="s">
        <v>391</v>
      </c>
      <c r="K71" s="13" t="s">
        <v>391</v>
      </c>
      <c r="L71" s="13" t="s">
        <v>391</v>
      </c>
      <c r="M71" s="13" t="s">
        <v>391</v>
      </c>
      <c r="N71" s="13" t="s">
        <v>391</v>
      </c>
      <c r="O71" s="13" t="s">
        <v>391</v>
      </c>
      <c r="P71" s="13" t="s">
        <v>391</v>
      </c>
      <c r="Q71" s="13" t="s">
        <v>391</v>
      </c>
      <c r="R71" s="13" t="s">
        <v>391</v>
      </c>
      <c r="S71" s="13" t="s">
        <v>391</v>
      </c>
      <c r="T71" s="13" t="s">
        <v>391</v>
      </c>
      <c r="U71" s="13" t="s">
        <v>391</v>
      </c>
      <c r="V71" s="13" t="s">
        <v>391</v>
      </c>
      <c r="W71" s="13" t="s">
        <v>391</v>
      </c>
      <c r="X71" s="13" t="s">
        <v>391</v>
      </c>
      <c r="Y71" s="13" t="s">
        <v>391</v>
      </c>
      <c r="Z71" s="13" t="s">
        <v>391</v>
      </c>
      <c r="AA71" s="13" t="s">
        <v>391</v>
      </c>
      <c r="AB71" s="13" t="s">
        <v>391</v>
      </c>
      <c r="AC71" s="13" t="s">
        <v>391</v>
      </c>
      <c r="AD71" s="13" t="s">
        <v>391</v>
      </c>
      <c r="AE71" s="13" t="s">
        <v>391</v>
      </c>
      <c r="AF71" s="13" t="s">
        <v>391</v>
      </c>
      <c r="AG71" s="13" t="s">
        <v>391</v>
      </c>
      <c r="AH71" s="13" t="s">
        <v>391</v>
      </c>
      <c r="AI71" s="12" t="s">
        <v>391</v>
      </c>
      <c r="AJ71" s="12" t="s">
        <v>391</v>
      </c>
      <c r="AK71" s="12"/>
      <c r="AL71" s="12"/>
      <c r="AM71" s="12"/>
      <c r="AN71" s="12" t="s">
        <v>391</v>
      </c>
      <c r="AO71" s="12" t="s">
        <v>391</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391</v>
      </c>
      <c r="BS71" s="12"/>
      <c r="BT71" s="12"/>
      <c r="BU71" s="12"/>
    </row>
    <row r="72" spans="1:74" x14ac:dyDescent="0.25">
      <c r="A72" s="3" t="s">
        <v>942</v>
      </c>
      <c r="B72" s="11" t="s">
        <v>301</v>
      </c>
      <c r="C72">
        <v>7</v>
      </c>
      <c r="D72" s="12"/>
      <c r="E72" s="13"/>
      <c r="F72" s="13" t="s">
        <v>391</v>
      </c>
      <c r="G72" s="13" t="s">
        <v>391</v>
      </c>
      <c r="H72" s="13" t="s">
        <v>391</v>
      </c>
      <c r="I72" s="13" t="s">
        <v>391</v>
      </c>
      <c r="J72" s="13" t="s">
        <v>391</v>
      </c>
      <c r="K72" s="13" t="s">
        <v>391</v>
      </c>
      <c r="L72" s="13" t="s">
        <v>391</v>
      </c>
      <c r="M72" s="13" t="s">
        <v>391</v>
      </c>
      <c r="N72" s="13" t="s">
        <v>391</v>
      </c>
      <c r="O72" s="13" t="s">
        <v>391</v>
      </c>
      <c r="P72" s="13" t="s">
        <v>391</v>
      </c>
      <c r="Q72" s="13" t="s">
        <v>391</v>
      </c>
      <c r="R72" s="13" t="s">
        <v>391</v>
      </c>
      <c r="S72" s="13" t="s">
        <v>391</v>
      </c>
      <c r="T72" s="13" t="s">
        <v>391</v>
      </c>
      <c r="U72" s="13" t="s">
        <v>391</v>
      </c>
      <c r="V72" s="13" t="s">
        <v>391</v>
      </c>
      <c r="W72" s="13" t="s">
        <v>391</v>
      </c>
      <c r="X72" s="13" t="s">
        <v>391</v>
      </c>
      <c r="Y72" s="13" t="s">
        <v>391</v>
      </c>
      <c r="Z72" s="13" t="s">
        <v>391</v>
      </c>
      <c r="AA72" s="13" t="s">
        <v>391</v>
      </c>
      <c r="AB72" s="13" t="s">
        <v>391</v>
      </c>
      <c r="AC72" s="13" t="s">
        <v>391</v>
      </c>
      <c r="AD72" s="13" t="s">
        <v>391</v>
      </c>
      <c r="AE72" s="13" t="s">
        <v>391</v>
      </c>
      <c r="AF72" s="13" t="s">
        <v>391</v>
      </c>
      <c r="AG72" s="13" t="s">
        <v>391</v>
      </c>
      <c r="AH72" s="13" t="s">
        <v>391</v>
      </c>
      <c r="AI72" s="12" t="s">
        <v>391</v>
      </c>
      <c r="AJ72" s="12" t="s">
        <v>391</v>
      </c>
      <c r="AK72" s="12"/>
      <c r="AL72" s="12"/>
      <c r="AM72" s="12"/>
      <c r="AN72" s="12" t="s">
        <v>391</v>
      </c>
      <c r="AO72" s="12" t="s">
        <v>391</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391</v>
      </c>
      <c r="BS72" s="12"/>
      <c r="BT72" s="12"/>
      <c r="BU72" s="12"/>
    </row>
    <row r="73" spans="1:74" x14ac:dyDescent="0.25">
      <c r="A73" s="3" t="s">
        <v>312</v>
      </c>
      <c r="B73" s="11" t="s">
        <v>301</v>
      </c>
      <c r="C73">
        <v>7</v>
      </c>
      <c r="D73" s="12"/>
      <c r="E73" s="13"/>
      <c r="F73" s="13" t="s">
        <v>391</v>
      </c>
      <c r="G73" s="13" t="s">
        <v>391</v>
      </c>
      <c r="H73" s="13" t="s">
        <v>391</v>
      </c>
      <c r="I73" s="13" t="s">
        <v>391</v>
      </c>
      <c r="J73" s="13" t="s">
        <v>391</v>
      </c>
      <c r="K73" s="13" t="s">
        <v>391</v>
      </c>
      <c r="L73" s="13" t="s">
        <v>391</v>
      </c>
      <c r="M73" s="13" t="s">
        <v>391</v>
      </c>
      <c r="N73" s="13" t="s">
        <v>391</v>
      </c>
      <c r="O73" s="13" t="s">
        <v>391</v>
      </c>
      <c r="P73" s="13" t="s">
        <v>391</v>
      </c>
      <c r="Q73" s="13" t="s">
        <v>391</v>
      </c>
      <c r="R73" s="13" t="s">
        <v>391</v>
      </c>
      <c r="S73" s="13" t="s">
        <v>391</v>
      </c>
      <c r="T73" s="13" t="s">
        <v>391</v>
      </c>
      <c r="U73" s="13" t="s">
        <v>391</v>
      </c>
      <c r="V73" s="13" t="s">
        <v>391</v>
      </c>
      <c r="W73" s="13" t="s">
        <v>391</v>
      </c>
      <c r="X73" s="13" t="s">
        <v>391</v>
      </c>
      <c r="Y73" s="13" t="s">
        <v>391</v>
      </c>
      <c r="Z73" s="13" t="s">
        <v>391</v>
      </c>
      <c r="AA73" s="13" t="s">
        <v>391</v>
      </c>
      <c r="AB73" s="13" t="s">
        <v>391</v>
      </c>
      <c r="AC73" s="13" t="s">
        <v>391</v>
      </c>
      <c r="AD73" s="13" t="s">
        <v>391</v>
      </c>
      <c r="AE73" s="13" t="s">
        <v>391</v>
      </c>
      <c r="AF73" s="13" t="s">
        <v>391</v>
      </c>
      <c r="AG73" s="13" t="s">
        <v>391</v>
      </c>
      <c r="AH73" s="13" t="s">
        <v>391</v>
      </c>
      <c r="AI73" s="12" t="s">
        <v>391</v>
      </c>
      <c r="AJ73" s="12" t="s">
        <v>391</v>
      </c>
      <c r="AK73" s="12"/>
      <c r="AL73" s="12"/>
      <c r="AM73" s="12"/>
      <c r="AN73" s="12" t="s">
        <v>391</v>
      </c>
      <c r="AO73" s="12" t="s">
        <v>391</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391</v>
      </c>
      <c r="BS73" s="12"/>
      <c r="BT73" s="12"/>
      <c r="BU73" s="12"/>
    </row>
    <row r="74" spans="1:74" x14ac:dyDescent="0.25">
      <c r="A74" s="3" t="s">
        <v>313</v>
      </c>
      <c r="B74" s="11" t="s">
        <v>301</v>
      </c>
      <c r="C74">
        <v>7</v>
      </c>
      <c r="D74" s="12"/>
      <c r="E74" s="13"/>
      <c r="F74" s="13" t="s">
        <v>391</v>
      </c>
      <c r="G74" s="13" t="s">
        <v>391</v>
      </c>
      <c r="H74" s="13" t="s">
        <v>391</v>
      </c>
      <c r="I74" s="13" t="s">
        <v>391</v>
      </c>
      <c r="J74" s="13" t="s">
        <v>391</v>
      </c>
      <c r="K74" s="13" t="s">
        <v>391</v>
      </c>
      <c r="L74" s="13" t="s">
        <v>391</v>
      </c>
      <c r="M74" s="13" t="s">
        <v>391</v>
      </c>
      <c r="N74" s="13" t="s">
        <v>391</v>
      </c>
      <c r="O74" s="13" t="s">
        <v>391</v>
      </c>
      <c r="P74" s="13" t="s">
        <v>391</v>
      </c>
      <c r="Q74" s="13" t="s">
        <v>391</v>
      </c>
      <c r="R74" s="13" t="s">
        <v>391</v>
      </c>
      <c r="S74" s="13" t="s">
        <v>391</v>
      </c>
      <c r="T74" s="13" t="s">
        <v>391</v>
      </c>
      <c r="U74" s="13" t="s">
        <v>391</v>
      </c>
      <c r="V74" s="13" t="s">
        <v>391</v>
      </c>
      <c r="W74" s="13" t="s">
        <v>391</v>
      </c>
      <c r="X74" s="13" t="s">
        <v>391</v>
      </c>
      <c r="Y74" s="13" t="s">
        <v>391</v>
      </c>
      <c r="Z74" s="13" t="s">
        <v>391</v>
      </c>
      <c r="AA74" s="13" t="s">
        <v>391</v>
      </c>
      <c r="AB74" s="13" t="s">
        <v>391</v>
      </c>
      <c r="AC74" s="13" t="s">
        <v>391</v>
      </c>
      <c r="AD74" s="13" t="s">
        <v>391</v>
      </c>
      <c r="AE74" s="13" t="s">
        <v>391</v>
      </c>
      <c r="AF74" s="13" t="s">
        <v>391</v>
      </c>
      <c r="AG74" s="13" t="s">
        <v>391</v>
      </c>
      <c r="AH74" s="13" t="s">
        <v>391</v>
      </c>
      <c r="AI74" s="12" t="s">
        <v>391</v>
      </c>
      <c r="AJ74" s="12" t="s">
        <v>391</v>
      </c>
      <c r="AK74" s="12"/>
      <c r="AL74" s="12"/>
      <c r="AM74" s="12"/>
      <c r="AN74" s="12" t="s">
        <v>391</v>
      </c>
      <c r="AO74" s="12" t="s">
        <v>391</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391</v>
      </c>
      <c r="BS74" s="12"/>
      <c r="BT74" s="12"/>
      <c r="BU74" s="12"/>
    </row>
    <row r="75" spans="1:74" x14ac:dyDescent="0.25">
      <c r="A75" s="3" t="s">
        <v>314</v>
      </c>
      <c r="B75" s="11" t="s">
        <v>301</v>
      </c>
      <c r="C75">
        <v>7</v>
      </c>
      <c r="D75" s="12"/>
      <c r="E75" s="13"/>
      <c r="F75" s="13" t="s">
        <v>391</v>
      </c>
      <c r="G75" s="13" t="s">
        <v>391</v>
      </c>
      <c r="H75" s="13" t="s">
        <v>391</v>
      </c>
      <c r="I75" s="13" t="s">
        <v>391</v>
      </c>
      <c r="J75" s="13" t="s">
        <v>391</v>
      </c>
      <c r="K75" s="13" t="s">
        <v>391</v>
      </c>
      <c r="L75" s="13" t="s">
        <v>391</v>
      </c>
      <c r="M75" s="13" t="s">
        <v>391</v>
      </c>
      <c r="N75" s="13" t="s">
        <v>391</v>
      </c>
      <c r="O75" s="13" t="s">
        <v>391</v>
      </c>
      <c r="P75" s="13" t="s">
        <v>391</v>
      </c>
      <c r="Q75" s="13" t="s">
        <v>391</v>
      </c>
      <c r="R75" s="13" t="s">
        <v>391</v>
      </c>
      <c r="S75" s="13" t="s">
        <v>391</v>
      </c>
      <c r="T75" s="13" t="s">
        <v>391</v>
      </c>
      <c r="U75" s="13" t="s">
        <v>391</v>
      </c>
      <c r="V75" s="13" t="s">
        <v>391</v>
      </c>
      <c r="W75" s="13" t="s">
        <v>391</v>
      </c>
      <c r="X75" s="13" t="s">
        <v>391</v>
      </c>
      <c r="Y75" s="13" t="s">
        <v>391</v>
      </c>
      <c r="Z75" s="13" t="s">
        <v>391</v>
      </c>
      <c r="AA75" s="13" t="s">
        <v>391</v>
      </c>
      <c r="AB75" s="13" t="s">
        <v>391</v>
      </c>
      <c r="AC75" s="13" t="s">
        <v>391</v>
      </c>
      <c r="AD75" s="13" t="s">
        <v>391</v>
      </c>
      <c r="AE75" s="13" t="s">
        <v>391</v>
      </c>
      <c r="AF75" s="13" t="s">
        <v>391</v>
      </c>
      <c r="AG75" s="13" t="s">
        <v>391</v>
      </c>
      <c r="AH75" s="13" t="s">
        <v>391</v>
      </c>
      <c r="AI75" s="12" t="s">
        <v>391</v>
      </c>
      <c r="AJ75" s="12" t="s">
        <v>391</v>
      </c>
      <c r="AK75" s="12"/>
      <c r="AL75" s="12"/>
      <c r="AM75" s="12"/>
      <c r="AN75" s="12" t="s">
        <v>391</v>
      </c>
      <c r="AO75" s="12" t="s">
        <v>391</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391</v>
      </c>
      <c r="BS75" s="12"/>
      <c r="BT75" s="12"/>
      <c r="BU75" s="12"/>
    </row>
    <row r="76" spans="1:74" x14ac:dyDescent="0.25">
      <c r="A76" s="3" t="s">
        <v>445</v>
      </c>
      <c r="B76" s="11" t="s">
        <v>301</v>
      </c>
      <c r="C76">
        <v>7</v>
      </c>
      <c r="D76" s="12"/>
      <c r="E76" s="13"/>
      <c r="F76" s="13" t="s">
        <v>391</v>
      </c>
      <c r="G76" s="13" t="s">
        <v>391</v>
      </c>
      <c r="H76" s="13" t="s">
        <v>391</v>
      </c>
      <c r="I76" s="13" t="s">
        <v>391</v>
      </c>
      <c r="J76" s="13" t="s">
        <v>391</v>
      </c>
      <c r="K76" s="13" t="s">
        <v>391</v>
      </c>
      <c r="L76" s="13" t="s">
        <v>391</v>
      </c>
      <c r="M76" s="13" t="s">
        <v>391</v>
      </c>
      <c r="N76" s="13" t="s">
        <v>391</v>
      </c>
      <c r="O76" s="13" t="s">
        <v>391</v>
      </c>
      <c r="P76" s="13" t="s">
        <v>391</v>
      </c>
      <c r="Q76" s="13" t="s">
        <v>391</v>
      </c>
      <c r="R76" s="13" t="s">
        <v>391</v>
      </c>
      <c r="S76" s="13" t="s">
        <v>391</v>
      </c>
      <c r="T76" s="13" t="s">
        <v>391</v>
      </c>
      <c r="U76" s="13" t="s">
        <v>391</v>
      </c>
      <c r="V76" s="13" t="s">
        <v>391</v>
      </c>
      <c r="W76" s="13" t="s">
        <v>391</v>
      </c>
      <c r="X76" s="13" t="s">
        <v>391</v>
      </c>
      <c r="Y76" s="13" t="s">
        <v>391</v>
      </c>
      <c r="Z76" s="13" t="s">
        <v>391</v>
      </c>
      <c r="AA76" s="13" t="s">
        <v>391</v>
      </c>
      <c r="AB76" s="13" t="s">
        <v>391</v>
      </c>
      <c r="AC76" s="13" t="s">
        <v>391</v>
      </c>
      <c r="AD76" s="13" t="s">
        <v>391</v>
      </c>
      <c r="AE76" s="13" t="s">
        <v>391</v>
      </c>
      <c r="AF76" s="13" t="s">
        <v>391</v>
      </c>
      <c r="AG76" s="13" t="s">
        <v>391</v>
      </c>
      <c r="AH76" s="13" t="s">
        <v>391</v>
      </c>
      <c r="AI76" s="12" t="s">
        <v>391</v>
      </c>
      <c r="AJ76" s="12" t="s">
        <v>391</v>
      </c>
      <c r="AK76" s="12"/>
      <c r="AL76" s="12"/>
      <c r="AM76" s="12"/>
      <c r="AN76" s="12" t="s">
        <v>391</v>
      </c>
      <c r="AO76" s="12" t="s">
        <v>391</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391</v>
      </c>
      <c r="BS76" s="12"/>
      <c r="BT76" s="12"/>
      <c r="BU76" s="12"/>
    </row>
    <row r="77" spans="1:74" x14ac:dyDescent="0.25">
      <c r="A77" s="3" t="s">
        <v>446</v>
      </c>
      <c r="B77" s="11" t="s">
        <v>301</v>
      </c>
      <c r="C77">
        <v>7</v>
      </c>
      <c r="D77" s="12"/>
      <c r="E77" s="13"/>
      <c r="F77" s="13" t="s">
        <v>391</v>
      </c>
      <c r="G77" s="13" t="s">
        <v>391</v>
      </c>
      <c r="H77" s="13" t="s">
        <v>391</v>
      </c>
      <c r="I77" s="13" t="s">
        <v>391</v>
      </c>
      <c r="J77" s="13" t="s">
        <v>391</v>
      </c>
      <c r="K77" s="13" t="s">
        <v>391</v>
      </c>
      <c r="L77" s="13" t="s">
        <v>391</v>
      </c>
      <c r="M77" s="13" t="s">
        <v>391</v>
      </c>
      <c r="N77" s="13" t="s">
        <v>391</v>
      </c>
      <c r="O77" s="13" t="s">
        <v>391</v>
      </c>
      <c r="P77" s="13" t="s">
        <v>391</v>
      </c>
      <c r="Q77" s="13" t="s">
        <v>391</v>
      </c>
      <c r="R77" s="13" t="s">
        <v>391</v>
      </c>
      <c r="S77" s="13" t="s">
        <v>391</v>
      </c>
      <c r="T77" s="13" t="s">
        <v>391</v>
      </c>
      <c r="U77" s="13" t="s">
        <v>391</v>
      </c>
      <c r="V77" s="13" t="s">
        <v>391</v>
      </c>
      <c r="W77" s="13" t="s">
        <v>391</v>
      </c>
      <c r="X77" s="13" t="s">
        <v>391</v>
      </c>
      <c r="Y77" s="13" t="s">
        <v>391</v>
      </c>
      <c r="Z77" s="13" t="s">
        <v>391</v>
      </c>
      <c r="AA77" s="13" t="s">
        <v>391</v>
      </c>
      <c r="AB77" s="13" t="s">
        <v>391</v>
      </c>
      <c r="AC77" s="13" t="s">
        <v>391</v>
      </c>
      <c r="AD77" s="13" t="s">
        <v>391</v>
      </c>
      <c r="AE77" s="13" t="s">
        <v>391</v>
      </c>
      <c r="AF77" s="13" t="s">
        <v>391</v>
      </c>
      <c r="AG77" s="13" t="s">
        <v>391</v>
      </c>
      <c r="AH77" s="13" t="s">
        <v>391</v>
      </c>
      <c r="AI77" s="12" t="s">
        <v>391</v>
      </c>
      <c r="AJ77" s="12" t="s">
        <v>391</v>
      </c>
      <c r="AK77" s="12"/>
      <c r="AL77" s="12"/>
      <c r="AM77" s="12"/>
      <c r="AN77" s="12" t="s">
        <v>391</v>
      </c>
      <c r="AO77" s="12" t="s">
        <v>391</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391</v>
      </c>
      <c r="BS77" s="12"/>
      <c r="BT77" s="12"/>
      <c r="BU77" s="12"/>
    </row>
    <row r="78" spans="1:74" x14ac:dyDescent="0.25">
      <c r="A78" s="3" t="s">
        <v>447</v>
      </c>
      <c r="B78" s="11" t="s">
        <v>301</v>
      </c>
      <c r="C78">
        <v>7</v>
      </c>
      <c r="D78" s="12"/>
      <c r="E78" s="13"/>
      <c r="F78" s="13" t="s">
        <v>391</v>
      </c>
      <c r="G78" s="13" t="s">
        <v>391</v>
      </c>
      <c r="H78" s="13" t="s">
        <v>391</v>
      </c>
      <c r="I78" s="13" t="s">
        <v>391</v>
      </c>
      <c r="J78" s="13" t="s">
        <v>391</v>
      </c>
      <c r="K78" s="13" t="s">
        <v>391</v>
      </c>
      <c r="L78" s="13" t="s">
        <v>391</v>
      </c>
      <c r="M78" s="13" t="s">
        <v>391</v>
      </c>
      <c r="N78" s="13" t="s">
        <v>391</v>
      </c>
      <c r="O78" s="13" t="s">
        <v>391</v>
      </c>
      <c r="P78" s="13" t="s">
        <v>391</v>
      </c>
      <c r="Q78" s="13" t="s">
        <v>391</v>
      </c>
      <c r="R78" s="13" t="s">
        <v>391</v>
      </c>
      <c r="S78" s="13" t="s">
        <v>391</v>
      </c>
      <c r="T78" s="13" t="s">
        <v>391</v>
      </c>
      <c r="U78" s="13" t="s">
        <v>391</v>
      </c>
      <c r="V78" s="13" t="s">
        <v>391</v>
      </c>
      <c r="W78" s="13" t="s">
        <v>391</v>
      </c>
      <c r="X78" s="13" t="s">
        <v>391</v>
      </c>
      <c r="Y78" s="13" t="s">
        <v>391</v>
      </c>
      <c r="Z78" s="13" t="s">
        <v>391</v>
      </c>
      <c r="AA78" s="13" t="s">
        <v>391</v>
      </c>
      <c r="AB78" s="13" t="s">
        <v>391</v>
      </c>
      <c r="AC78" s="13" t="s">
        <v>391</v>
      </c>
      <c r="AD78" s="13" t="s">
        <v>391</v>
      </c>
      <c r="AE78" s="13" t="s">
        <v>391</v>
      </c>
      <c r="AF78" s="13" t="s">
        <v>391</v>
      </c>
      <c r="AG78" s="13" t="s">
        <v>391</v>
      </c>
      <c r="AH78" s="13" t="s">
        <v>391</v>
      </c>
      <c r="AI78" s="12" t="s">
        <v>391</v>
      </c>
      <c r="AJ78" s="12" t="s">
        <v>391</v>
      </c>
      <c r="AK78" s="12"/>
      <c r="AL78" s="12"/>
      <c r="AM78" s="12"/>
      <c r="AN78" s="12" t="s">
        <v>391</v>
      </c>
      <c r="AO78" s="12" t="s">
        <v>391</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391</v>
      </c>
      <c r="BS78" s="12"/>
      <c r="BT78" s="12"/>
      <c r="BU78" s="12"/>
    </row>
    <row r="79" spans="1:74" x14ac:dyDescent="0.25">
      <c r="A79" s="3" t="s">
        <v>943</v>
      </c>
      <c r="B79" s="11" t="s">
        <v>301</v>
      </c>
      <c r="C79">
        <v>7</v>
      </c>
      <c r="D79" s="12"/>
      <c r="E79" s="13"/>
      <c r="F79" s="13" t="s">
        <v>391</v>
      </c>
      <c r="G79" s="13" t="s">
        <v>391</v>
      </c>
      <c r="H79" s="13" t="s">
        <v>391</v>
      </c>
      <c r="I79" s="13" t="s">
        <v>391</v>
      </c>
      <c r="J79" s="13" t="s">
        <v>391</v>
      </c>
      <c r="K79" s="13" t="s">
        <v>391</v>
      </c>
      <c r="L79" s="13" t="s">
        <v>391</v>
      </c>
      <c r="M79" s="13" t="s">
        <v>391</v>
      </c>
      <c r="N79" s="13" t="s">
        <v>391</v>
      </c>
      <c r="O79" s="13" t="s">
        <v>391</v>
      </c>
      <c r="P79" s="13" t="s">
        <v>391</v>
      </c>
      <c r="Q79" s="13" t="s">
        <v>391</v>
      </c>
      <c r="R79" s="13" t="s">
        <v>391</v>
      </c>
      <c r="S79" s="13"/>
      <c r="T79" s="13"/>
      <c r="U79" s="13" t="s">
        <v>391</v>
      </c>
      <c r="V79" s="13" t="s">
        <v>391</v>
      </c>
      <c r="W79" s="13" t="s">
        <v>391</v>
      </c>
      <c r="X79" s="13" t="s">
        <v>391</v>
      </c>
      <c r="Y79" s="13" t="s">
        <v>391</v>
      </c>
      <c r="Z79" s="13" t="s">
        <v>391</v>
      </c>
      <c r="AA79" s="13" t="s">
        <v>391</v>
      </c>
      <c r="AB79" s="13" t="s">
        <v>391</v>
      </c>
      <c r="AC79" s="13" t="s">
        <v>391</v>
      </c>
      <c r="AD79" s="13" t="s">
        <v>391</v>
      </c>
      <c r="AE79" s="13" t="s">
        <v>391</v>
      </c>
      <c r="AF79" s="13" t="s">
        <v>391</v>
      </c>
      <c r="AG79" s="13" t="s">
        <v>391</v>
      </c>
      <c r="AH79" s="13" t="s">
        <v>391</v>
      </c>
      <c r="AI79" s="12"/>
      <c r="AJ79" s="12"/>
      <c r="AK79" s="12" t="s">
        <v>391</v>
      </c>
      <c r="AL79" s="12" t="s">
        <v>391</v>
      </c>
      <c r="AM79" s="12" t="s">
        <v>391</v>
      </c>
      <c r="AN79" s="12"/>
      <c r="AO79" s="12"/>
      <c r="AP79" s="12" t="s">
        <v>391</v>
      </c>
      <c r="AQ79" s="12" t="s">
        <v>391</v>
      </c>
      <c r="AR79" s="12" t="s">
        <v>391</v>
      </c>
      <c r="AS79" s="12" t="s">
        <v>391</v>
      </c>
      <c r="AT79" s="12" t="s">
        <v>391</v>
      </c>
      <c r="AU79" s="12" t="s">
        <v>391</v>
      </c>
      <c r="AV79" s="12" t="s">
        <v>391</v>
      </c>
      <c r="AW79" s="12" t="s">
        <v>391</v>
      </c>
      <c r="AX79" s="12" t="s">
        <v>391</v>
      </c>
      <c r="AY79" s="12" t="s">
        <v>391</v>
      </c>
      <c r="AZ79" s="12" t="s">
        <v>391</v>
      </c>
      <c r="BA79" s="12"/>
      <c r="BB79" s="12"/>
      <c r="BC79" s="12" t="s">
        <v>391</v>
      </c>
      <c r="BD79" s="13" t="s">
        <v>391</v>
      </c>
      <c r="BE79" s="13" t="s">
        <v>391</v>
      </c>
      <c r="BF79" s="13" t="s">
        <v>391</v>
      </c>
      <c r="BG79" s="13" t="s">
        <v>391</v>
      </c>
      <c r="BH79" s="13" t="s">
        <v>391</v>
      </c>
      <c r="BI79" s="13" t="s">
        <v>391</v>
      </c>
      <c r="BJ79" s="13" t="s">
        <v>391</v>
      </c>
      <c r="BK79" s="13" t="s">
        <v>391</v>
      </c>
      <c r="BL79" s="13" t="s">
        <v>391</v>
      </c>
      <c r="BM79" s="13" t="s">
        <v>391</v>
      </c>
      <c r="BN79" s="13" t="s">
        <v>391</v>
      </c>
      <c r="BO79" s="13" t="s">
        <v>391</v>
      </c>
      <c r="BP79" s="13" t="s">
        <v>391</v>
      </c>
      <c r="BQ79" s="13" t="s">
        <v>391</v>
      </c>
      <c r="BR79" s="13" t="s">
        <v>391</v>
      </c>
      <c r="BS79" s="13" t="s">
        <v>391</v>
      </c>
      <c r="BT79" s="13" t="s">
        <v>391</v>
      </c>
      <c r="BU79" s="13" t="s">
        <v>391</v>
      </c>
      <c r="BV79" s="13" t="s">
        <v>391</v>
      </c>
    </row>
    <row r="80" spans="1:74" x14ac:dyDescent="0.25">
      <c r="A80" s="3" t="s">
        <v>448</v>
      </c>
      <c r="B80" s="11" t="s">
        <v>301</v>
      </c>
      <c r="C80">
        <v>7</v>
      </c>
      <c r="D80" s="12"/>
      <c r="E80" s="13"/>
      <c r="F80" s="13" t="s">
        <v>391</v>
      </c>
      <c r="G80" s="13" t="s">
        <v>391</v>
      </c>
      <c r="H80" s="13" t="s">
        <v>391</v>
      </c>
      <c r="I80" s="13" t="s">
        <v>391</v>
      </c>
      <c r="J80" s="13" t="s">
        <v>391</v>
      </c>
      <c r="K80" s="13" t="s">
        <v>391</v>
      </c>
      <c r="L80" s="13" t="s">
        <v>391</v>
      </c>
      <c r="M80" s="13" t="s">
        <v>391</v>
      </c>
      <c r="N80" s="13" t="s">
        <v>391</v>
      </c>
      <c r="O80" s="13" t="s">
        <v>391</v>
      </c>
      <c r="P80" s="13" t="s">
        <v>391</v>
      </c>
      <c r="Q80" s="13" t="s">
        <v>391</v>
      </c>
      <c r="R80" s="13" t="s">
        <v>391</v>
      </c>
      <c r="S80" s="13"/>
      <c r="T80" s="13"/>
      <c r="U80" s="13" t="s">
        <v>391</v>
      </c>
      <c r="V80" s="13" t="s">
        <v>391</v>
      </c>
      <c r="W80" s="13" t="s">
        <v>391</v>
      </c>
      <c r="X80" s="13" t="s">
        <v>391</v>
      </c>
      <c r="Y80" s="13" t="s">
        <v>391</v>
      </c>
      <c r="Z80" s="13" t="s">
        <v>391</v>
      </c>
      <c r="AA80" s="13" t="s">
        <v>391</v>
      </c>
      <c r="AB80" s="13" t="s">
        <v>391</v>
      </c>
      <c r="AC80" s="13" t="s">
        <v>391</v>
      </c>
      <c r="AD80" s="13" t="s">
        <v>391</v>
      </c>
      <c r="AE80" s="13" t="s">
        <v>391</v>
      </c>
      <c r="AF80" s="13" t="s">
        <v>391</v>
      </c>
      <c r="AG80" s="13" t="s">
        <v>391</v>
      </c>
      <c r="AH80" s="13" t="s">
        <v>391</v>
      </c>
      <c r="AI80" s="12"/>
      <c r="AJ80" s="12"/>
      <c r="AK80" s="12" t="s">
        <v>391</v>
      </c>
      <c r="AL80" s="12" t="s">
        <v>391</v>
      </c>
      <c r="AM80" s="12" t="s">
        <v>391</v>
      </c>
      <c r="AN80" s="12"/>
      <c r="AO80" s="12"/>
      <c r="AP80" s="12" t="s">
        <v>391</v>
      </c>
      <c r="AQ80" s="12" t="s">
        <v>391</v>
      </c>
      <c r="AR80" s="12" t="s">
        <v>391</v>
      </c>
      <c r="AS80" s="12" t="s">
        <v>391</v>
      </c>
      <c r="AT80" s="12" t="s">
        <v>391</v>
      </c>
      <c r="AU80" s="12" t="s">
        <v>391</v>
      </c>
      <c r="AV80" s="12" t="s">
        <v>391</v>
      </c>
      <c r="AW80" s="12" t="s">
        <v>391</v>
      </c>
      <c r="AX80" s="12" t="s">
        <v>391</v>
      </c>
      <c r="AY80" s="12" t="s">
        <v>391</v>
      </c>
      <c r="AZ80" s="12" t="s">
        <v>391</v>
      </c>
      <c r="BA80" s="12"/>
      <c r="BB80" s="12"/>
      <c r="BC80" s="12" t="s">
        <v>391</v>
      </c>
      <c r="BD80" s="13" t="s">
        <v>391</v>
      </c>
      <c r="BE80" s="13" t="s">
        <v>391</v>
      </c>
      <c r="BF80" s="13" t="s">
        <v>391</v>
      </c>
      <c r="BG80" s="13" t="s">
        <v>391</v>
      </c>
      <c r="BH80" s="13" t="s">
        <v>391</v>
      </c>
      <c r="BI80" s="13" t="s">
        <v>391</v>
      </c>
      <c r="BJ80" s="13" t="s">
        <v>391</v>
      </c>
      <c r="BK80" s="13" t="s">
        <v>391</v>
      </c>
      <c r="BL80" s="13" t="s">
        <v>391</v>
      </c>
      <c r="BM80" s="13" t="s">
        <v>391</v>
      </c>
      <c r="BN80" s="13" t="s">
        <v>391</v>
      </c>
      <c r="BO80" s="13" t="s">
        <v>391</v>
      </c>
      <c r="BP80" s="13" t="s">
        <v>391</v>
      </c>
      <c r="BQ80" s="13" t="s">
        <v>391</v>
      </c>
      <c r="BR80" s="13" t="s">
        <v>391</v>
      </c>
      <c r="BS80" s="13" t="s">
        <v>391</v>
      </c>
      <c r="BT80" s="13" t="s">
        <v>391</v>
      </c>
      <c r="BU80" s="13" t="s">
        <v>391</v>
      </c>
      <c r="BV80" s="13" t="s">
        <v>391</v>
      </c>
    </row>
    <row r="81" spans="1:74" x14ac:dyDescent="0.25">
      <c r="A81" s="3" t="s">
        <v>449</v>
      </c>
      <c r="B81" s="11" t="s">
        <v>301</v>
      </c>
      <c r="C81">
        <v>7</v>
      </c>
      <c r="D81" s="12"/>
      <c r="E81" s="13"/>
      <c r="F81" s="13" t="s">
        <v>391</v>
      </c>
      <c r="G81" s="13" t="s">
        <v>391</v>
      </c>
      <c r="H81" s="13" t="s">
        <v>391</v>
      </c>
      <c r="I81" s="13" t="s">
        <v>391</v>
      </c>
      <c r="J81" s="13" t="s">
        <v>391</v>
      </c>
      <c r="K81" s="13" t="s">
        <v>391</v>
      </c>
      <c r="L81" s="13" t="s">
        <v>391</v>
      </c>
      <c r="M81" s="13" t="s">
        <v>391</v>
      </c>
      <c r="N81" s="13" t="s">
        <v>391</v>
      </c>
      <c r="O81" s="13" t="s">
        <v>391</v>
      </c>
      <c r="P81" s="13" t="s">
        <v>391</v>
      </c>
      <c r="Q81" s="13" t="s">
        <v>391</v>
      </c>
      <c r="R81" s="13" t="s">
        <v>391</v>
      </c>
      <c r="S81" s="13"/>
      <c r="T81" s="13"/>
      <c r="U81" s="13" t="s">
        <v>391</v>
      </c>
      <c r="V81" s="13" t="s">
        <v>391</v>
      </c>
      <c r="W81" s="13" t="s">
        <v>391</v>
      </c>
      <c r="X81" s="13" t="s">
        <v>391</v>
      </c>
      <c r="Y81" s="13" t="s">
        <v>391</v>
      </c>
      <c r="Z81" s="13" t="s">
        <v>391</v>
      </c>
      <c r="AA81" s="13" t="s">
        <v>391</v>
      </c>
      <c r="AB81" s="13" t="s">
        <v>391</v>
      </c>
      <c r="AC81" s="13" t="s">
        <v>391</v>
      </c>
      <c r="AD81" s="13" t="s">
        <v>391</v>
      </c>
      <c r="AE81" s="13" t="s">
        <v>391</v>
      </c>
      <c r="AF81" s="13" t="s">
        <v>391</v>
      </c>
      <c r="AG81" s="13" t="s">
        <v>391</v>
      </c>
      <c r="AH81" s="13" t="s">
        <v>391</v>
      </c>
      <c r="AI81" s="13"/>
      <c r="AJ81" s="13"/>
      <c r="AK81" s="12" t="s">
        <v>391</v>
      </c>
      <c r="AL81" s="12" t="s">
        <v>391</v>
      </c>
      <c r="AM81" s="12" t="s">
        <v>391</v>
      </c>
      <c r="AN81" s="12"/>
      <c r="AO81" s="12"/>
      <c r="AP81" s="12" t="s">
        <v>391</v>
      </c>
      <c r="AQ81" s="12" t="s">
        <v>391</v>
      </c>
      <c r="AR81" s="12" t="s">
        <v>391</v>
      </c>
      <c r="AS81" s="12" t="s">
        <v>391</v>
      </c>
      <c r="AT81" s="12" t="s">
        <v>391</v>
      </c>
      <c r="AU81" s="12" t="s">
        <v>391</v>
      </c>
      <c r="AV81" s="12" t="s">
        <v>391</v>
      </c>
      <c r="AW81" s="12" t="s">
        <v>391</v>
      </c>
      <c r="AX81" s="12" t="s">
        <v>391</v>
      </c>
      <c r="AY81" s="12" t="s">
        <v>391</v>
      </c>
      <c r="AZ81" s="12" t="s">
        <v>391</v>
      </c>
      <c r="BA81" s="12"/>
      <c r="BB81" s="12"/>
      <c r="BC81" s="12" t="s">
        <v>391</v>
      </c>
      <c r="BD81" s="13" t="s">
        <v>391</v>
      </c>
      <c r="BE81" s="13" t="s">
        <v>391</v>
      </c>
      <c r="BF81" s="13" t="s">
        <v>391</v>
      </c>
      <c r="BG81" s="13" t="s">
        <v>391</v>
      </c>
      <c r="BH81" s="13" t="s">
        <v>391</v>
      </c>
      <c r="BI81" s="13" t="s">
        <v>391</v>
      </c>
      <c r="BJ81" s="13" t="s">
        <v>391</v>
      </c>
      <c r="BK81" s="13" t="s">
        <v>391</v>
      </c>
      <c r="BL81" s="13" t="s">
        <v>391</v>
      </c>
      <c r="BM81" s="13" t="s">
        <v>391</v>
      </c>
      <c r="BN81" s="13" t="s">
        <v>391</v>
      </c>
      <c r="BO81" s="13" t="s">
        <v>391</v>
      </c>
      <c r="BP81" s="13" t="s">
        <v>391</v>
      </c>
      <c r="BQ81" s="13" t="s">
        <v>391</v>
      </c>
      <c r="BR81" s="13" t="s">
        <v>391</v>
      </c>
      <c r="BS81" s="13" t="s">
        <v>391</v>
      </c>
      <c r="BT81" s="13" t="s">
        <v>391</v>
      </c>
      <c r="BU81" s="13" t="s">
        <v>391</v>
      </c>
      <c r="BV81" s="13" t="s">
        <v>391</v>
      </c>
    </row>
    <row r="82" spans="1:74" x14ac:dyDescent="0.25">
      <c r="A82" s="3" t="s">
        <v>325</v>
      </c>
      <c r="B82" s="11" t="s">
        <v>299</v>
      </c>
      <c r="C82">
        <v>8</v>
      </c>
      <c r="D82" s="12"/>
      <c r="E82" s="13"/>
      <c r="F82" s="13" t="s">
        <v>391</v>
      </c>
      <c r="G82" s="13" t="s">
        <v>391</v>
      </c>
      <c r="H82" s="13" t="s">
        <v>391</v>
      </c>
      <c r="I82" s="13" t="s">
        <v>391</v>
      </c>
      <c r="J82" s="13" t="s">
        <v>391</v>
      </c>
      <c r="K82" s="13" t="s">
        <v>391</v>
      </c>
      <c r="L82" s="13" t="s">
        <v>391</v>
      </c>
      <c r="M82" s="13" t="s">
        <v>391</v>
      </c>
      <c r="N82" s="13"/>
      <c r="O82" s="13"/>
      <c r="P82" s="13"/>
      <c r="Q82" s="12"/>
      <c r="R82" s="12"/>
      <c r="S82" s="12" t="s">
        <v>391</v>
      </c>
      <c r="T82" s="12" t="s">
        <v>391</v>
      </c>
      <c r="U82" s="12" t="s">
        <v>391</v>
      </c>
      <c r="V82" s="12"/>
      <c r="W82" s="12"/>
      <c r="X82" s="12"/>
      <c r="Y82" s="12"/>
      <c r="Z82" s="12"/>
      <c r="AA82" s="12"/>
      <c r="AB82" s="12"/>
      <c r="AC82" s="12"/>
      <c r="AD82" s="13" t="s">
        <v>391</v>
      </c>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4" x14ac:dyDescent="0.25">
      <c r="A83" s="3" t="s">
        <v>450</v>
      </c>
      <c r="B83" s="11" t="s">
        <v>299</v>
      </c>
      <c r="C83">
        <v>8</v>
      </c>
      <c r="D83" s="12"/>
      <c r="E83" s="13"/>
      <c r="F83" s="13" t="s">
        <v>391</v>
      </c>
      <c r="G83" s="13" t="s">
        <v>391</v>
      </c>
      <c r="H83" s="13" t="s">
        <v>391</v>
      </c>
      <c r="I83" s="13" t="s">
        <v>391</v>
      </c>
      <c r="J83" s="13" t="s">
        <v>391</v>
      </c>
      <c r="K83" s="13" t="s">
        <v>391</v>
      </c>
      <c r="L83" s="13" t="s">
        <v>391</v>
      </c>
      <c r="M83" s="13" t="s">
        <v>391</v>
      </c>
      <c r="N83" s="13"/>
      <c r="O83" s="13"/>
      <c r="P83" s="13"/>
      <c r="Q83" s="12"/>
      <c r="R83" s="12"/>
      <c r="S83" s="12" t="s">
        <v>391</v>
      </c>
      <c r="T83" s="12" t="s">
        <v>391</v>
      </c>
      <c r="U83" s="12" t="s">
        <v>391</v>
      </c>
      <c r="V83" s="12"/>
      <c r="W83" s="12"/>
      <c r="X83" s="12"/>
      <c r="Y83" s="12"/>
      <c r="Z83" s="12"/>
      <c r="AA83" s="12"/>
      <c r="AB83" s="12"/>
      <c r="AC83" s="12"/>
      <c r="AD83" s="13" t="s">
        <v>391</v>
      </c>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2023-06-16T20:50:28Z</dcterms:modified>
  <cp:category/>
  <cp:contentStatus/>
</cp:coreProperties>
</file>